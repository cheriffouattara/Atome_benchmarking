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élection 10" sheetId="1" state="visible" r:id="rId1"/>
    <sheet name="Catalogue SEAGO" sheetId="2" state="visible" r:id="rId2"/>
  </sheets>
  <definedNames>
    <definedName name="_xlnm._FilterDatabase" localSheetId="0" hidden="1">'Sélection 10'!$A$10:$U$20</definedName>
    <definedName name="_xlnm._FilterDatabase" localSheetId="1" hidden="1">'Catalogue SEAGO'!$A$1:$T$187</definedName>
  </definedNames>
  <calcPr calcId="124519" fullCalcOnLoad="1"/>
</workbook>
</file>

<file path=xl/styles.xml><?xml version="1.0" encoding="utf-8"?>
<styleSheet xmlns="http://schemas.openxmlformats.org/spreadsheetml/2006/main">
  <numFmts count="2">
    <numFmt numFmtId="164" formatCode="#,##0.000"/>
    <numFmt numFmtId="165" formatCode="0.0000"/>
  </numFmts>
  <fonts count="10">
    <font>
      <name val="Calibri"/>
      <family val="2"/>
      <color theme="1"/>
      <sz val="11"/>
      <scheme val="minor"/>
    </font>
    <font>
      <b val="1"/>
      <color rgb="001F3864"/>
      <sz val="14"/>
    </font>
    <font>
      <color rgb="00475467"/>
      <sz val="10"/>
    </font>
    <font>
      <b val="1"/>
      <color rgb="001F3864"/>
      <sz val="10"/>
    </font>
    <font>
      <i val="1"/>
      <color rgb="00475467"/>
      <sz val="9"/>
    </font>
    <font>
      <b val="1"/>
      <color rgb="00FFFFFF"/>
      <sz val="10"/>
    </font>
    <font>
      <sz val="10"/>
    </font>
    <font>
      <i val="1"/>
      <color rgb="0098A2B3"/>
      <sz val="10"/>
    </font>
    <font>
      <color rgb="000B57D0"/>
      <sz val="10"/>
      <u val="single"/>
    </font>
    <font>
      <b val="1"/>
      <sz val="10"/>
    </font>
  </fonts>
  <fills count="10">
    <fill>
      <patternFill/>
    </fill>
    <fill>
      <patternFill patternType="gray125"/>
    </fill>
    <fill>
      <patternFill patternType="solid">
        <fgColor rgb="00FFF2CC"/>
      </patternFill>
    </fill>
    <fill>
      <patternFill patternType="solid">
        <fgColor rgb="001F3864"/>
      </patternFill>
    </fill>
    <fill>
      <patternFill patternType="solid">
        <fgColor rgb="00C55A11"/>
      </patternFill>
    </fill>
    <fill>
      <patternFill patternType="solid">
        <fgColor rgb="002E7D4F"/>
      </patternFill>
    </fill>
    <fill>
      <patternFill patternType="solid">
        <fgColor rgb="00F2F4F7"/>
      </patternFill>
    </fill>
    <fill>
      <patternFill patternType="solid">
        <fgColor rgb="00EAF3EE"/>
      </patternFill>
    </fill>
    <fill>
      <patternFill patternType="solid">
        <fgColor rgb="00F7F9FC"/>
      </patternFill>
    </fill>
    <fill>
      <patternFill patternType="solid">
        <fgColor rgb="00FDF2E3"/>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3" fillId="2" borderId="0" applyAlignment="1" applyProtection="1" pivotButton="0" quotePrefix="0" xfId="0">
      <alignment horizontal="center"/>
      <protection locked="0" hidden="0"/>
    </xf>
    <xf numFmtId="0" fontId="4" fillId="0" borderId="0" applyAlignment="1" pivotButton="0" quotePrefix="0" xfId="0">
      <alignment vertical="top" wrapText="1"/>
    </xf>
    <xf numFmtId="165" fontId="3" fillId="2" borderId="0" applyAlignment="1" applyProtection="1" pivotButton="0" quotePrefix="0" xfId="0">
      <alignment horizontal="center"/>
      <protection locked="0" hidden="0"/>
    </xf>
    <xf numFmtId="9" fontId="3" fillId="2" borderId="0" applyAlignment="1" applyProtection="1" pivotButton="0" quotePrefix="0" xfId="0">
      <alignment horizontal="center"/>
      <protection locked="0" hidden="0"/>
    </xf>
    <xf numFmtId="3" fontId="3" fillId="2" borderId="0" applyAlignment="1" applyProtection="1" pivotButton="0" quotePrefix="0" xfId="0">
      <alignment horizontal="center"/>
      <protection locked="0" hidden="0"/>
    </xf>
    <xf numFmtId="0" fontId="5"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5" fillId="5"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7" fillId="0" borderId="1" applyAlignment="1" pivotButton="0" quotePrefix="0" xfId="0">
      <alignment horizontal="center" vertical="top"/>
    </xf>
    <xf numFmtId="4" fontId="6" fillId="6" borderId="1" applyAlignment="1" pivotButton="0" quotePrefix="0" xfId="0">
      <alignment horizontal="center" vertical="top"/>
    </xf>
    <xf numFmtId="0" fontId="6" fillId="6" borderId="1" applyAlignment="1" pivotButton="0" quotePrefix="0" xfId="0">
      <alignment horizontal="center" vertical="top"/>
    </xf>
    <xf numFmtId="4" fontId="7" fillId="6" borderId="1" applyAlignment="1" pivotButton="0" quotePrefix="0" xfId="0">
      <alignment horizontal="center" vertical="top"/>
    </xf>
    <xf numFmtId="0" fontId="6" fillId="6" borderId="1" applyAlignment="1" pivotButton="0" quotePrefix="0" xfId="0">
      <alignment horizontal="left" vertical="top"/>
    </xf>
    <xf numFmtId="0" fontId="8" fillId="6" borderId="1" applyAlignment="1" pivotButton="0" quotePrefix="0" xfId="0">
      <alignment horizontal="left" vertical="top" wrapText="1"/>
    </xf>
    <xf numFmtId="9" fontId="6" fillId="2" borderId="1" applyAlignment="1" applyProtection="1" pivotButton="0" quotePrefix="0" xfId="0">
      <alignment horizontal="center" vertical="top"/>
      <protection locked="0" hidden="0"/>
    </xf>
    <xf numFmtId="3" fontId="9" fillId="7" borderId="1" applyAlignment="1" pivotButton="0" quotePrefix="0" xfId="0">
      <alignment horizontal="center" vertical="top"/>
    </xf>
    <xf numFmtId="9" fontId="6" fillId="7" borderId="1" applyAlignment="1" pivotButton="0" quotePrefix="0" xfId="0">
      <alignment horizontal="center" vertical="top"/>
    </xf>
    <xf numFmtId="0" fontId="6" fillId="8" borderId="1" applyAlignment="1" pivotButton="0" quotePrefix="0" xfId="0">
      <alignment horizontal="center" vertical="top"/>
    </xf>
    <xf numFmtId="0" fontId="6" fillId="8" borderId="1" applyAlignment="1" pivotButton="0" quotePrefix="0" xfId="0">
      <alignment horizontal="left" vertical="top"/>
    </xf>
    <xf numFmtId="0" fontId="6" fillId="8" borderId="1" applyAlignment="1" pivotButton="0" quotePrefix="0" xfId="0">
      <alignment horizontal="left" vertical="top" wrapText="1"/>
    </xf>
    <xf numFmtId="3" fontId="6" fillId="9" borderId="1" applyAlignment="1" pivotButton="0" quotePrefix="0" xfId="0">
      <alignment horizontal="center" vertical="top"/>
    </xf>
    <xf numFmtId="0" fontId="6" fillId="9" borderId="1" applyAlignment="1" pivotButton="0" quotePrefix="0" xfId="0">
      <alignment horizontal="center" vertical="top"/>
    </xf>
    <xf numFmtId="0" fontId="6" fillId="9" borderId="1" applyAlignment="1" pivotButton="0" quotePrefix="0" xfId="0">
      <alignment horizontal="left" vertical="top"/>
    </xf>
    <xf numFmtId="0" fontId="8" fillId="9" borderId="1" applyAlignment="1" pivotButton="0" quotePrefix="0" xfId="0">
      <alignment horizontal="left" vertical="top" wrapText="1"/>
    </xf>
    <xf numFmtId="3" fontId="7" fillId="9" borderId="1" applyAlignment="1" pivotButton="0" quotePrefix="0" xfId="0">
      <alignment horizontal="center" vertical="top"/>
    </xf>
    <xf numFmtId="0" fontId="7" fillId="8" borderId="1" applyAlignment="1" pivotButton="0" quotePrefix="0" xfId="0">
      <alignment horizontal="center" vertical="top"/>
    </xf>
    <xf numFmtId="0" fontId="8" fillId="9" borderId="1" applyAlignment="1" pivotButton="0" quotePrefix="0" xfId="0">
      <alignment horizontal="left" vertical="top"/>
    </xf>
    <xf numFmtId="1" fontId="6" fillId="8" borderId="1" applyAlignment="1" pivotButton="0" quotePrefix="0" xfId="0">
      <alignment horizontal="center" vertical="top"/>
    </xf>
    <xf numFmtId="1" fontId="6" fillId="0" borderId="1" applyAlignment="1" pivotButton="0" quotePrefix="0" xfId="0">
      <alignment horizontal="center" vertical="top"/>
    </xf>
    <xf numFmtId="0" fontId="8" fillId="6" borderId="1" applyAlignment="1" pivotButton="0" quotePrefix="0" xfId="0">
      <alignment horizontal="left" vertical="top"/>
    </xf>
    <xf numFmtId="0" fontId="7" fillId="0" borderId="1" applyAlignment="1" pivotButton="0" quotePrefix="0" xfId="0">
      <alignment horizontal="left" vertical="top"/>
    </xf>
    <xf numFmtId="0" fontId="7" fillId="8" borderId="1"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Benchmark</author>
  </authors>
  <commentList>
    <comment ref="L11" authorId="0" shapeId="0">
      <text>
        <t>Prix relevé sur la Colgate 360 Advanced à piles, la ProClinical 150 étant en fin de vie. Ancrage international : aucun équivalent dans le relevé local. Relevé du 2026-09-04.</t>
      </text>
    </comment>
    <comment ref="L12" authorId="0" shapeId="0">
      <text>
        <t>Équivalent direct du cœur de gamme SEAGO à 5 modes. Relevé du 2026-09-05.</t>
      </text>
    </comment>
    <comment ref="L13" authorId="0" shapeId="0">
      <text>
        <t>Marque distribuée en boutique physique à Abidjan. Relevé du 2026-09-05.</t>
      </text>
    </comment>
    <comment ref="L14" authorId="0" shapeId="0">
      <text>
        <t>Entrée de gamme Disney Princess. Autre variante constatée à 16,97 USD. Ancrage international : aucun équivalent dans le relevé local. Relevé du 2026-09-04.</t>
      </text>
    </comment>
    <comment ref="L15" authorId="0" shapeId="0">
      <text>
        <t>Seul signal local sur l'hydropulseur, sous forme de kit combiné. À confirmer avant décision. Relevé du 2026-09-05.</t>
      </text>
    </comment>
    <comment ref="L16" authorId="0" shapeId="0">
      <text>
        <t>Prix ramené à l'unité : 1 450 XOF par tête. Relevé du 2026-09-05.</t>
      </text>
    </comment>
    <comment ref="L17" authorId="0" shapeId="0">
      <text>
        <t>L'annonce ne précise pas le modèle ; caractéristiques du D2, référence la plus diffusée de la marque. Relevé du 2026-09-05.</t>
      </text>
    </comment>
    <comment ref="L18" authorId="0" shapeId="0">
      <text>
        <t>L'annonce ne précise pas le modèle ; caractéristiques du D2, référence la plus diffusée de la marque. Relevé du 2026-09-05.</t>
      </text>
    </comment>
    <comment ref="L19" authorId="0" shapeId="0">
      <text>
        <t>L'annonce ne précise pas le modèle ; caractéristiques du D2, référence la plus diffusée de la marque. Relevé du 2026-09-05.</t>
      </text>
    </comment>
    <comment ref="L20" authorId="0" shapeId="0">
      <text>
        <t>180 jours en mode doux, 100 en standard. Indicateur 4 zones. Ce n'est pas une rotative type Oral-B. Relevé du 2026-09-05.</t>
      </text>
    </comment>
  </commentList>
</comments>
</file>

<file path=xl/comments/comment2.xml><?xml version="1.0" encoding="utf-8"?>
<comments xmlns="http://schemas.openxmlformats.org/spreadsheetml/2006/main">
  <authors>
    <author>Benchmark</author>
  </authors>
  <commentList>
    <comment ref="L2" authorId="0" shapeId="0">
      <text>
        <t>Équivalent direct du cœur de gamme SEAGO à 5 modes. Relevé du 2026-09-05.</t>
      </text>
    </comment>
    <comment ref="L3" authorId="0" shapeId="0">
      <text>
        <t>Marque distribuée en boutique physique à Abidjan. Relevé du 2026-09-05.</t>
      </text>
    </comment>
    <comment ref="L4" authorId="0" shapeId="0">
      <text>
        <t>Équivalent direct du cœur de gamme SEAGO à 5 modes. Relevé du 2026-09-05.</t>
      </text>
    </comment>
    <comment ref="L5" authorId="0" shapeId="0">
      <text>
        <t>Minuteur 2 min avec pause 30 s, poils DuPont. Relevé du 2026-09-05.</t>
      </text>
    </comment>
    <comment ref="L6" authorId="0" shapeId="0">
      <text>
        <t>Équivalent direct du cœur de gamme SEAGO à 5 modes. Relevé du 2026-09-05.</t>
      </text>
    </comment>
    <comment ref="L7" authorId="0" shapeId="0">
      <text>
        <t>Marque distribuée en boutique physique à Abidjan. Relevé du 2026-09-05.</t>
      </text>
    </comment>
    <comment ref="L8" authorId="0" shapeId="0">
      <text>
        <t>Marque distribuée en boutique physique à Abidjan. Relevé du 2026-09-05.</t>
      </text>
    </comment>
    <comment ref="L9" authorId="0" shapeId="0">
      <text>
        <t>Entrée de gamme Disney Princess. Autre variante constatée à 16,97 USD. Ancrage international : aucun équivalent dans le relevé local. Relevé du 2026-09-04.</t>
      </text>
    </comment>
    <comment ref="L10" authorId="0" shapeId="0">
      <text>
        <t>Prix relevé sur la Colgate 360 Advanced à piles, la ProClinical 150 étant en fin de vie. Ancrage international : aucun équivalent dans le relevé local. Relevé du 2026-09-04.</t>
      </text>
    </comment>
    <comment ref="L11" authorId="0" shapeId="0">
      <text>
        <t>Minuteur 2 min avec pause 30 s, poils DuPont. Relevé du 2026-09-05.</t>
      </text>
    </comment>
    <comment ref="L12" authorId="0" shapeId="0">
      <text>
        <t>180 jours en mode doux, 100 en standard. Indicateur 4 zones. Ce n'est pas une rotative type Oral-B. Relevé du 2026-09-05.</t>
      </text>
    </comment>
    <comment ref="L13" authorId="0" shapeId="0">
      <text>
        <t>L'annonce ne précise pas le modèle ; caractéristiques du D2, référence la plus diffusée de la marque. Relevé du 2026-09-05.</t>
      </text>
    </comment>
    <comment ref="L14" authorId="0" shapeId="0">
      <text>
        <t>L'annonce ne précise pas le modèle ; caractéristiques du D2, référence la plus diffusée de la marque. Relevé du 2026-09-05.</t>
      </text>
    </comment>
    <comment ref="L15" authorId="0" shapeId="0">
      <text>
        <t>L'annonce ne précise pas le modèle ; caractéristiques du D2, référence la plus diffusée de la marque. Relevé du 2026-09-05.</t>
      </text>
    </comment>
    <comment ref="L16" authorId="0" shapeId="0">
      <text>
        <t>L'annonce ne précise pas le modèle ; caractéristiques du D2, référence la plus diffusée de la marque. Relevé du 2026-09-05.</t>
      </text>
    </comment>
    <comment ref="L17" authorId="0" shapeId="0">
      <text>
        <t>L'annonce ne précise pas le modèle ; caractéristiques du D2, référence la plus diffusée de la marque. Relevé du 2026-09-05.</t>
      </text>
    </comment>
    <comment ref="L18" authorId="0" shapeId="0">
      <text>
        <t>L'annonce ne précise pas le modèle ; caractéristiques du D2, référence la plus diffusée de la marque. Relevé du 2026-09-05.</t>
      </text>
    </comment>
    <comment ref="L19" authorId="0" shapeId="0">
      <text>
        <t>Mémoire de mode, 8 têtes fournies. Marque très distribuée en Afrique de l'Ouest. Relevé du 2026-09-05.</t>
      </text>
    </comment>
    <comment ref="L20" authorId="0" shapeId="0">
      <text>
        <t>Équivalent direct du cœur de gamme SEAGO à 5 modes. Relevé du 2026-09-05.</t>
      </text>
    </comment>
    <comment ref="L21" authorId="0" shapeId="0">
      <text>
        <t>Équivalent direct du cœur de gamme SEAGO à 5 modes. Relevé du 2026-09-05.</t>
      </text>
    </comment>
    <comment ref="L22" authorId="0" shapeId="0">
      <text>
        <t>Équivalent direct du cœur de gamme SEAGO à 5 modes. Relevé du 2026-09-05.</t>
      </text>
    </comment>
    <comment ref="L23" authorId="0" shapeId="0">
      <text>
        <t>Mémoire de mode, 8 têtes fournies. Marque très distribuée en Afrique de l'Ouest. Relevé du 2026-09-05.</t>
      </text>
    </comment>
    <comment ref="L24" authorId="0" shapeId="0">
      <text>
        <t>Équivalent direct du cœur de gamme SEAGO à 5 modes. Relevé du 2026-09-05.</t>
      </text>
    </comment>
    <comment ref="L25" authorId="0" shapeId="0">
      <text>
        <t>Équivalent direct du cœur de gamme SEAGO à 5 modes. Relevé du 2026-09-05.</t>
      </text>
    </comment>
    <comment ref="L26" authorId="0" shapeId="0">
      <text>
        <t>Équivalent direct du cœur de gamme SEAGO à 5 modes. Relevé du 2026-09-05.</t>
      </text>
    </comment>
    <comment ref="L27" authorId="0" shapeId="0">
      <text>
        <t>L'annonce ne précise pas le modèle ; caractéristiques du D2, référence la plus diffusée de la marque. Relevé du 2026-09-05.</t>
      </text>
    </comment>
    <comment ref="L28" authorId="0" shapeId="0">
      <text>
        <t>L'annonce ne précise pas le modèle ; caractéristiques du D2, référence la plus diffusée de la marque. Relevé du 2026-09-05.</t>
      </text>
    </comment>
    <comment ref="L29" authorId="0" shapeId="0">
      <text>
        <t>Mémoire de mode, 8 têtes fournies. Marque très distribuée en Afrique de l'Ouest. Relevé du 2026-09-05.</t>
      </text>
    </comment>
    <comment ref="L30" authorId="0" shapeId="0">
      <text>
        <t>Mémoire de mode, 8 têtes fournies. Marque très distribuée en Afrique de l'Ouest. Relevé du 2026-09-05.</t>
      </text>
    </comment>
    <comment ref="L31" authorId="0" shapeId="0">
      <text>
        <t>Mémoire de mode, 8 têtes fournies. Marque très distribuée en Afrique de l'Ouest. Relevé du 2026-09-05.</t>
      </text>
    </comment>
    <comment ref="L32" authorId="0" shapeId="0">
      <text>
        <t>Mémoire de mode, 8 têtes fournies. Marque très distribuée en Afrique de l'Ouest. Relevé du 2026-09-05.</t>
      </text>
    </comment>
    <comment ref="L33" authorId="0" shapeId="0">
      <text>
        <t>Mémoire de mode, 8 têtes fournies. Marque très distribuée en Afrique de l'Ouest. Relevé du 2026-09-05.</t>
      </text>
    </comment>
    <comment ref="L34" authorId="0" shapeId="0">
      <text>
        <t>Équivalent direct du cœur de gamme SEAGO à 5 modes. Relevé du 2026-09-05.</t>
      </text>
    </comment>
    <comment ref="L35" authorId="0" shapeId="0">
      <text>
        <t>Mémoire de mode, 8 têtes fournies. Marque très distribuée en Afrique de l'Ouest. Relevé du 2026-09-05.</t>
      </text>
    </comment>
    <comment ref="L36" authorId="0" shapeId="0">
      <text>
        <t>Caractéristiques lues dans le titre de l'annonce. Relevé du 2026-09-05.</t>
      </text>
    </comment>
    <comment ref="L37" authorId="0" shapeId="0">
      <text>
        <t>Mémoire de mode, 8 têtes fournies. Marque très distribuée en Afrique de l'Ouest. Relevé du 2026-09-05.</t>
      </text>
    </comment>
    <comment ref="L38" authorId="0" shapeId="0">
      <text>
        <t>Mémoire de mode, 8 têtes fournies. Marque très distribuée en Afrique de l'Ouest. Relevé du 2026-09-05.</t>
      </text>
    </comment>
    <comment ref="L39" authorId="0" shapeId="0">
      <text>
        <t>Caractéristiques lues dans le titre de l'annonce. Relevé du 2026-09-05.</t>
      </text>
    </comment>
    <comment ref="L40" authorId="0" shapeId="0">
      <text>
        <t>Marque distribuée en boutique physique à Abidjan. Relevé du 2026-09-05.</t>
      </text>
    </comment>
    <comment ref="L41" authorId="0" shapeId="0">
      <text>
        <t>Prix relevé sur la Colgate 360 Advanced à piles, la ProClinical 150 étant en fin de vie. Ancrage international : aucun équivalent dans le relevé local. Relevé du 2026-09-04.</t>
      </text>
    </comment>
    <comment ref="L42" authorId="0" shapeId="0">
      <text>
        <t>Prix relevé sur la Colgate 360 Advanced à piles, la ProClinical 150 étant en fin de vie. Ancrage international : aucun équivalent dans le relevé local. Relevé du 2026-09-04.</t>
      </text>
    </comment>
    <comment ref="L43" authorId="0" shapeId="0">
      <text>
        <t>Caractéristiques lues dans le titre de l'annonce. Relevé du 2026-09-05.</t>
      </text>
    </comment>
    <comment ref="L44" authorId="0" shapeId="0">
      <text>
        <t>Équivalent direct du cœur de gamme SEAGO à 5 modes. Relevé du 2026-09-05.</t>
      </text>
    </comment>
    <comment ref="L45" authorId="0" shapeId="0">
      <text>
        <t>Équivalent direct du cœur de gamme SEAGO à 5 modes. Relevé du 2026-09-05.</t>
      </text>
    </comment>
    <comment ref="L46" authorId="0" shapeId="0">
      <text>
        <t>Marque distribuée en boutique physique à Abidjan. Relevé du 2026-09-05.</t>
      </text>
    </comment>
    <comment ref="L47" authorId="0" shapeId="0">
      <text>
        <t>Équivalent direct du cœur de gamme SEAGO à 5 modes. Relevé du 2026-09-05.</t>
      </text>
    </comment>
    <comment ref="L48" authorId="0" shapeId="0">
      <text>
        <t>Équivalent direct du cœur de gamme SEAGO à 5 modes. Relevé du 2026-09-05.</t>
      </text>
    </comment>
    <comment ref="L49" authorId="0" shapeId="0">
      <text>
        <t>Équivalent direct du cœur de gamme SEAGO à 5 modes. Relevé du 2026-09-05.</t>
      </text>
    </comment>
    <comment ref="L50" authorId="0" shapeId="0">
      <text>
        <t>Équivalent direct du cœur de gamme SEAGO à 5 modes. Relevé du 2026-09-05.</t>
      </text>
    </comment>
    <comment ref="L51" authorId="0" shapeId="0">
      <text>
        <t>Caractéristiques lues dans le titre de l'annonce. Relevé du 2026-09-05.</t>
      </text>
    </comment>
    <comment ref="L52" authorId="0" shapeId="0">
      <text>
        <t>Caractéristiques lues dans le titre de l'annonce. Relevé du 2026-09-05.</t>
      </text>
    </comment>
    <comment ref="L53" authorId="0" shapeId="0">
      <text>
        <t>Équivalent direct du cœur de gamme SEAGO à 5 modes. Relevé du 2026-09-05.</t>
      </text>
    </comment>
    <comment ref="L54" authorId="0" shapeId="0">
      <text>
        <t>Caractéristiques lues dans le titre de l'annonce. Relevé du 2026-09-05.</t>
      </text>
    </comment>
    <comment ref="L55" authorId="0" shapeId="0">
      <text>
        <t>Prix relevé sur la Colgate 360 Advanced à piles, la ProClinical 150 étant en fin de vie. Ancrage international : aucun équivalent dans le relevé local. Relevé du 2026-09-04.</t>
      </text>
    </comment>
    <comment ref="L56" authorId="0" shapeId="0">
      <text>
        <t>Prix relevé sur la Colgate 360 Advanced à piles, la ProClinical 150 étant en fin de vie. Ancrage international : aucun équivalent dans le relevé local. Relevé du 2026-09-04.</t>
      </text>
    </comment>
    <comment ref="L57" authorId="0" shapeId="0">
      <text>
        <t>Prix relevé sur la Colgate 360 Advanced à piles, la ProClinical 150 étant en fin de vie. Ancrage international : aucun équivalent dans le relevé local. Relevé du 2026-09-04.</t>
      </text>
    </comment>
    <comment ref="L58" authorId="0" shapeId="0">
      <text>
        <t>Prix relevé sur la Colgate 360 Advanced à piles, la ProClinical 150 étant en fin de vie. Ancrage international : aucun équivalent dans le relevé local. Relevé du 2026-09-04.</t>
      </text>
    </comment>
    <comment ref="L59" authorId="0" shapeId="0">
      <text>
        <t>Prix relevé sur la Colgate 360 Advanced à piles, la ProClinical 150 étant en fin de vie. Ancrage international : aucun équivalent dans le relevé local. Relevé du 2026-09-04.</t>
      </text>
    </comment>
    <comment ref="L60" authorId="0" shapeId="0">
      <text>
        <t>Prix relevé sur la Colgate 360 Advanced à piles, la ProClinical 150 étant en fin de vie. Ancrage international : aucun équivalent dans le relevé local. Relevé du 2026-09-04.</t>
      </text>
    </comment>
    <comment ref="L61" authorId="0" shapeId="0">
      <text>
        <t>Prix relevé sur la Colgate 360 Advanced à piles, la ProClinical 150 étant en fin de vie. Ancrage international : aucun équivalent dans le relevé local. Relevé du 2026-09-04.</t>
      </text>
    </comment>
    <comment ref="L62" authorId="0" shapeId="0">
      <text>
        <t>Prix relevé sur la Colgate 360 Advanced à piles, la ProClinical 150 étant en fin de vie. Ancrage international : aucun équivalent dans le relevé local. Relevé du 2026-09-04.</t>
      </text>
    </comment>
    <comment ref="L63" authorId="0" shapeId="0">
      <text>
        <t>Mémoire de mode, 8 têtes fournies. Marque très distribuée en Afrique de l'Ouest. Relevé du 2026-09-05.</t>
      </text>
    </comment>
    <comment ref="L64" authorId="0" shapeId="0">
      <text>
        <t>Prix relevé sur la Colgate 360 Advanced à piles, la ProClinical 150 étant en fin de vie. Ancrage international : aucun équivalent dans le relevé local. Relevé du 2026-09-04.</t>
      </text>
    </comment>
    <comment ref="L65" authorId="0" shapeId="0">
      <text>
        <t>Prix relevé sur la Colgate 360 Advanced à piles, la ProClinical 150 étant en fin de vie. Ancrage international : aucun équivalent dans le relevé local. Relevé du 2026-09-04.</t>
      </text>
    </comment>
    <comment ref="L66" authorId="0" shapeId="0">
      <text>
        <t>Prix relevé sur la Colgate 360 Advanced à piles, la ProClinical 150 étant en fin de vie. Ancrage international : aucun équivalent dans le relevé local. Relevé du 2026-09-04.</t>
      </text>
    </comment>
    <comment ref="L67" authorId="0" shapeId="0">
      <text>
        <t>Prix relevé sur la Colgate 360 Advanced à piles, la ProClinical 150 étant en fin de vie. Ancrage international : aucun équivalent dans le relevé local. Relevé du 2026-09-04.</t>
      </text>
    </comment>
    <comment ref="L68" authorId="0" shapeId="0">
      <text>
        <t>Prix relevé sur la Colgate 360 Advanced à piles, la ProClinical 150 étant en fin de vie. Ancrage international : aucun équivalent dans le relevé local. Relevé du 2026-09-04.</t>
      </text>
    </comment>
    <comment ref="L69" authorId="0" shapeId="0">
      <text>
        <t>Prix relevé sur la Colgate 360 Advanced à piles, la ProClinical 150 étant en fin de vie. Ancrage international : aucun équivalent dans le relevé local. Relevé du 2026-09-04.</t>
      </text>
    </comment>
    <comment ref="L70" authorId="0" shapeId="0">
      <text>
        <t>Prix relevé sur la Colgate 360 Advanced à piles, la ProClinical 150 étant en fin de vie. Ancrage international : aucun équivalent dans le relevé local. Relevé du 2026-09-04.</t>
      </text>
    </comment>
    <comment ref="L71" authorId="0" shapeId="0">
      <text>
        <t>Prix relevé sur la Colgate 360 Advanced à piles, la ProClinical 150 étant en fin de vie. Ancrage international : aucun équivalent dans le relevé local. Relevé du 2026-09-04.</t>
      </text>
    </comment>
    <comment ref="L72" authorId="0" shapeId="0">
      <text>
        <t>Prix relevé sur la Colgate 360 Advanced à piles, la ProClinical 150 étant en fin de vie. Ancrage international : aucun équivalent dans le relevé local. Relevé du 2026-09-04.</t>
      </text>
    </comment>
    <comment ref="L73" authorId="0" shapeId="0">
      <text>
        <t>Prix relevé sur la Colgate 360 Advanced à piles, la ProClinical 150 étant en fin de vie. Ancrage international : aucun équivalent dans le relevé local. Relevé du 2026-09-04.</t>
      </text>
    </comment>
    <comment ref="L74" authorId="0" shapeId="0">
      <text>
        <t>Prix relevé sur la Colgate 360 Advanced à piles, la ProClinical 150 étant en fin de vie. Ancrage international : aucun équivalent dans le relevé local. Relevé du 2026-09-04.</t>
      </text>
    </comment>
    <comment ref="L75" authorId="0" shapeId="0">
      <text>
        <t>Prix relevé sur la Colgate 360 Advanced à piles, la ProClinical 150 étant en fin de vie. Ancrage international : aucun équivalent dans le relevé local. Relevé du 2026-09-04.</t>
      </text>
    </comment>
    <comment ref="L76" authorId="0" shapeId="0">
      <text>
        <t>Prix relevé sur la Colgate 360 Advanced à piles, la ProClinical 150 étant en fin de vie. Ancrage international : aucun équivalent dans le relevé local. Relevé du 2026-09-04.</t>
      </text>
    </comment>
    <comment ref="L77" authorId="0" shapeId="0">
      <text>
        <t>Prix relevé sur la Colgate 360 Advanced à piles, la ProClinical 150 étant en fin de vie. Ancrage international : aucun équivalent dans le relevé local. Relevé du 2026-09-04.</t>
      </text>
    </comment>
    <comment ref="L78" authorId="0" shapeId="0">
      <text>
        <t>Prix relevé sur la Colgate 360 Advanced à piles, la ProClinical 150 étant en fin de vie. Ancrage international : aucun équivalent dans le relevé local. Relevé du 2026-09-04.</t>
      </text>
    </comment>
    <comment ref="L79" authorId="0" shapeId="0">
      <text>
        <t>Prix relevé sur la Colgate 360 Advanced à piles, la ProClinical 150 étant en fin de vie. Ancrage international : aucun équivalent dans le relevé local. Relevé du 2026-09-04.</t>
      </text>
    </comment>
    <comment ref="L80" authorId="0" shapeId="0">
      <text>
        <t>Prix relevé sur la Colgate 360 Advanced à piles, la ProClinical 150 étant en fin de vie. Ancrage international : aucun équivalent dans le relevé local. Relevé du 2026-09-04.</t>
      </text>
    </comment>
    <comment ref="L81" authorId="0" shapeId="0">
      <text>
        <t>Prix relevé sur la Colgate 360 Advanced à piles, la ProClinical 150 étant en fin de vie. Ancrage international : aucun équivalent dans le relevé local. Relevé du 2026-09-04.</t>
      </text>
    </comment>
    <comment ref="L82" authorId="0" shapeId="0">
      <text>
        <t>Prix relevé sur la Colgate 360 Advanced à piles, la ProClinical 150 étant en fin de vie. Ancrage international : aucun équivalent dans le relevé local. Relevé du 2026-09-04.</t>
      </text>
    </comment>
    <comment ref="L83" authorId="0" shapeId="0">
      <text>
        <t>Prix relevé sur la Colgate 360 Advanced à piles, la ProClinical 150 étant en fin de vie. Ancrage international : aucun équivalent dans le relevé local. Relevé du 2026-09-04.</t>
      </text>
    </comment>
    <comment ref="L84" authorId="0" shapeId="0">
      <text>
        <t>Prix relevé sur la Colgate 360 Advanced à piles, la ProClinical 150 étant en fin de vie. Ancrage international : aucun équivalent dans le relevé local. Relevé du 2026-09-04.</t>
      </text>
    </comment>
    <comment ref="L85" authorId="0" shapeId="0">
      <text>
        <t>Prix relevé sur la Colgate 360 Advanced à piles, la ProClinical 150 étant en fin de vie. Ancrage international : aucun équivalent dans le relevé local. Relevé du 2026-09-04.</t>
      </text>
    </comment>
    <comment ref="L86" authorId="0" shapeId="0">
      <text>
        <t>Caractéristiques lues dans le titre de l'annonce. Relevé du 2026-09-05.</t>
      </text>
    </comment>
    <comment ref="L87" authorId="0" shapeId="0">
      <text>
        <t>Caractéristiques lues dans le titre de l'annonce. Relevé du 2026-09-05.</t>
      </text>
    </comment>
    <comment ref="L88" authorId="0" shapeId="0">
      <text>
        <t>Minuteur 2 min avec pause 30 s, poils DuPont. Relevé du 2026-09-05.</t>
      </text>
    </comment>
    <comment ref="L89" authorId="0" shapeId="0">
      <text>
        <t>Minuteur 2 min avec pause 30 s, poils DuPont. Relevé du 2026-09-05.</t>
      </text>
    </comment>
    <comment ref="L90" authorId="0" shapeId="0">
      <text>
        <t>Minuteur 2 min avec pause 30 s, poils DuPont. Relevé du 2026-09-05.</t>
      </text>
    </comment>
    <comment ref="L91" authorId="0" shapeId="0">
      <text>
        <t>Minuteur 2 min avec pause 30 s, poils DuPont. Relevé du 2026-09-05.</t>
      </text>
    </comment>
    <comment ref="L92" authorId="0" shapeId="0">
      <text>
        <t>Minuteur 2 min avec pause 30 s, poils DuPont. Relevé du 2026-09-05.</t>
      </text>
    </comment>
    <comment ref="L93" authorId="0" shapeId="0">
      <text>
        <t>Minuteur 2 min avec pause 30 s, poils DuPont. Relevé du 2026-09-05.</t>
      </text>
    </comment>
    <comment ref="L94" authorId="0" shapeId="0">
      <text>
        <t>Entrée de gamme Disney Princess. Autre variante constatée à 16,97 USD. Ancrage international : aucun équivalent dans le relevé local. Relevé du 2026-09-04.</t>
      </text>
    </comment>
    <comment ref="L95" authorId="0" shapeId="0">
      <text>
        <t>Entrée de gamme Disney Princess. Autre variante constatée à 16,97 USD. Ancrage international : aucun équivalent dans le relevé local. Relevé du 2026-09-04.</t>
      </text>
    </comment>
    <comment ref="L96" authorId="0" shapeId="0">
      <text>
        <t>Entrée de gamme Disney Princess. Autre variante constatée à 16,97 USD. Ancrage international : aucun équivalent dans le relevé local. Relevé du 2026-09-04.</t>
      </text>
    </comment>
    <comment ref="L97" authorId="0" shapeId="0">
      <text>
        <t>Entrée de gamme Disney Princess. Autre variante constatée à 16,97 USD. Ancrage international : aucun équivalent dans le relevé local. Relevé du 2026-09-04.</t>
      </text>
    </comment>
    <comment ref="L98" authorId="0" shapeId="0">
      <text>
        <t>Entrée de gamme Disney Princess. Autre variante constatée à 16,97 USD. Ancrage international : aucun équivalent dans le relevé local. Relevé du 2026-09-04.</t>
      </text>
    </comment>
    <comment ref="L99" authorId="0" shapeId="0">
      <text>
        <t>Entrée de gamme Disney Princess. Autre variante constatée à 16,97 USD. Ancrage international : aucun équivalent dans le relevé local. Relevé du 2026-09-04.</t>
      </text>
    </comment>
    <comment ref="L100" authorId="0" shapeId="0">
      <text>
        <t>Entrée de gamme Disney Princess. Autre variante constatée à 16,97 USD. Ancrage international : aucun équivalent dans le relevé local. Relevé du 2026-09-04.</t>
      </text>
    </comment>
    <comment ref="L101" authorId="0" shapeId="0">
      <text>
        <t>Entrée de gamme Disney Princess. Autre variante constatée à 16,97 USD. Ancrage international : aucun équivalent dans le relevé local. Relevé du 2026-09-04.</t>
      </text>
    </comment>
    <comment ref="L102" authorId="0" shapeId="0">
      <text>
        <t>Entrée de gamme Disney Princess. Autre variante constatée à 16,97 USD. Ancrage international : aucun équivalent dans le relevé local. Relevé du 2026-09-04.</t>
      </text>
    </comment>
    <comment ref="L103" authorId="0" shapeId="0">
      <text>
        <t>Entrée de gamme Disney Princess. Autre variante constatée à 16,97 USD. Ancrage international : aucun équivalent dans le relevé local. Relevé du 2026-09-04.</t>
      </text>
    </comment>
    <comment ref="L104" authorId="0" shapeId="0">
      <text>
        <t>Minuteur 2 min avec pause 30 s, poils DuPont. Relevé du 2026-09-05.</t>
      </text>
    </comment>
    <comment ref="L105" authorId="0" shapeId="0">
      <text>
        <t>Minuteur 2 min avec pause 30 s, poils DuPont. Relevé du 2026-09-05.</t>
      </text>
    </comment>
    <comment ref="L106" authorId="0" shapeId="0">
      <text>
        <t>Minuteur 2 min avec pause 30 s, poils DuPont. Relevé du 2026-09-05.</t>
      </text>
    </comment>
    <comment ref="L107" authorId="0" shapeId="0">
      <text>
        <t>Minuteur 2 min avec pause 30 s, poils DuPont. Relevé du 2026-09-05.</t>
      </text>
    </comment>
    <comment ref="L108" authorId="0" shapeId="0">
      <text>
        <t>180 jours en mode doux, 100 en standard. Indicateur 4 zones. Ce n'est pas une rotative type Oral-B. Relevé du 2026-09-05.</t>
      </text>
    </comment>
    <comment ref="L109" authorId="0" shapeId="0">
      <text>
        <t>Prix relevé sur la Colgate 360 Advanced à piles, la ProClinical 150 étant en fin de vie. Ancrage international : aucun équivalent dans le relevé local. Relevé du 2026-09-04.</t>
      </text>
    </comment>
    <comment ref="L110" authorId="0" shapeId="0">
      <text>
        <t>180 jours en mode doux, 100 en standard. Indicateur 4 zones. Ce n'est pas une rotative type Oral-B. Relevé du 2026-09-05.</t>
      </text>
    </comment>
    <comment ref="L111" authorId="0" shapeId="0">
      <text>
        <t>Entrée de gamme Disney Princess. Autre variante constatée à 16,97 USD. Ancrage international : aucun équivalent dans le relevé local. Relevé du 2026-09-04.</t>
      </text>
    </comment>
    <comment ref="L112" authorId="0" shapeId="0">
      <text>
        <t>Prix relevé sur la Colgate 360 Advanced à piles, la ProClinical 150 étant en fin de vie. Ancrage international : aucun équivalent dans le relevé local. Relevé du 2026-09-04.</t>
      </text>
    </comment>
    <comment ref="L113" authorId="0" shapeId="0">
      <text>
        <t>Entrée de gamme Disney Princess. Autre variante constatée à 16,97 USD. Ancrage international : aucun équivalent dans le relevé local. Relevé du 2026-09-04.</t>
      </text>
    </comment>
    <comment ref="L114" authorId="0" shapeId="0">
      <text>
        <t>Entrée de gamme Disney Princess. Autre variante constatée à 16,97 USD. Ancrage international : aucun équivalent dans le relevé local. Relevé du 2026-09-04.</t>
      </text>
    </comment>
    <comment ref="L115" authorId="0" shapeId="0">
      <text>
        <t>Prix relevé sur la Colgate 360 Advanced à piles, la ProClinical 150 étant en fin de vie. Ancrage international : aucun équivalent dans le relevé local. Relevé du 2026-09-04.</t>
      </text>
    </comment>
    <comment ref="L116" authorId="0" shapeId="0">
      <text>
        <t>180 jours en mode doux, 100 en standard. Indicateur 4 zones. Ce n'est pas une rotative type Oral-B. Relevé du 2026-09-05.</t>
      </text>
    </comment>
    <comment ref="L117" authorId="0" shapeId="0">
      <text>
        <t>180 jours en mode doux, 100 en standard. Indicateur 4 zones. Ce n'est pas une rotative type Oral-B. Relevé du 2026-09-05.</t>
      </text>
    </comment>
    <comment ref="L118" authorId="0" shapeId="0">
      <text>
        <t>Seul signal local sur l'hydropulseur, sous forme de kit combiné. À confirmer avant décision. Relevé du 2026-09-05.</t>
      </text>
    </comment>
    <comment ref="L119" authorId="0" shapeId="0">
      <text>
        <t>Seul signal local sur l'hydropulseur, sous forme de kit combiné. À confirmer avant décision. Relevé du 2026-09-05.</t>
      </text>
    </comment>
    <comment ref="L120" authorId="0" shapeId="0">
      <text>
        <t>Seul signal local sur l'hydropulseur, sous forme de kit combiné. À confirmer avant décision. Relevé du 2026-09-05.</t>
      </text>
    </comment>
    <comment ref="L121" authorId="0" shapeId="0">
      <text>
        <t>Seul signal local sur l'hydropulseur, sous forme de kit combiné. À confirmer avant décision. Relevé du 2026-09-05.</t>
      </text>
    </comment>
    <comment ref="L122" authorId="0" shapeId="0">
      <text>
        <t>Seul signal local sur l'hydropulseur, sous forme de kit combiné. À confirmer avant décision. Relevé du 2026-09-05.</t>
      </text>
    </comment>
    <comment ref="L123" authorId="0" shapeId="0">
      <text>
        <t>Seul signal local sur l'hydropulseur, sous forme de kit combiné. À confirmer avant décision. Relevé du 2026-09-05.</t>
      </text>
    </comment>
    <comment ref="L124" authorId="0" shapeId="0">
      <text>
        <t>Seul signal local sur l'hydropulseur, sous forme de kit combiné. À confirmer avant décision. Relevé du 2026-09-05.</t>
      </text>
    </comment>
    <comment ref="L125" authorId="0" shapeId="0">
      <text>
        <t>Seul signal local sur l'hydropulseur, sous forme de kit combiné. À confirmer avant décision. Relevé du 2026-09-05.</t>
      </text>
    </comment>
    <comment ref="L126" authorId="0" shapeId="0">
      <text>
        <t>Seul signal local sur l'hydropulseur, sous forme de kit combiné. À confirmer avant décision. Relevé du 2026-09-05.</t>
      </text>
    </comment>
    <comment ref="L127" authorId="0" shapeId="0">
      <text>
        <t>Seul signal local sur l'hydropulseur, sous forme de kit combiné. À confirmer avant décision. Relevé du 2026-09-05.</t>
      </text>
    </comment>
    <comment ref="L128" authorId="0" shapeId="0">
      <text>
        <t>Seul signal local sur l'hydropulseur, sous forme de kit combiné. À confirmer avant décision. Relevé du 2026-09-05.</t>
      </text>
    </comment>
    <comment ref="L129" authorId="0" shapeId="0">
      <text>
        <t>Prix ramené à l'unité : 1 450 XOF par tête. Relevé du 2026-09-05.</t>
      </text>
    </comment>
    <comment ref="L130" authorId="0" shapeId="0">
      <text>
        <t>Prix ramené à l'unité : 1 450 XOF par tête. Relevé du 2026-09-05.</t>
      </text>
    </comment>
    <comment ref="L131" authorId="0" shapeId="0">
      <text>
        <t>Prix ramené à l'unité : 1 450 XOF par tête. Relevé du 2026-09-05.</t>
      </text>
    </comment>
    <comment ref="L132" authorId="0" shapeId="0">
      <text>
        <t>Prix ramené à l'unité : 1 450 XOF par tête. Relevé du 2026-09-05.</t>
      </text>
    </comment>
    <comment ref="L133" authorId="0" shapeId="0">
      <text>
        <t>Prix ramené à l'unité : 1 450 XOF par tête. Relevé du 2026-09-05.</t>
      </text>
    </comment>
    <comment ref="L134" authorId="0" shapeId="0">
      <text>
        <t>Prix ramené à l'unité : 1 450 XOF par tête. Relevé du 2026-09-05.</t>
      </text>
    </comment>
    <comment ref="L135" authorId="0" shapeId="0">
      <text>
        <t>Prix ramené à l'unité : 1 450 XOF par tête. Relevé du 2026-09-05.</t>
      </text>
    </comment>
    <comment ref="L136" authorId="0" shapeId="0">
      <text>
        <t>Prix ramené à l'unité : 1 450 XOF par tête. Relevé du 2026-09-05.</t>
      </text>
    </comment>
    <comment ref="L137" authorId="0" shapeId="0">
      <text>
        <t>Prix ramené à l'unité : 1 450 XOF par tête. Relevé du 2026-09-05.</t>
      </text>
    </comment>
    <comment ref="L138" authorId="0" shapeId="0">
      <text>
        <t>Prix ramené à l'unité : 1 450 XOF par tête. Relevé du 2026-09-05.</t>
      </text>
    </comment>
    <comment ref="L139" authorId="0" shapeId="0">
      <text>
        <t>Prix ramené à l'unité : 1 450 XOF par tête. Relevé du 2026-09-05.</t>
      </text>
    </comment>
    <comment ref="L140" authorId="0" shapeId="0">
      <text>
        <t>Prix ramené à l'unité : 1 450 XOF par tête. Relevé du 2026-09-05.</t>
      </text>
    </comment>
    <comment ref="L141" authorId="0" shapeId="0">
      <text>
        <t>Prix ramené à l'unité : 1 450 XOF par tête. Relevé du 2026-09-05.</t>
      </text>
    </comment>
    <comment ref="L142" authorId="0" shapeId="0">
      <text>
        <t>Prix ramené à l'unité : 1 450 XOF par tête. Relevé du 2026-09-05.</t>
      </text>
    </comment>
    <comment ref="L143" authorId="0" shapeId="0">
      <text>
        <t>Prix ramené à l'unité : 1 450 XOF par tête. Relevé du 2026-09-05.</t>
      </text>
    </comment>
    <comment ref="L144" authorId="0" shapeId="0">
      <text>
        <t>Prix ramené à l'unité : 1 450 XOF par tête. Relevé du 2026-09-05.</t>
      </text>
    </comment>
    <comment ref="L145" authorId="0" shapeId="0">
      <text>
        <t>Prix ramené à l'unité : 1 450 XOF par tête. Relevé du 2026-09-05.</t>
      </text>
    </comment>
    <comment ref="L146" authorId="0" shapeId="0">
      <text>
        <t>Prix ramené à l'unité : 1 450 XOF par tête. Relevé du 2026-09-05.</t>
      </text>
    </comment>
    <comment ref="L147" authorId="0" shapeId="0">
      <text>
        <t>Caractéristiques lues dans le titre de l'annonce. Relevé du 2026-09-05.</t>
      </text>
    </comment>
    <comment ref="L148" authorId="0" shapeId="0">
      <text>
        <t>Prix ramené à l'unité : 1 450 XOF par tête. Relevé du 2026-09-05.</t>
      </text>
    </comment>
    <comment ref="L149" authorId="0" shapeId="0">
      <text>
        <t>Prix ramené à l'unité : 1 450 XOF par tête. Relevé du 2026-09-05.</t>
      </text>
    </comment>
    <comment ref="L150" authorId="0" shapeId="0">
      <text>
        <t>Prix ramené à l'unité : 1 450 XOF par tête. Relevé du 2026-09-05.</t>
      </text>
    </comment>
    <comment ref="L151" authorId="0" shapeId="0">
      <text>
        <t>Prix ramené à l'unité : 1 450 XOF par tête. Relevé du 2026-09-05.</t>
      </text>
    </comment>
    <comment ref="L152" authorId="0" shapeId="0">
      <text>
        <t>Prix ramené à l'unité : 1 450 XOF par tête. Relevé du 2026-09-05.</t>
      </text>
    </comment>
    <comment ref="L153" authorId="0" shapeId="0">
      <text>
        <t>Prix ramené à l'unité : 1 450 XOF par tête. Relevé du 2026-09-05.</t>
      </text>
    </comment>
    <comment ref="L154" authorId="0" shapeId="0">
      <text>
        <t>Prix ramené à l'unité : 1 450 XOF par tête. Relevé du 2026-09-05.</t>
      </text>
    </comment>
    <comment ref="L155" authorId="0" shapeId="0">
      <text>
        <t>Prix ramené à l'unité : 1 450 XOF par tête. Relevé du 2026-09-05.</t>
      </text>
    </comment>
    <comment ref="L156" authorId="0" shapeId="0">
      <text>
        <t>Prix ramené à l'unité : 1 450 XOF par tête. Relevé du 2026-09-05.</t>
      </text>
    </comment>
    <comment ref="L157" authorId="0" shapeId="0">
      <text>
        <t>Prix ramené à l'unité : 1 450 XOF par tête. Relevé du 2026-09-05.</t>
      </text>
    </comment>
    <comment ref="L158" authorId="0" shapeId="0">
      <text>
        <t>Prix ramené à l'unité : 1 450 XOF par tête. Relevé du 2026-09-05.</t>
      </text>
    </comment>
    <comment ref="L159" authorId="0" shapeId="0">
      <text>
        <t>Prix ramené à l'unité : 1 450 XOF par tête. Relevé du 2026-09-05.</t>
      </text>
    </comment>
    <comment ref="L160" authorId="0" shapeId="0">
      <text>
        <t>Prix ramené à l'unité : 1 450 XOF par tête. Relevé du 2026-09-05.</t>
      </text>
    </comment>
    <comment ref="L161" authorId="0" shapeId="0">
      <text>
        <t>Prix ramené à l'unité : 1 450 XOF par tête. Relevé du 2026-09-05.</t>
      </text>
    </comment>
    <comment ref="L162" authorId="0" shapeId="0">
      <text>
        <t>Prix ramené à l'unité : 1 450 XOF par tête. Relevé du 2026-09-05.</t>
      </text>
    </comment>
    <comment ref="L163" authorId="0" shapeId="0">
      <text>
        <t>Prix ramené à l'unité : 1 450 XOF par tête. Relevé du 2026-09-05.</t>
      </text>
    </comment>
    <comment ref="L164" authorId="0" shapeId="0">
      <text>
        <t>Prix ramené à l'unité : 1 450 XOF par tête. Relevé du 2026-09-05.</t>
      </text>
    </comment>
    <comment ref="L165" authorId="0" shapeId="0">
      <text>
        <t>Prix ramené à l'unité : 1 450 XOF par tête. Relevé du 2026-09-05.</t>
      </text>
    </comment>
    <comment ref="L166" authorId="0" shapeId="0">
      <text>
        <t>Prix ramené à l'unité : 1 450 XOF par tête. Relevé du 2026-09-05.</t>
      </text>
    </comment>
    <comment ref="L167" authorId="0" shapeId="0">
      <text>
        <t>Prix ramené à l'unité : 1 450 XOF par tête. Relevé du 2026-09-05.</t>
      </text>
    </comment>
    <comment ref="L168" authorId="0" shapeId="0">
      <text>
        <t>Prix ramené à l'unité : 1 450 XOF par tête. Relevé du 2026-09-05.</t>
      </text>
    </comment>
    <comment ref="L169" authorId="0" shapeId="0">
      <text>
        <t>Prix ramené à l'unité : 1 450 XOF par tête. Relevé du 2026-09-05.</t>
      </text>
    </comment>
    <comment ref="L170" authorId="0" shapeId="0">
      <text>
        <t>Prix ramené à l'unité : 1 450 XOF par tête. Relevé du 2026-09-05.</t>
      </text>
    </comment>
    <comment ref="L171" authorId="0" shapeId="0">
      <text>
        <t>Prix ramené à l'unité : 1 450 XOF par tête. Relevé du 2026-09-05.</t>
      </text>
    </comment>
    <comment ref="L172" authorId="0" shapeId="0">
      <text>
        <t>Prix ramené à l'unité : 1 450 XOF par tête. Relevé du 2026-09-05.</t>
      </text>
    </comment>
    <comment ref="L173" authorId="0" shapeId="0">
      <text>
        <t>Prix ramené à l'unité : 1 450 XOF par tête. Relevé du 2026-09-05.</t>
      </text>
    </comment>
    <comment ref="L174" authorId="0" shapeId="0">
      <text>
        <t>Prix ramené à l'unité : 1 450 XOF par tête. Relevé du 2026-09-05.</t>
      </text>
    </comment>
    <comment ref="L175" authorId="0" shapeId="0">
      <text>
        <t>Prix ramené à l'unité : 1 450 XOF par tête. Relevé du 2026-09-05.</t>
      </text>
    </comment>
    <comment ref="L176" authorId="0" shapeId="0">
      <text>
        <t>Prix ramené à l'unité : 1 450 XOF par tête. Relevé du 2026-09-05.</t>
      </text>
    </comment>
    <comment ref="L177" authorId="0" shapeId="0">
      <text>
        <t>Prix ramené à l'unité : 1 450 XOF par tête. Relevé du 2026-09-05.</t>
      </text>
    </comment>
    <comment ref="L178" authorId="0" shapeId="0">
      <text>
        <t>Prix pack de 4 têtes à 33,00 USD, ramené à l'unité. Ancrage international : aucun équivalent dans le relevé local. Relevé du 2026-09-04.</t>
      </text>
    </comment>
    <comment ref="L179" authorId="0" shapeId="0">
      <text>
        <t>Prix pack de 4 têtes à 33,00 USD, ramené à l'unité. Ancrage international : aucun équivalent dans le relevé local. Relevé du 2026-09-04.</t>
      </text>
    </comment>
    <comment ref="L180" authorId="0" shapeId="0">
      <text>
        <t>Prix pack de 4 têtes à 33,00 USD, ramené à l'unité. Ancrage international : aucun équivalent dans le relevé local. Relevé du 2026-09-04.</t>
      </text>
    </comment>
    <comment ref="L181" authorId="0" shapeId="0">
      <text>
        <t>Prix pack de 4 têtes à 33,00 USD, ramené à l'unité. Ancrage international : aucun équivalent dans le relevé local. Relevé du 2026-09-04.</t>
      </text>
    </comment>
    <comment ref="L182" authorId="0" shapeId="0">
      <text>
        <t>Prix non exposé par la recherche. Ancrage international : aucun équivalent dans le relevé local. Relevé du N/D.</t>
      </text>
    </comment>
    <comment ref="L183" authorId="0" shapeId="0">
      <text>
        <t>Prix non exposé par la recherche. Ancrage international : aucun équivalent dans le relevé local. Relevé du N/D.</t>
      </text>
    </comment>
    <comment ref="L184" authorId="0" shapeId="0">
      <text>
        <t>Prix non exposé par la recherche. Ancrage international : aucun équivalent dans le relevé local. Relevé du N/D.</t>
      </text>
    </comment>
    <comment ref="L185" authorId="0" shapeId="0">
      <text>
        <t>Prix non exposé par la recherche. Ancrage international : aucun équivalent dans le relevé local. Relevé du N/D.</t>
      </text>
    </comment>
    <comment ref="L186" authorId="0" shapeId="0">
      <text>
        <t>Prix non exposé par la recherche. Ancrage international : aucun équivalent dans le relevé local. Relevé du N/D.</t>
      </text>
    </comment>
    <comment ref="L187" authorId="0" shapeId="0">
      <text>
        <t>Prix non exposé par la recherche. Ancrage international : aucun équivalent dans le relevé local. Relevé du N/D.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almart.com/ip/Colgate-360-Advanced-Battery-Powered-Toothbrush-w-Cheek-Tongue-cleaner/21949532" TargetMode="External" Id="rId1"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2" /><Relationship Type="http://schemas.openxmlformats.org/officeDocument/2006/relationships/hyperlink" Target="https://djokstore.ci/products/brosse-a-dents-sonique-rechargeable-5-modes-700-mah-decakila-kmtb013l" TargetMode="External" Id="rId3" /><Relationship Type="http://schemas.openxmlformats.org/officeDocument/2006/relationships/hyperlink" Target="https://www.walmart.com/ip/Oral-B-Kid-s-Battery-Toothbrush-featuring-Disney-Princess-for-Kids-3/562547696" TargetMode="External" Id="rId4" /><Relationship Type="http://schemas.openxmlformats.org/officeDocument/2006/relationships/hyperlink" Target="https://www.jumia.ci/generic-kit-de-nettoyage-dentaire-brosse-a-dents-et-nettoyeur-dentaire-integres-32120678.html" TargetMode="External" Id="rId5" /><Relationship Type="http://schemas.openxmlformats.org/officeDocument/2006/relationships/hyperlink" Target="https://djokstore.ci/collections/brosse-a-dent/products/tetes-de-rechange-brosse-a-dents-electrique-decakila-kmtb008w" TargetMode="External" Id="rId6" /><Relationship Type="http://schemas.openxmlformats.org/officeDocument/2006/relationships/hyperlink" Target="https://www.jumia.ci/generic-brosse-a-dents-electrique-bitvae-32455516.html" TargetMode="External" Id="rId7" /><Relationship Type="http://schemas.openxmlformats.org/officeDocument/2006/relationships/hyperlink" Target="https://www.jumia.ci/generic-brosse-a-dents-electrique-bitvae-32455516.html" TargetMode="External" Id="rId8" /><Relationship Type="http://schemas.openxmlformats.org/officeDocument/2006/relationships/hyperlink" Target="https://www.jumia.ci/generic-brosse-a-dents-electrique-bitvae-32455516.html" TargetMode="External" Id="rId9" /><Relationship Type="http://schemas.openxmlformats.org/officeDocument/2006/relationships/hyperlink" Target="https://www.eas.ci/product/brosse-a-dents-electrique-oscillante-xiaomi-bhr9809gl-bleu/" TargetMode="External" Id="rId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1" /><Relationship Type="http://schemas.openxmlformats.org/officeDocument/2006/relationships/hyperlink" Target="https://djokstore.ci/products/brosse-a-dents-sonique-rechargeable-5-modes-700-mah-decakila-kmtb013l" TargetMode="External" Id="rId2"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3" /><Relationship Type="http://schemas.openxmlformats.org/officeDocument/2006/relationships/hyperlink" Target="https://ci.oraimo.com/product/oraimo-smartdent-c2-powerful-sonic-cleaning-electric-toothbrush?ean=4895180779541" TargetMode="External" Id="rId4"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5" /><Relationship Type="http://schemas.openxmlformats.org/officeDocument/2006/relationships/hyperlink" Target="https://djokstore.ci/products/brosse-a-dents-sonique-rechargeable-5-modes-700-mah-decakila-kmtb013l" TargetMode="External" Id="rId6" /><Relationship Type="http://schemas.openxmlformats.org/officeDocument/2006/relationships/hyperlink" Target="https://djokstore.ci/products/brosse-a-dents-sonique-rechargeable-5-modes-700-mah-decakila-kmtb013l" TargetMode="External" Id="rId7" /><Relationship Type="http://schemas.openxmlformats.org/officeDocument/2006/relationships/hyperlink" Target="https://www.walmart.com/ip/Oral-B-Kid-s-Battery-Toothbrush-featuring-Disney-Princess-for-Kids-3/562547696" TargetMode="External" Id="rId8" /><Relationship Type="http://schemas.openxmlformats.org/officeDocument/2006/relationships/hyperlink" Target="https://www.walmart.com/ip/Colgate-360-Advanced-Battery-Powered-Toothbrush-w-Cheek-Tongue-cleaner/21949532" TargetMode="External" Id="rId9" /><Relationship Type="http://schemas.openxmlformats.org/officeDocument/2006/relationships/hyperlink" Target="https://ci.oraimo.com/product/oraimo-smartdent-c2-powerful-sonic-cleaning-electric-toothbrush?ean=4895180779541" TargetMode="External" Id="rId10" /><Relationship Type="http://schemas.openxmlformats.org/officeDocument/2006/relationships/hyperlink" Target="https://www.eas.ci/product/brosse-a-dents-electrique-oscillante-xiaomi-bhr9809gl-bleu/" TargetMode="External" Id="rId11" /><Relationship Type="http://schemas.openxmlformats.org/officeDocument/2006/relationships/hyperlink" Target="https://www.jumia.ci/generic-brosse-a-dents-electrique-bitvae-32455516.html" TargetMode="External" Id="rId12" /><Relationship Type="http://schemas.openxmlformats.org/officeDocument/2006/relationships/hyperlink" Target="https://www.jumia.ci/generic-brosse-a-dents-electrique-bitvae-32455516.html" TargetMode="External" Id="rId13" /><Relationship Type="http://schemas.openxmlformats.org/officeDocument/2006/relationships/hyperlink" Target="https://www.jumia.ci/generic-brosse-a-dents-electrique-bitvae-32455516.html" TargetMode="External" Id="rId14" /><Relationship Type="http://schemas.openxmlformats.org/officeDocument/2006/relationships/hyperlink" Target="https://www.jumia.ci/generic-brosse-a-dents-electrique-bitvae-32455516.html" TargetMode="External" Id="rId15" /><Relationship Type="http://schemas.openxmlformats.org/officeDocument/2006/relationships/hyperlink" Target="https://www.jumia.ci/generic-brosse-a-dents-electrique-bitvae-32455516.html" TargetMode="External" Id="rId16" /><Relationship Type="http://schemas.openxmlformats.org/officeDocument/2006/relationships/hyperlink" Target="https://www.jumia.ci/generic-brosse-a-dents-electrique-bitvae-32455516.html" TargetMode="External" Id="rId17" /><Relationship Type="http://schemas.openxmlformats.org/officeDocument/2006/relationships/hyperlink" Target="https://ci.oraimo.com/product/oraimo-magnisonic-electric-toothbrush-opc-et500n" TargetMode="External" Id="rId18"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19"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20"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21" /><Relationship Type="http://schemas.openxmlformats.org/officeDocument/2006/relationships/hyperlink" Target="https://ci.oraimo.com/product/oraimo-magnisonic-electric-toothbrush-opc-et500n" TargetMode="External" Id="rId22"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23"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24"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25" /><Relationship Type="http://schemas.openxmlformats.org/officeDocument/2006/relationships/hyperlink" Target="https://www.jumia.ci/generic-brosse-a-dents-electrique-bitvae-32455516.html" TargetMode="External" Id="rId26" /><Relationship Type="http://schemas.openxmlformats.org/officeDocument/2006/relationships/hyperlink" Target="https://www.jumia.ci/generic-brosse-a-dents-electrique-bitvae-32455516.html" TargetMode="External" Id="rId27" /><Relationship Type="http://schemas.openxmlformats.org/officeDocument/2006/relationships/hyperlink" Target="https://ci.oraimo.com/product/oraimo-magnisonic-electric-toothbrush-opc-et500n" TargetMode="External" Id="rId28" /><Relationship Type="http://schemas.openxmlformats.org/officeDocument/2006/relationships/hyperlink" Target="https://ci.oraimo.com/product/oraimo-magnisonic-electric-toothbrush-opc-et500n" TargetMode="External" Id="rId29" /><Relationship Type="http://schemas.openxmlformats.org/officeDocument/2006/relationships/hyperlink" Target="https://ci.oraimo.com/product/oraimo-magnisonic-electric-toothbrush-opc-et500n" TargetMode="External" Id="rId30" /><Relationship Type="http://schemas.openxmlformats.org/officeDocument/2006/relationships/hyperlink" Target="https://ci.oraimo.com/product/oraimo-magnisonic-electric-toothbrush-opc-et500n" TargetMode="External" Id="rId31" /><Relationship Type="http://schemas.openxmlformats.org/officeDocument/2006/relationships/hyperlink" Target="https://ci.oraimo.com/product/oraimo-magnisonic-electric-toothbrush-opc-et500n" TargetMode="External" Id="rId32"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33" /><Relationship Type="http://schemas.openxmlformats.org/officeDocument/2006/relationships/hyperlink" Target="https://ci.oraimo.com/product/oraimo-magnisonic-electric-toothbrush-opc-et500n" TargetMode="External" Id="rId34" /><Relationship Type="http://schemas.openxmlformats.org/officeDocument/2006/relationships/hyperlink" Target="https://www.jumia.ci/generic-brosse-a-dents-electrique-pour-adultes-poils-doux-dupont-portable-longue-autonomie-etancheite-ipx6-soin-buccal-intelligent-et-efficace.-32104864.html" TargetMode="External" Id="rId35" /><Relationship Type="http://schemas.openxmlformats.org/officeDocument/2006/relationships/hyperlink" Target="https://ci.oraimo.com/product/oraimo-magnisonic-electric-toothbrush-opc-et500n" TargetMode="External" Id="rId36" /><Relationship Type="http://schemas.openxmlformats.org/officeDocument/2006/relationships/hyperlink" Target="https://ci.oraimo.com/product/oraimo-magnisonic-electric-toothbrush-opc-et500n" TargetMode="External" Id="rId37" /><Relationship Type="http://schemas.openxmlformats.org/officeDocument/2006/relationships/hyperlink" Target="https://www.jumia.ci/generic-brosse-a-dents-electrique-pour-adultes-poils-doux-dupont-portable-longue-autonomie-etancheite-ipx6-soin-buccal-intelligent-et-efficace.-32104864.html" TargetMode="External" Id="rId38" /><Relationship Type="http://schemas.openxmlformats.org/officeDocument/2006/relationships/hyperlink" Target="https://djokstore.ci/products/brosse-a-dents-sonique-rechargeable-5-modes-700-mah-decakila-kmtb013l" TargetMode="External" Id="rId39" /><Relationship Type="http://schemas.openxmlformats.org/officeDocument/2006/relationships/hyperlink" Target="https://www.walmart.com/ip/Colgate-360-Advanced-Battery-Powered-Toothbrush-w-Cheek-Tongue-cleaner/21949532" TargetMode="External" Id="rId40" /><Relationship Type="http://schemas.openxmlformats.org/officeDocument/2006/relationships/hyperlink" Target="https://www.walmart.com/ip/Colgate-360-Advanced-Battery-Powered-Toothbrush-w-Cheek-Tongue-cleaner/21949532" TargetMode="External" Id="rId41" /><Relationship Type="http://schemas.openxmlformats.org/officeDocument/2006/relationships/hyperlink" Target="https://www.jumia.ci/generic-brosse-a-dents-electrique-pour-adultes-poils-doux-dupont-portable-longue-autonomie-etancheite-ipx6-soin-buccal-intelligent-et-efficace.-32104864.html" TargetMode="External" Id="rId42"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43"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44" /><Relationship Type="http://schemas.openxmlformats.org/officeDocument/2006/relationships/hyperlink" Target="https://djokstore.ci/products/brosse-a-dents-sonique-rechargeable-5-modes-700-mah-decakila-kmtb013l" TargetMode="External" Id="rId45"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46"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47"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48"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49" /><Relationship Type="http://schemas.openxmlformats.org/officeDocument/2006/relationships/hyperlink" Target="https://www.jumia.ci/generic-brosse-a-dents-electrique-pour-adultes-poils-doux-dupont-portable-longue-autonomie-etancheite-ipx6-soin-buccal-intelligent-et-efficace.-32104864.html" TargetMode="External" Id="rId50" /><Relationship Type="http://schemas.openxmlformats.org/officeDocument/2006/relationships/hyperlink" Target="https://www.jumia.ci/generic-brosse-a-dents-electrique-pour-adultes-poils-doux-dupont-portable-longue-autonomie-etancheite-ipx6-soin-buccal-intelligent-et-efficace.-32104864.html" TargetMode="External" Id="rId51" /><Relationship Type="http://schemas.openxmlformats.org/officeDocument/2006/relationships/hyperlink" Target="https://www.jumia.ci/oipetluck-brosse-a-dents-electrique-sonique-professionnelle-blanche-avec-3-tetes-de-brosse-5-modes-et-chargement-usb-pour-un-nettoyage-en-profondeur-et-un-blanchiment-des-dents-31643118.html" TargetMode="External" Id="rId52" /><Relationship Type="http://schemas.openxmlformats.org/officeDocument/2006/relationships/hyperlink" Target="https://www.jumia.ci/generic-brosse-a-dents-electrique-pour-adultes-poils-doux-dupont-portable-longue-autonomie-etancheite-ipx6-soin-buccal-intelligent-et-efficace.-32104864.html" TargetMode="External" Id="rId53" /><Relationship Type="http://schemas.openxmlformats.org/officeDocument/2006/relationships/hyperlink" Target="https://www.walmart.com/ip/Colgate-360-Advanced-Battery-Powered-Toothbrush-w-Cheek-Tongue-cleaner/21949532" TargetMode="External" Id="rId54" /><Relationship Type="http://schemas.openxmlformats.org/officeDocument/2006/relationships/hyperlink" Target="https://www.walmart.com/ip/Colgate-360-Advanced-Battery-Powered-Toothbrush-w-Cheek-Tongue-cleaner/21949532" TargetMode="External" Id="rId55" /><Relationship Type="http://schemas.openxmlformats.org/officeDocument/2006/relationships/hyperlink" Target="https://www.walmart.com/ip/Colgate-360-Advanced-Battery-Powered-Toothbrush-w-Cheek-Tongue-cleaner/21949532" TargetMode="External" Id="rId56" /><Relationship Type="http://schemas.openxmlformats.org/officeDocument/2006/relationships/hyperlink" Target="https://www.walmart.com/ip/Colgate-360-Advanced-Battery-Powered-Toothbrush-w-Cheek-Tongue-cleaner/21949532" TargetMode="External" Id="rId57" /><Relationship Type="http://schemas.openxmlformats.org/officeDocument/2006/relationships/hyperlink" Target="https://www.walmart.com/ip/Colgate-360-Advanced-Battery-Powered-Toothbrush-w-Cheek-Tongue-cleaner/21949532" TargetMode="External" Id="rId58" /><Relationship Type="http://schemas.openxmlformats.org/officeDocument/2006/relationships/hyperlink" Target="https://www.walmart.com/ip/Colgate-360-Advanced-Battery-Powered-Toothbrush-w-Cheek-Tongue-cleaner/21949532" TargetMode="External" Id="rId59" /><Relationship Type="http://schemas.openxmlformats.org/officeDocument/2006/relationships/hyperlink" Target="https://www.walmart.com/ip/Colgate-360-Advanced-Battery-Powered-Toothbrush-w-Cheek-Tongue-cleaner/21949532" TargetMode="External" Id="rId60" /><Relationship Type="http://schemas.openxmlformats.org/officeDocument/2006/relationships/hyperlink" Target="https://www.walmart.com/ip/Colgate-360-Advanced-Battery-Powered-Toothbrush-w-Cheek-Tongue-cleaner/21949532" TargetMode="External" Id="rId61" /><Relationship Type="http://schemas.openxmlformats.org/officeDocument/2006/relationships/hyperlink" Target="https://ci.oraimo.com/product/oraimo-magnisonic-electric-toothbrush-opc-et500n" TargetMode="External" Id="rId62" /><Relationship Type="http://schemas.openxmlformats.org/officeDocument/2006/relationships/hyperlink" Target="https://www.walmart.com/ip/Colgate-360-Advanced-Battery-Powered-Toothbrush-w-Cheek-Tongue-cleaner/21949532" TargetMode="External" Id="rId63" /><Relationship Type="http://schemas.openxmlformats.org/officeDocument/2006/relationships/hyperlink" Target="https://www.walmart.com/ip/Colgate-360-Advanced-Battery-Powered-Toothbrush-w-Cheek-Tongue-cleaner/21949532" TargetMode="External" Id="rId64" /><Relationship Type="http://schemas.openxmlformats.org/officeDocument/2006/relationships/hyperlink" Target="https://www.walmart.com/ip/Colgate-360-Advanced-Battery-Powered-Toothbrush-w-Cheek-Tongue-cleaner/21949532" TargetMode="External" Id="rId65" /><Relationship Type="http://schemas.openxmlformats.org/officeDocument/2006/relationships/hyperlink" Target="https://www.walmart.com/ip/Colgate-360-Advanced-Battery-Powered-Toothbrush-w-Cheek-Tongue-cleaner/21949532" TargetMode="External" Id="rId66" /><Relationship Type="http://schemas.openxmlformats.org/officeDocument/2006/relationships/hyperlink" Target="https://www.walmart.com/ip/Colgate-360-Advanced-Battery-Powered-Toothbrush-w-Cheek-Tongue-cleaner/21949532" TargetMode="External" Id="rId67" /><Relationship Type="http://schemas.openxmlformats.org/officeDocument/2006/relationships/hyperlink" Target="https://www.walmart.com/ip/Colgate-360-Advanced-Battery-Powered-Toothbrush-w-Cheek-Tongue-cleaner/21949532" TargetMode="External" Id="rId68" /><Relationship Type="http://schemas.openxmlformats.org/officeDocument/2006/relationships/hyperlink" Target="https://www.walmart.com/ip/Colgate-360-Advanced-Battery-Powered-Toothbrush-w-Cheek-Tongue-cleaner/21949532" TargetMode="External" Id="rId69" /><Relationship Type="http://schemas.openxmlformats.org/officeDocument/2006/relationships/hyperlink" Target="https://www.walmart.com/ip/Colgate-360-Advanced-Battery-Powered-Toothbrush-w-Cheek-Tongue-cleaner/21949532" TargetMode="External" Id="rId70" /><Relationship Type="http://schemas.openxmlformats.org/officeDocument/2006/relationships/hyperlink" Target="https://www.walmart.com/ip/Colgate-360-Advanced-Battery-Powered-Toothbrush-w-Cheek-Tongue-cleaner/21949532" TargetMode="External" Id="rId71" /><Relationship Type="http://schemas.openxmlformats.org/officeDocument/2006/relationships/hyperlink" Target="https://www.walmart.com/ip/Colgate-360-Advanced-Battery-Powered-Toothbrush-w-Cheek-Tongue-cleaner/21949532" TargetMode="External" Id="rId72" /><Relationship Type="http://schemas.openxmlformats.org/officeDocument/2006/relationships/hyperlink" Target="https://www.walmart.com/ip/Colgate-360-Advanced-Battery-Powered-Toothbrush-w-Cheek-Tongue-cleaner/21949532" TargetMode="External" Id="rId73" /><Relationship Type="http://schemas.openxmlformats.org/officeDocument/2006/relationships/hyperlink" Target="https://www.walmart.com/ip/Colgate-360-Advanced-Battery-Powered-Toothbrush-w-Cheek-Tongue-cleaner/21949532" TargetMode="External" Id="rId74" /><Relationship Type="http://schemas.openxmlformats.org/officeDocument/2006/relationships/hyperlink" Target="https://www.walmart.com/ip/Colgate-360-Advanced-Battery-Powered-Toothbrush-w-Cheek-Tongue-cleaner/21949532" TargetMode="External" Id="rId75" /><Relationship Type="http://schemas.openxmlformats.org/officeDocument/2006/relationships/hyperlink" Target="https://www.walmart.com/ip/Colgate-360-Advanced-Battery-Powered-Toothbrush-w-Cheek-Tongue-cleaner/21949532" TargetMode="External" Id="rId76" /><Relationship Type="http://schemas.openxmlformats.org/officeDocument/2006/relationships/hyperlink" Target="https://www.walmart.com/ip/Colgate-360-Advanced-Battery-Powered-Toothbrush-w-Cheek-Tongue-cleaner/21949532" TargetMode="External" Id="rId77" /><Relationship Type="http://schemas.openxmlformats.org/officeDocument/2006/relationships/hyperlink" Target="https://www.walmart.com/ip/Colgate-360-Advanced-Battery-Powered-Toothbrush-w-Cheek-Tongue-cleaner/21949532" TargetMode="External" Id="rId78" /><Relationship Type="http://schemas.openxmlformats.org/officeDocument/2006/relationships/hyperlink" Target="https://www.walmart.com/ip/Colgate-360-Advanced-Battery-Powered-Toothbrush-w-Cheek-Tongue-cleaner/21949532" TargetMode="External" Id="rId79" /><Relationship Type="http://schemas.openxmlformats.org/officeDocument/2006/relationships/hyperlink" Target="https://www.walmart.com/ip/Colgate-360-Advanced-Battery-Powered-Toothbrush-w-Cheek-Tongue-cleaner/21949532" TargetMode="External" Id="rId80" /><Relationship Type="http://schemas.openxmlformats.org/officeDocument/2006/relationships/hyperlink" Target="https://www.walmart.com/ip/Colgate-360-Advanced-Battery-Powered-Toothbrush-w-Cheek-Tongue-cleaner/21949532" TargetMode="External" Id="rId81" /><Relationship Type="http://schemas.openxmlformats.org/officeDocument/2006/relationships/hyperlink" Target="https://www.walmart.com/ip/Colgate-360-Advanced-Battery-Powered-Toothbrush-w-Cheek-Tongue-cleaner/21949532" TargetMode="External" Id="rId82" /><Relationship Type="http://schemas.openxmlformats.org/officeDocument/2006/relationships/hyperlink" Target="https://www.walmart.com/ip/Colgate-360-Advanced-Battery-Powered-Toothbrush-w-Cheek-Tongue-cleaner/21949532" TargetMode="External" Id="rId83" /><Relationship Type="http://schemas.openxmlformats.org/officeDocument/2006/relationships/hyperlink" Target="https://www.walmart.com/ip/Colgate-360-Advanced-Battery-Powered-Toothbrush-w-Cheek-Tongue-cleaner/21949532" TargetMode="External" Id="rId84" /><Relationship Type="http://schemas.openxmlformats.org/officeDocument/2006/relationships/hyperlink" Target="https://www.jumia.ci/generic-brosse-a-dents-electrique-pour-adultes-poils-doux-dupont-portable-longue-autonomie-etancheite-ipx6-soin-buccal-intelligent-et-efficace.-32104864.html" TargetMode="External" Id="rId85" /><Relationship Type="http://schemas.openxmlformats.org/officeDocument/2006/relationships/hyperlink" Target="https://www.jumia.ci/generic-brosse-a-dents-electrique-pour-adultes-poils-doux-dupont-portable-longue-autonomie-etancheite-ipx6-soin-buccal-intelligent-et-efficace.-32104864.html" TargetMode="External" Id="rId86" /><Relationship Type="http://schemas.openxmlformats.org/officeDocument/2006/relationships/hyperlink" Target="https://ci.oraimo.com/product/oraimo-smartdent-c2-powerful-sonic-cleaning-electric-toothbrush?ean=4895180779541" TargetMode="External" Id="rId87" /><Relationship Type="http://schemas.openxmlformats.org/officeDocument/2006/relationships/hyperlink" Target="https://ci.oraimo.com/product/oraimo-smartdent-c2-powerful-sonic-cleaning-electric-toothbrush?ean=4895180779541" TargetMode="External" Id="rId88" /><Relationship Type="http://schemas.openxmlformats.org/officeDocument/2006/relationships/hyperlink" Target="https://ci.oraimo.com/product/oraimo-smartdent-c2-powerful-sonic-cleaning-electric-toothbrush?ean=4895180779541" TargetMode="External" Id="rId89" /><Relationship Type="http://schemas.openxmlformats.org/officeDocument/2006/relationships/hyperlink" Target="https://ci.oraimo.com/product/oraimo-smartdent-c2-powerful-sonic-cleaning-electric-toothbrush?ean=4895180779541" TargetMode="External" Id="rId90" /><Relationship Type="http://schemas.openxmlformats.org/officeDocument/2006/relationships/hyperlink" Target="https://ci.oraimo.com/product/oraimo-smartdent-c2-powerful-sonic-cleaning-electric-toothbrush?ean=4895180779541" TargetMode="External" Id="rId91" /><Relationship Type="http://schemas.openxmlformats.org/officeDocument/2006/relationships/hyperlink" Target="https://ci.oraimo.com/product/oraimo-smartdent-c2-powerful-sonic-cleaning-electric-toothbrush?ean=4895180779541" TargetMode="External" Id="rId92" /><Relationship Type="http://schemas.openxmlformats.org/officeDocument/2006/relationships/hyperlink" Target="https://www.walmart.com/ip/Oral-B-Kid-s-Battery-Toothbrush-featuring-Disney-Princess-for-Kids-3/562547696" TargetMode="External" Id="rId93" /><Relationship Type="http://schemas.openxmlformats.org/officeDocument/2006/relationships/hyperlink" Target="https://www.walmart.com/ip/Oral-B-Kid-s-Battery-Toothbrush-featuring-Disney-Princess-for-Kids-3/562547696" TargetMode="External" Id="rId94" /><Relationship Type="http://schemas.openxmlformats.org/officeDocument/2006/relationships/hyperlink" Target="https://www.walmart.com/ip/Oral-B-Kid-s-Battery-Toothbrush-featuring-Disney-Princess-for-Kids-3/562547696" TargetMode="External" Id="rId95" /><Relationship Type="http://schemas.openxmlformats.org/officeDocument/2006/relationships/hyperlink" Target="https://www.walmart.com/ip/Oral-B-Kid-s-Battery-Toothbrush-featuring-Disney-Princess-for-Kids-3/562547696" TargetMode="External" Id="rId96" /><Relationship Type="http://schemas.openxmlformats.org/officeDocument/2006/relationships/hyperlink" Target="https://www.walmart.com/ip/Oral-B-Kid-s-Battery-Toothbrush-featuring-Disney-Princess-for-Kids-3/562547696" TargetMode="External" Id="rId97" /><Relationship Type="http://schemas.openxmlformats.org/officeDocument/2006/relationships/hyperlink" Target="https://www.walmart.com/ip/Oral-B-Kid-s-Battery-Toothbrush-featuring-Disney-Princess-for-Kids-3/562547696" TargetMode="External" Id="rId98" /><Relationship Type="http://schemas.openxmlformats.org/officeDocument/2006/relationships/hyperlink" Target="https://www.walmart.com/ip/Oral-B-Kid-s-Battery-Toothbrush-featuring-Disney-Princess-for-Kids-3/562547696" TargetMode="External" Id="rId99" /><Relationship Type="http://schemas.openxmlformats.org/officeDocument/2006/relationships/hyperlink" Target="https://www.walmart.com/ip/Oral-B-Kid-s-Battery-Toothbrush-featuring-Disney-Princess-for-Kids-3/562547696" TargetMode="External" Id="rId100" /><Relationship Type="http://schemas.openxmlformats.org/officeDocument/2006/relationships/hyperlink" Target="https://www.walmart.com/ip/Oral-B-Kid-s-Battery-Toothbrush-featuring-Disney-Princess-for-Kids-3/562547696" TargetMode="External" Id="rId101" /><Relationship Type="http://schemas.openxmlformats.org/officeDocument/2006/relationships/hyperlink" Target="https://www.walmart.com/ip/Oral-B-Kid-s-Battery-Toothbrush-featuring-Disney-Princess-for-Kids-3/562547696" TargetMode="External" Id="rId102" /><Relationship Type="http://schemas.openxmlformats.org/officeDocument/2006/relationships/hyperlink" Target="https://ci.oraimo.com/product/oraimo-smartdent-c2-powerful-sonic-cleaning-electric-toothbrush?ean=4895180779541" TargetMode="External" Id="rId103" /><Relationship Type="http://schemas.openxmlformats.org/officeDocument/2006/relationships/hyperlink" Target="https://ci.oraimo.com/product/oraimo-smartdent-c2-powerful-sonic-cleaning-electric-toothbrush?ean=4895180779541" TargetMode="External" Id="rId104" /><Relationship Type="http://schemas.openxmlformats.org/officeDocument/2006/relationships/hyperlink" Target="https://ci.oraimo.com/product/oraimo-smartdent-c2-powerful-sonic-cleaning-electric-toothbrush?ean=4895180779541" TargetMode="External" Id="rId105" /><Relationship Type="http://schemas.openxmlformats.org/officeDocument/2006/relationships/hyperlink" Target="https://ci.oraimo.com/product/oraimo-smartdent-c2-powerful-sonic-cleaning-electric-toothbrush?ean=4895180779541" TargetMode="External" Id="rId106" /><Relationship Type="http://schemas.openxmlformats.org/officeDocument/2006/relationships/hyperlink" Target="https://www.eas.ci/product/brosse-a-dents-electrique-oscillante-xiaomi-bhr9809gl-bleu/" TargetMode="External" Id="rId107" /><Relationship Type="http://schemas.openxmlformats.org/officeDocument/2006/relationships/hyperlink" Target="https://www.walmart.com/ip/Colgate-360-Advanced-Battery-Powered-Toothbrush-w-Cheek-Tongue-cleaner/21949532" TargetMode="External" Id="rId108" /><Relationship Type="http://schemas.openxmlformats.org/officeDocument/2006/relationships/hyperlink" Target="https://www.eas.ci/product/brosse-a-dents-electrique-oscillante-xiaomi-bhr9809gl-bleu/" TargetMode="External" Id="rId109" /><Relationship Type="http://schemas.openxmlformats.org/officeDocument/2006/relationships/hyperlink" Target="https://www.walmart.com/ip/Oral-B-Kid-s-Battery-Toothbrush-featuring-Disney-Princess-for-Kids-3/562547696" TargetMode="External" Id="rId110" /><Relationship Type="http://schemas.openxmlformats.org/officeDocument/2006/relationships/hyperlink" Target="https://www.walmart.com/ip/Colgate-360-Advanced-Battery-Powered-Toothbrush-w-Cheek-Tongue-cleaner/21949532" TargetMode="External" Id="rId111" /><Relationship Type="http://schemas.openxmlformats.org/officeDocument/2006/relationships/hyperlink" Target="https://www.walmart.com/ip/Oral-B-Kid-s-Battery-Toothbrush-featuring-Disney-Princess-for-Kids-3/562547696" TargetMode="External" Id="rId112" /><Relationship Type="http://schemas.openxmlformats.org/officeDocument/2006/relationships/hyperlink" Target="https://www.walmart.com/ip/Oral-B-Kid-s-Battery-Toothbrush-featuring-Disney-Princess-for-Kids-3/562547696" TargetMode="External" Id="rId113" /><Relationship Type="http://schemas.openxmlformats.org/officeDocument/2006/relationships/hyperlink" Target="https://www.walmart.com/ip/Colgate-360-Advanced-Battery-Powered-Toothbrush-w-Cheek-Tongue-cleaner/21949532" TargetMode="External" Id="rId114" /><Relationship Type="http://schemas.openxmlformats.org/officeDocument/2006/relationships/hyperlink" Target="https://www.eas.ci/product/brosse-a-dents-electrique-oscillante-xiaomi-bhr9809gl-bleu/" TargetMode="External" Id="rId115" /><Relationship Type="http://schemas.openxmlformats.org/officeDocument/2006/relationships/hyperlink" Target="https://www.eas.ci/product/brosse-a-dents-electrique-oscillante-xiaomi-bhr9809gl-bleu/" TargetMode="External" Id="rId116" /><Relationship Type="http://schemas.openxmlformats.org/officeDocument/2006/relationships/hyperlink" Target="https://www.jumia.ci/generic-kit-de-nettoyage-dentaire-brosse-a-dents-et-nettoyeur-dentaire-integres-32120678.html" TargetMode="External" Id="rId117" /><Relationship Type="http://schemas.openxmlformats.org/officeDocument/2006/relationships/hyperlink" Target="https://www.jumia.ci/generic-kit-de-nettoyage-dentaire-brosse-a-dents-et-nettoyeur-dentaire-integres-32120678.html" TargetMode="External" Id="rId118" /><Relationship Type="http://schemas.openxmlformats.org/officeDocument/2006/relationships/hyperlink" Target="https://www.jumia.ci/generic-kit-de-nettoyage-dentaire-brosse-a-dents-et-nettoyeur-dentaire-integres-32120678.html" TargetMode="External" Id="rId119" /><Relationship Type="http://schemas.openxmlformats.org/officeDocument/2006/relationships/hyperlink" Target="https://www.jumia.ci/generic-kit-de-nettoyage-dentaire-brosse-a-dents-et-nettoyeur-dentaire-integres-32120678.html" TargetMode="External" Id="rId120" /><Relationship Type="http://schemas.openxmlformats.org/officeDocument/2006/relationships/hyperlink" Target="https://www.jumia.ci/generic-kit-de-nettoyage-dentaire-brosse-a-dents-et-nettoyeur-dentaire-integres-32120678.html" TargetMode="External" Id="rId121" /><Relationship Type="http://schemas.openxmlformats.org/officeDocument/2006/relationships/hyperlink" Target="https://www.jumia.ci/generic-kit-de-nettoyage-dentaire-brosse-a-dents-et-nettoyeur-dentaire-integres-32120678.html" TargetMode="External" Id="rId122" /><Relationship Type="http://schemas.openxmlformats.org/officeDocument/2006/relationships/hyperlink" Target="https://www.jumia.ci/generic-kit-de-nettoyage-dentaire-brosse-a-dents-et-nettoyeur-dentaire-integres-32120678.html" TargetMode="External" Id="rId123" /><Relationship Type="http://schemas.openxmlformats.org/officeDocument/2006/relationships/hyperlink" Target="https://www.jumia.ci/generic-kit-de-nettoyage-dentaire-brosse-a-dents-et-nettoyeur-dentaire-integres-32120678.html" TargetMode="External" Id="rId124" /><Relationship Type="http://schemas.openxmlformats.org/officeDocument/2006/relationships/hyperlink" Target="https://www.jumia.ci/generic-kit-de-nettoyage-dentaire-brosse-a-dents-et-nettoyeur-dentaire-integres-32120678.html" TargetMode="External" Id="rId125" /><Relationship Type="http://schemas.openxmlformats.org/officeDocument/2006/relationships/hyperlink" Target="https://www.jumia.ci/generic-kit-de-nettoyage-dentaire-brosse-a-dents-et-nettoyeur-dentaire-integres-32120678.html" TargetMode="External" Id="rId126" /><Relationship Type="http://schemas.openxmlformats.org/officeDocument/2006/relationships/hyperlink" Target="https://www.jumia.ci/generic-kit-de-nettoyage-dentaire-brosse-a-dents-et-nettoyeur-dentaire-integres-32120678.html" TargetMode="External" Id="rId127" /><Relationship Type="http://schemas.openxmlformats.org/officeDocument/2006/relationships/hyperlink" Target="https://djokstore.ci/collections/brosse-a-dent/products/tetes-de-rechange-brosse-a-dents-electrique-decakila-kmtb008w" TargetMode="External" Id="rId128" /><Relationship Type="http://schemas.openxmlformats.org/officeDocument/2006/relationships/hyperlink" Target="https://djokstore.ci/collections/brosse-a-dent/products/tetes-de-rechange-brosse-a-dents-electrique-decakila-kmtb008w" TargetMode="External" Id="rId129" /><Relationship Type="http://schemas.openxmlformats.org/officeDocument/2006/relationships/hyperlink" Target="https://djokstore.ci/collections/brosse-a-dent/products/tetes-de-rechange-brosse-a-dents-electrique-decakila-kmtb008w" TargetMode="External" Id="rId130" /><Relationship Type="http://schemas.openxmlformats.org/officeDocument/2006/relationships/hyperlink" Target="https://djokstore.ci/collections/brosse-a-dent/products/tetes-de-rechange-brosse-a-dents-electrique-decakila-kmtb008w" TargetMode="External" Id="rId131" /><Relationship Type="http://schemas.openxmlformats.org/officeDocument/2006/relationships/hyperlink" Target="https://djokstore.ci/collections/brosse-a-dent/products/tetes-de-rechange-brosse-a-dents-electrique-decakila-kmtb008w" TargetMode="External" Id="rId132" /><Relationship Type="http://schemas.openxmlformats.org/officeDocument/2006/relationships/hyperlink" Target="https://djokstore.ci/collections/brosse-a-dent/products/tetes-de-rechange-brosse-a-dents-electrique-decakila-kmtb008w" TargetMode="External" Id="rId133" /><Relationship Type="http://schemas.openxmlformats.org/officeDocument/2006/relationships/hyperlink" Target="https://djokstore.ci/collections/brosse-a-dent/products/tetes-de-rechange-brosse-a-dents-electrique-decakila-kmtb008w" TargetMode="External" Id="rId134" /><Relationship Type="http://schemas.openxmlformats.org/officeDocument/2006/relationships/hyperlink" Target="https://djokstore.ci/collections/brosse-a-dent/products/tetes-de-rechange-brosse-a-dents-electrique-decakila-kmtb008w" TargetMode="External" Id="rId135" /><Relationship Type="http://schemas.openxmlformats.org/officeDocument/2006/relationships/hyperlink" Target="https://djokstore.ci/collections/brosse-a-dent/products/tetes-de-rechange-brosse-a-dents-electrique-decakila-kmtb008w" TargetMode="External" Id="rId136" /><Relationship Type="http://schemas.openxmlformats.org/officeDocument/2006/relationships/hyperlink" Target="https://djokstore.ci/collections/brosse-a-dent/products/tetes-de-rechange-brosse-a-dents-electrique-decakila-kmtb008w" TargetMode="External" Id="rId137" /><Relationship Type="http://schemas.openxmlformats.org/officeDocument/2006/relationships/hyperlink" Target="https://djokstore.ci/collections/brosse-a-dent/products/tetes-de-rechange-brosse-a-dents-electrique-decakila-kmtb008w" TargetMode="External" Id="rId138" /><Relationship Type="http://schemas.openxmlformats.org/officeDocument/2006/relationships/hyperlink" Target="https://djokstore.ci/collections/brosse-a-dent/products/tetes-de-rechange-brosse-a-dents-electrique-decakila-kmtb008w" TargetMode="External" Id="rId139" /><Relationship Type="http://schemas.openxmlformats.org/officeDocument/2006/relationships/hyperlink" Target="https://djokstore.ci/collections/brosse-a-dent/products/tetes-de-rechange-brosse-a-dents-electrique-decakila-kmtb008w" TargetMode="External" Id="rId140" /><Relationship Type="http://schemas.openxmlformats.org/officeDocument/2006/relationships/hyperlink" Target="https://djokstore.ci/collections/brosse-a-dent/products/tetes-de-rechange-brosse-a-dents-electrique-decakila-kmtb008w" TargetMode="External" Id="rId141" /><Relationship Type="http://schemas.openxmlformats.org/officeDocument/2006/relationships/hyperlink" Target="https://djokstore.ci/collections/brosse-a-dent/products/tetes-de-rechange-brosse-a-dents-electrique-decakila-kmtb008w" TargetMode="External" Id="rId142" /><Relationship Type="http://schemas.openxmlformats.org/officeDocument/2006/relationships/hyperlink" Target="https://djokstore.ci/collections/brosse-a-dent/products/tetes-de-rechange-brosse-a-dents-electrique-decakila-kmtb008w" TargetMode="External" Id="rId143" /><Relationship Type="http://schemas.openxmlformats.org/officeDocument/2006/relationships/hyperlink" Target="https://djokstore.ci/collections/brosse-a-dent/products/tetes-de-rechange-brosse-a-dents-electrique-decakila-kmtb008w" TargetMode="External" Id="rId144" /><Relationship Type="http://schemas.openxmlformats.org/officeDocument/2006/relationships/hyperlink" Target="https://djokstore.ci/collections/brosse-a-dent/products/tetes-de-rechange-brosse-a-dents-electrique-decakila-kmtb008w" TargetMode="External" Id="rId145" /><Relationship Type="http://schemas.openxmlformats.org/officeDocument/2006/relationships/hyperlink" Target="https://www.jumia.ci/generic-brosse-a-dents-electrique-pour-adultes-poils-doux-dupont-portable-longue-autonomie-etancheite-ipx6-soin-buccal-intelligent-et-efficace.-32104864.html" TargetMode="External" Id="rId146" /><Relationship Type="http://schemas.openxmlformats.org/officeDocument/2006/relationships/hyperlink" Target="https://djokstore.ci/collections/brosse-a-dent/products/tetes-de-rechange-brosse-a-dents-electrique-decakila-kmtb008w" TargetMode="External" Id="rId147" /><Relationship Type="http://schemas.openxmlformats.org/officeDocument/2006/relationships/hyperlink" Target="https://djokstore.ci/collections/brosse-a-dent/products/tetes-de-rechange-brosse-a-dents-electrique-decakila-kmtb008w" TargetMode="External" Id="rId148" /><Relationship Type="http://schemas.openxmlformats.org/officeDocument/2006/relationships/hyperlink" Target="https://djokstore.ci/collections/brosse-a-dent/products/tetes-de-rechange-brosse-a-dents-electrique-decakila-kmtb008w" TargetMode="External" Id="rId149" /><Relationship Type="http://schemas.openxmlformats.org/officeDocument/2006/relationships/hyperlink" Target="https://djokstore.ci/collections/brosse-a-dent/products/tetes-de-rechange-brosse-a-dents-electrique-decakila-kmtb008w" TargetMode="External" Id="rId150" /><Relationship Type="http://schemas.openxmlformats.org/officeDocument/2006/relationships/hyperlink" Target="https://djokstore.ci/collections/brosse-a-dent/products/tetes-de-rechange-brosse-a-dents-electrique-decakila-kmtb008w" TargetMode="External" Id="rId151" /><Relationship Type="http://schemas.openxmlformats.org/officeDocument/2006/relationships/hyperlink" Target="https://djokstore.ci/collections/brosse-a-dent/products/tetes-de-rechange-brosse-a-dents-electrique-decakila-kmtb008w" TargetMode="External" Id="rId152" /><Relationship Type="http://schemas.openxmlformats.org/officeDocument/2006/relationships/hyperlink" Target="https://djokstore.ci/collections/brosse-a-dent/products/tetes-de-rechange-brosse-a-dents-electrique-decakila-kmtb008w" TargetMode="External" Id="rId153" /><Relationship Type="http://schemas.openxmlformats.org/officeDocument/2006/relationships/hyperlink" Target="https://djokstore.ci/collections/brosse-a-dent/products/tetes-de-rechange-brosse-a-dents-electrique-decakila-kmtb008w" TargetMode="External" Id="rId154" /><Relationship Type="http://schemas.openxmlformats.org/officeDocument/2006/relationships/hyperlink" Target="https://djokstore.ci/collections/brosse-a-dent/products/tetes-de-rechange-brosse-a-dents-electrique-decakila-kmtb008w" TargetMode="External" Id="rId155" /><Relationship Type="http://schemas.openxmlformats.org/officeDocument/2006/relationships/hyperlink" Target="https://djokstore.ci/collections/brosse-a-dent/products/tetes-de-rechange-brosse-a-dents-electrique-decakila-kmtb008w" TargetMode="External" Id="rId156" /><Relationship Type="http://schemas.openxmlformats.org/officeDocument/2006/relationships/hyperlink" Target="https://djokstore.ci/collections/brosse-a-dent/products/tetes-de-rechange-brosse-a-dents-electrique-decakila-kmtb008w" TargetMode="External" Id="rId157" /><Relationship Type="http://schemas.openxmlformats.org/officeDocument/2006/relationships/hyperlink" Target="https://djokstore.ci/collections/brosse-a-dent/products/tetes-de-rechange-brosse-a-dents-electrique-decakila-kmtb008w" TargetMode="External" Id="rId158" /><Relationship Type="http://schemas.openxmlformats.org/officeDocument/2006/relationships/hyperlink" Target="https://djokstore.ci/collections/brosse-a-dent/products/tetes-de-rechange-brosse-a-dents-electrique-decakila-kmtb008w" TargetMode="External" Id="rId159" /><Relationship Type="http://schemas.openxmlformats.org/officeDocument/2006/relationships/hyperlink" Target="https://djokstore.ci/collections/brosse-a-dent/products/tetes-de-rechange-brosse-a-dents-electrique-decakila-kmtb008w" TargetMode="External" Id="rId160" /><Relationship Type="http://schemas.openxmlformats.org/officeDocument/2006/relationships/hyperlink" Target="https://djokstore.ci/collections/brosse-a-dent/products/tetes-de-rechange-brosse-a-dents-electrique-decakila-kmtb008w" TargetMode="External" Id="rId161" /><Relationship Type="http://schemas.openxmlformats.org/officeDocument/2006/relationships/hyperlink" Target="https://djokstore.ci/collections/brosse-a-dent/products/tetes-de-rechange-brosse-a-dents-electrique-decakila-kmtb008w" TargetMode="External" Id="rId162" /><Relationship Type="http://schemas.openxmlformats.org/officeDocument/2006/relationships/hyperlink" Target="https://djokstore.ci/collections/brosse-a-dent/products/tetes-de-rechange-brosse-a-dents-electrique-decakila-kmtb008w" TargetMode="External" Id="rId163" /><Relationship Type="http://schemas.openxmlformats.org/officeDocument/2006/relationships/hyperlink" Target="https://djokstore.ci/collections/brosse-a-dent/products/tetes-de-rechange-brosse-a-dents-electrique-decakila-kmtb008w" TargetMode="External" Id="rId164" /><Relationship Type="http://schemas.openxmlformats.org/officeDocument/2006/relationships/hyperlink" Target="https://djokstore.ci/collections/brosse-a-dent/products/tetes-de-rechange-brosse-a-dents-electrique-decakila-kmtb008w" TargetMode="External" Id="rId165" /><Relationship Type="http://schemas.openxmlformats.org/officeDocument/2006/relationships/hyperlink" Target="https://djokstore.ci/collections/brosse-a-dent/products/tetes-de-rechange-brosse-a-dents-electrique-decakila-kmtb008w" TargetMode="External" Id="rId166" /><Relationship Type="http://schemas.openxmlformats.org/officeDocument/2006/relationships/hyperlink" Target="https://djokstore.ci/collections/brosse-a-dent/products/tetes-de-rechange-brosse-a-dents-electrique-decakila-kmtb008w" TargetMode="External" Id="rId167" /><Relationship Type="http://schemas.openxmlformats.org/officeDocument/2006/relationships/hyperlink" Target="https://djokstore.ci/collections/brosse-a-dent/products/tetes-de-rechange-brosse-a-dents-electrique-decakila-kmtb008w" TargetMode="External" Id="rId168" /><Relationship Type="http://schemas.openxmlformats.org/officeDocument/2006/relationships/hyperlink" Target="https://djokstore.ci/collections/brosse-a-dent/products/tetes-de-rechange-brosse-a-dents-electrique-decakila-kmtb008w" TargetMode="External" Id="rId169" /><Relationship Type="http://schemas.openxmlformats.org/officeDocument/2006/relationships/hyperlink" Target="https://djokstore.ci/collections/brosse-a-dent/products/tetes-de-rechange-brosse-a-dents-electrique-decakila-kmtb008w" TargetMode="External" Id="rId170" /><Relationship Type="http://schemas.openxmlformats.org/officeDocument/2006/relationships/hyperlink" Target="https://djokstore.ci/collections/brosse-a-dent/products/tetes-de-rechange-brosse-a-dents-electrique-decakila-kmtb008w" TargetMode="External" Id="rId171" /><Relationship Type="http://schemas.openxmlformats.org/officeDocument/2006/relationships/hyperlink" Target="https://djokstore.ci/collections/brosse-a-dent/products/tetes-de-rechange-brosse-a-dents-electrique-decakila-kmtb008w" TargetMode="External" Id="rId172" /><Relationship Type="http://schemas.openxmlformats.org/officeDocument/2006/relationships/hyperlink" Target="https://djokstore.ci/collections/brosse-a-dent/products/tetes-de-rechange-brosse-a-dents-electrique-decakila-kmtb008w" TargetMode="External" Id="rId173" /><Relationship Type="http://schemas.openxmlformats.org/officeDocument/2006/relationships/hyperlink" Target="https://djokstore.ci/collections/brosse-a-dent/products/tetes-de-rechange-brosse-a-dents-electrique-decakila-kmtb008w" TargetMode="External" Id="rId174" /><Relationship Type="http://schemas.openxmlformats.org/officeDocument/2006/relationships/hyperlink" Target="https://djokstore.ci/collections/brosse-a-dent/products/tetes-de-rechange-brosse-a-dents-electrique-decakila-kmtb008w" TargetMode="External" Id="rId175" /><Relationship Type="http://schemas.openxmlformats.org/officeDocument/2006/relationships/hyperlink" Target="https://djokstore.ci/collections/brosse-a-dent/products/tetes-de-rechange-brosse-a-dents-electrique-decakila-kmtb008w" TargetMode="External" Id="rId176" /><Relationship Type="http://schemas.openxmlformats.org/officeDocument/2006/relationships/hyperlink" Target="https://www.walmart.com/ip/Oral-B-Cross-Action-Replacement-Brush-Heads-4-Count/142873184" TargetMode="External" Id="rId177" /><Relationship Type="http://schemas.openxmlformats.org/officeDocument/2006/relationships/hyperlink" Target="https://www.walmart.com/ip/Oral-B-Cross-Action-Replacement-Brush-Heads-4-Count/142873184" TargetMode="External" Id="rId178" /><Relationship Type="http://schemas.openxmlformats.org/officeDocument/2006/relationships/hyperlink" Target="https://www.walmart.com/ip/Oral-B-Cross-Action-Replacement-Brush-Heads-4-Count/142873184" TargetMode="External" Id="rId179" /><Relationship Type="http://schemas.openxmlformats.org/officeDocument/2006/relationships/hyperlink" Target="https://www.walmart.com/ip/Oral-B-Cross-Action-Replacement-Brush-Heads-4-Count/142873184" TargetMode="External" Id="rId180" /><Relationship Type="http://schemas.openxmlformats.org/officeDocument/2006/relationships/hyperlink" Target="https://www.waterpik.ch/en/oral-health/products/dental-water-flosser/WP-560/" TargetMode="External" Id="rId181" /><Relationship Type="http://schemas.openxmlformats.org/officeDocument/2006/relationships/hyperlink" Target="https://www.waterpik.ch/en/oral-health/products/dental-water-flosser/WP-560/" TargetMode="External" Id="rId182" /><Relationship Type="http://schemas.openxmlformats.org/officeDocument/2006/relationships/hyperlink" Target="https://www.waterpik.ch/en/oral-health/products/dental-water-flosser/WP-560/" TargetMode="External" Id="rId183" /><Relationship Type="http://schemas.openxmlformats.org/officeDocument/2006/relationships/hyperlink" Target="https://www.waterpik.ch/en/oral-health/products/dental-water-flosser/WP-560/" TargetMode="External" Id="rId184" /><Relationship Type="http://schemas.openxmlformats.org/officeDocument/2006/relationships/hyperlink" Target="https://www.waterpik.ch/en/oral-health/products/dental-water-flosser/WP-560/" TargetMode="External" Id="rId185" /><Relationship Type="http://schemas.openxmlformats.org/officeDocument/2006/relationships/hyperlink" Target="https://www.waterpik.ch/en/oral-health/products/dental-water-flosser/WP-560/" TargetMode="External" Id="rId186"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U20"/>
  <sheetViews>
    <sheetView showGridLines="0" workbookViewId="0">
      <pane xSplit="2" ySplit="10" topLeftCell="C11"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4" customWidth="1" min="3" max="3"/>
    <col width="13" customWidth="1" min="4" max="4"/>
    <col width="22" customWidth="1" min="5" max="5"/>
    <col width="14" customWidth="1" min="6" max="6"/>
    <col width="8" customWidth="1" min="7" max="7"/>
    <col width="11" customWidth="1" min="8" max="8"/>
    <col width="8" customWidth="1" min="9" max="9"/>
    <col width="11" customWidth="1" min="10" max="10"/>
    <col width="40" customWidth="1" min="11" max="11"/>
    <col width="12" customWidth="1" min="12" max="12"/>
    <col width="8" customWidth="1" min="13" max="13"/>
    <col width="11" customWidth="1" min="14" max="14"/>
    <col width="13" customWidth="1" min="15" max="15"/>
    <col width="50" customWidth="1" min="16" max="16"/>
    <col width="8" customWidth="1" min="17" max="17"/>
    <col width="16" customWidth="1" min="18" max="18"/>
    <col width="13" customWidth="1" min="19" max="19"/>
    <col width="60" customWidth="1" min="20" max="20"/>
    <col width="22" customWidth="1" min="21" max="21"/>
  </cols>
  <sheetData>
    <row r="1">
      <c r="A1" s="1" t="inlineStr">
        <is>
          <t>SEAGO 2026 — sélection de 10 références pour Atome Pharma (Côte d'Ivoire, Sénégal)</t>
        </is>
      </c>
    </row>
    <row r="2">
      <c r="A2" s="2" t="inlineStr">
        <is>
          <t>Assortiment hybride : 6 références de volume, 4 références d'image. Prix calés sur le relevé local du 5 septembre 2026 (23 produits, Jumia CI, Jumia SN, Oraimo, Djokstore, EAS).</t>
        </is>
      </c>
    </row>
    <row r="4">
      <c r="A4" s="3" t="inlineStr">
        <is>
          <t>Paramètres</t>
        </is>
      </c>
    </row>
    <row r="5" ht="40" customHeight="1">
      <c r="A5" t="inlineStr">
        <is>
          <t>1 EUR en XOF (parité fixe)</t>
        </is>
      </c>
      <c r="B5" s="4" t="n">
        <v>655.957</v>
      </c>
      <c r="E5" s="5" t="inlineStr">
        <is>
          <t>Méthode : prix courant du concurrent local, moins la décote de son niveau (parité avec les génériques, 25 % sous une marque de milieu de gamme, 30 % sous une marque premium), arrondi au multiple de 500 XOF, jamais sous le plancher. Quand aucun produit local ne correspond, un prix international sert d'ancrage avec une décote de 55, 50 ou 40 % ; la ligne l'indique en gris.</t>
        </is>
      </c>
    </row>
    <row r="6">
      <c r="A6" t="inlineStr">
        <is>
          <t>1 EUR en USD (03/09/2026)</t>
        </is>
      </c>
      <c r="B6" s="6" t="n">
        <v>1.1626</v>
      </c>
      <c r="E6" s="5" t="inlineStr">
        <is>
          <t>Le prix proposé est un calcul, pas un relevé. Le prix barré du vendeur est conservé à titre indicatif. La décote de chaque ligne reste modifiable.</t>
        </is>
      </c>
    </row>
    <row r="7">
      <c r="A7" t="inlineStr">
        <is>
          <t>Décote local : générique / marque milieu / marque premium</t>
        </is>
      </c>
      <c r="B7" s="7" t="n">
        <v>0</v>
      </c>
      <c r="C7" s="7" t="n">
        <v>0.25</v>
      </c>
      <c r="D7" s="7" t="n">
        <v>0.3</v>
      </c>
    </row>
    <row r="8">
      <c r="A8" t="inlineStr">
        <is>
          <t>Plancher de prix (XOF)</t>
        </is>
      </c>
      <c r="B8" s="8" t="n">
        <v>1500</v>
      </c>
    </row>
    <row r="10" ht="44" customHeight="1">
      <c r="A10" s="9" t="inlineStr">
        <is>
          <t>Rang</t>
        </is>
      </c>
      <c r="B10" s="9" t="inlineStr">
        <is>
          <t>Référence</t>
        </is>
      </c>
      <c r="C10" s="9" t="inlineStr">
        <is>
          <t>Catégorie</t>
        </is>
      </c>
      <c r="D10" s="9" t="inlineStr">
        <is>
          <t>Rôle</t>
        </is>
      </c>
      <c r="E10" s="9" t="inlineStr">
        <is>
          <t>Technologie</t>
        </is>
      </c>
      <c r="F10" s="9" t="inlineStr">
        <is>
          <t>Fréquence (str/min)</t>
        </is>
      </c>
      <c r="G10" s="9" t="inlineStr">
        <is>
          <t>Modes</t>
        </is>
      </c>
      <c r="H10" s="9" t="inlineStr">
        <is>
          <t>Autonomie (j)</t>
        </is>
      </c>
      <c r="I10" s="9" t="inlineStr">
        <is>
          <t>IPX</t>
        </is>
      </c>
      <c r="J10" s="9" t="inlineStr">
        <is>
          <t>Capteur pression</t>
        </is>
      </c>
      <c r="K10" s="9" t="inlineStr">
        <is>
          <t>Concurrent local ou ancrage</t>
        </is>
      </c>
      <c r="L10" s="10" t="inlineStr">
        <is>
          <t>Prix courant</t>
        </is>
      </c>
      <c r="M10" s="10" t="inlineStr">
        <is>
          <t>Devise</t>
        </is>
      </c>
      <c r="N10" s="10" t="inlineStr">
        <is>
          <t>Prix barré</t>
        </is>
      </c>
      <c r="O10" s="10" t="inlineStr">
        <is>
          <t>Site</t>
        </is>
      </c>
      <c r="P10" s="10" t="inlineStr">
        <is>
          <t>Lien produit concurrent</t>
        </is>
      </c>
      <c r="Q10" s="11" t="inlineStr">
        <is>
          <t>Décote</t>
        </is>
      </c>
      <c r="R10" s="11" t="inlineStr">
        <is>
          <t>Prix SEAGO proposé (XOF)</t>
        </is>
      </c>
      <c r="S10" s="11" t="inlineStr">
        <is>
          <t>Écart vs concurrent</t>
        </is>
      </c>
      <c r="T10" s="9" t="inlineStr">
        <is>
          <t>Justification</t>
        </is>
      </c>
      <c r="U10" s="9" t="inlineStr">
        <is>
          <t>Changement</t>
        </is>
      </c>
    </row>
    <row r="11" ht="42" customHeight="1">
      <c r="A11" s="12" t="n">
        <v>1</v>
      </c>
      <c r="B11" s="13" t="inlineStr">
        <is>
          <t>SG-2812</t>
        </is>
      </c>
      <c r="C11" s="13" t="inlineStr">
        <is>
          <t>Brosse à dents</t>
        </is>
      </c>
      <c r="D11" s="13" t="inlineStr">
        <is>
          <t>Volume</t>
        </is>
      </c>
      <c r="E11" s="14" t="inlineStr">
        <is>
          <t>Sonique</t>
        </is>
      </c>
      <c r="F11" s="12" t="inlineStr">
        <is>
          <t>28000</t>
        </is>
      </c>
      <c r="G11" s="15" t="inlineStr">
        <is>
          <t>N/D</t>
        </is>
      </c>
      <c r="H11" s="12" t="n">
        <v>100</v>
      </c>
      <c r="I11" s="12" t="inlineStr">
        <is>
          <t>IPX7</t>
        </is>
      </c>
      <c r="J11" s="12" t="inlineStr">
        <is>
          <t>Non</t>
        </is>
      </c>
      <c r="K11" s="14" t="inlineStr">
        <is>
          <t>Colgate 360 Advanced à piles (remplace la ProClinical 150)</t>
        </is>
      </c>
      <c r="L11" s="16" t="n">
        <v>8.84</v>
      </c>
      <c r="M11" s="17" t="inlineStr">
        <is>
          <t>USD</t>
        </is>
      </c>
      <c r="N11" s="18" t="inlineStr">
        <is>
          <t>N/D</t>
        </is>
      </c>
      <c r="O11" s="19" t="inlineStr">
        <is>
          <t>Walmart (US)</t>
        </is>
      </c>
      <c r="P11" s="20" t="inlineStr">
        <is>
          <t>https://www.walmart.com/ip/Colgate-360-Advanced-Battery-Powered-Toothbrush-w-Cheek-Tongue-cleaner/21949532</t>
        </is>
      </c>
      <c r="Q11" s="21" t="n">
        <v>0.55</v>
      </c>
      <c r="R11" s="22">
        <f>IF(L11="","",MAX('Sélection 10'!$B$8,MROUND(ROUND(L11*IF(M11="EUR",'Sélection 10'!$B$5,IF(M11="USD",'Sélection 10'!$B$5/'Sélection 10'!$B$6,1))*(1-Q11),0),500)))</f>
        <v/>
      </c>
      <c r="S11" s="23">
        <f>IF(OR(R11="",L11=""),"",R11/(L11*IF(M11="EUR",$B$5,IF(M11="USD",$B$5/$B$6,1)))-1)</f>
        <v/>
      </c>
      <c r="T11" s="14" t="inlineStr">
        <is>
          <t>Produit d'appel à pile AA, pack 3 têtes, un an d'usage sans chargeur.</t>
        </is>
      </c>
      <c r="U11" s="14" t="inlineStr">
        <is>
          <t>Conservée</t>
        </is>
      </c>
    </row>
    <row r="12" ht="42" customHeight="1">
      <c r="A12" s="24" t="n">
        <v>2</v>
      </c>
      <c r="B12" s="25" t="inlineStr">
        <is>
          <t>SG-2303</t>
        </is>
      </c>
      <c r="C12" s="25" t="inlineStr">
        <is>
          <t>Brosse à dents</t>
        </is>
      </c>
      <c r="D12" s="25" t="inlineStr">
        <is>
          <t>Volume</t>
        </is>
      </c>
      <c r="E12" s="26" t="inlineStr">
        <is>
          <t>Sonique</t>
        </is>
      </c>
      <c r="F12" s="24" t="inlineStr">
        <is>
          <t>40000</t>
        </is>
      </c>
      <c r="G12" s="24" t="n">
        <v>5</v>
      </c>
      <c r="H12" s="24" t="n">
        <v>60</v>
      </c>
      <c r="I12" s="24" t="inlineStr">
        <is>
          <t>IPX7</t>
        </is>
      </c>
      <c r="J12" s="24" t="inlineStr">
        <is>
          <t>Non</t>
        </is>
      </c>
      <c r="K12" s="26" t="inlineStr">
        <is>
          <t>OIPETLUCK Sonique pro 5 modes, 3 têtes, USB</t>
        </is>
      </c>
      <c r="L12" s="27" t="n">
        <v>2359</v>
      </c>
      <c r="M12" s="28" t="inlineStr">
        <is>
          <t>XOF</t>
        </is>
      </c>
      <c r="N12" s="27" t="n">
        <v>4900</v>
      </c>
      <c r="O12" s="29" t="inlineStr">
        <is>
          <t>Jumia CI</t>
        </is>
      </c>
      <c r="P12" s="30" t="inlineStr">
        <is>
          <t>https://www.jumia.ci/oipetluck-brosse-a-dents-electrique-sonique-professionnelle-blanche-avec-3-tetes-de-brosse-5-modes-et-chargement-usb-pour-un-nettoyage-en-profondeur-et-un-blanchiment-des-dents-31643118.html</t>
        </is>
      </c>
      <c r="Q12" s="21" t="n">
        <v>0</v>
      </c>
      <c r="R12" s="22">
        <f>IF(L12="","",MAX('Sélection 10'!$B$8,MROUND(ROUND(L12*IF(M12="EUR",'Sélection 10'!$B$5,IF(M12="USD",'Sélection 10'!$B$5/'Sélection 10'!$B$6,1))*(1-Q12),0),500)))</f>
        <v/>
      </c>
      <c r="S12" s="23">
        <f>IF(OR(R12="",L12=""),"",R12/(L12*IF(M12="EUR",$B$5,IF(M12="USD",$B$5/$B$6,1)))-1)</f>
        <v/>
      </c>
      <c r="T12" s="26" t="inlineStr">
        <is>
          <t>Sonique 5 modes rechargeable à 60 jours, taillée pour affronter les génériques Jumia.</t>
        </is>
      </c>
      <c r="U12" s="26" t="inlineStr">
        <is>
          <t>Nouvelle, remplace SG-2007</t>
        </is>
      </c>
    </row>
    <row r="13" ht="42" customHeight="1">
      <c r="A13" s="12" t="n">
        <v>3</v>
      </c>
      <c r="B13" s="13" t="inlineStr">
        <is>
          <t>SG-2320</t>
        </is>
      </c>
      <c r="C13" s="13" t="inlineStr">
        <is>
          <t>Brosse à dents</t>
        </is>
      </c>
      <c r="D13" s="13" t="inlineStr">
        <is>
          <t>Volume</t>
        </is>
      </c>
      <c r="E13" s="14" t="inlineStr">
        <is>
          <t>Sonique</t>
        </is>
      </c>
      <c r="F13" s="12" t="inlineStr">
        <is>
          <t>35000</t>
        </is>
      </c>
      <c r="G13" s="12" t="n">
        <v>5</v>
      </c>
      <c r="H13" s="12" t="n">
        <v>200</v>
      </c>
      <c r="I13" s="12" t="inlineStr">
        <is>
          <t>IPX7</t>
        </is>
      </c>
      <c r="J13" s="12" t="inlineStr">
        <is>
          <t>Non</t>
        </is>
      </c>
      <c r="K13" s="14" t="inlineStr">
        <is>
          <t>Decakila KMTB013L sonique 5 modes, 700 mAh</t>
        </is>
      </c>
      <c r="L13" s="27" t="n">
        <v>11900</v>
      </c>
      <c r="M13" s="28" t="inlineStr">
        <is>
          <t>XOF</t>
        </is>
      </c>
      <c r="N13" s="31" t="inlineStr">
        <is>
          <t>N/D</t>
        </is>
      </c>
      <c r="O13" s="29" t="inlineStr">
        <is>
          <t>Djokstore CI</t>
        </is>
      </c>
      <c r="P13" s="30" t="inlineStr">
        <is>
          <t>https://djokstore.ci/products/brosse-a-dents-sonique-rechargeable-5-modes-700-mah-decakila-kmtb013l</t>
        </is>
      </c>
      <c r="Q13" s="21" t="n">
        <v>0.25</v>
      </c>
      <c r="R13" s="22">
        <f>IF(L13="","",MAX('Sélection 10'!$B$8,MROUND(ROUND(L13*IF(M13="EUR",'Sélection 10'!$B$5,IF(M13="USD",'Sélection 10'!$B$5/'Sélection 10'!$B$6,1))*(1-Q13),0),500)))</f>
        <v/>
      </c>
      <c r="S13" s="23">
        <f>IF(OR(R13="",L13=""),"",R13/(L13*IF(M13="EUR",$B$5,IF(M13="USD",$B$5/$B$6,1)))-1)</f>
        <v/>
      </c>
      <c r="T13" s="14" t="inlineStr">
        <is>
          <t>200 jours d'autonomie annoncés, argument de rayon face aux marques locales.</t>
        </is>
      </c>
      <c r="U13" s="14" t="inlineStr">
        <is>
          <t>Conservée</t>
        </is>
      </c>
    </row>
    <row r="14" ht="42" customHeight="1">
      <c r="A14" s="24" t="n">
        <v>4</v>
      </c>
      <c r="B14" s="25" t="inlineStr">
        <is>
          <t>SG-2811</t>
        </is>
      </c>
      <c r="C14" s="25" t="inlineStr">
        <is>
          <t>Brosse à dents</t>
        </is>
      </c>
      <c r="D14" s="25" t="inlineStr">
        <is>
          <t>Volume</t>
        </is>
      </c>
      <c r="E14" s="26" t="inlineStr">
        <is>
          <t>Sonique</t>
        </is>
      </c>
      <c r="F14" s="24" t="inlineStr">
        <is>
          <t>36000</t>
        </is>
      </c>
      <c r="G14" s="24" t="n">
        <v>2</v>
      </c>
      <c r="H14" s="24" t="n">
        <v>80</v>
      </c>
      <c r="I14" s="24" t="inlineStr">
        <is>
          <t>IPX7</t>
        </is>
      </c>
      <c r="J14" s="24" t="inlineStr">
        <is>
          <t>Non</t>
        </is>
      </c>
      <c r="K14" s="26" t="inlineStr">
        <is>
          <t>Oral-B Kids Battery Disney (Frozen / Princess)</t>
        </is>
      </c>
      <c r="L14" s="16" t="n">
        <v>7.97</v>
      </c>
      <c r="M14" s="17" t="inlineStr">
        <is>
          <t>USD</t>
        </is>
      </c>
      <c r="N14" s="18" t="inlineStr">
        <is>
          <t>N/D</t>
        </is>
      </c>
      <c r="O14" s="19" t="inlineStr">
        <is>
          <t>Walmart (US)</t>
        </is>
      </c>
      <c r="P14" s="20" t="inlineStr">
        <is>
          <t>https://www.walmart.com/ip/Oral-B-Kid-s-Battery-Toothbrush-featuring-Disney-Princess-for-Kids-3/562547696</t>
        </is>
      </c>
      <c r="Q14" s="21" t="n">
        <v>0.55</v>
      </c>
      <c r="R14" s="22">
        <f>IF(L14="","",MAX('Sélection 10'!$B$8,MROUND(ROUND(L14*IF(M14="EUR",'Sélection 10'!$B$5,IF(M14="USD",'Sélection 10'!$B$5/'Sélection 10'!$B$6,1))*(1-Q14),0),500)))</f>
        <v/>
      </c>
      <c r="S14" s="23">
        <f>IF(OR(R14="",L14=""),"",R14/(L14*IF(M14="EUR",$B$5,IF(M14="USD",$B$5/$B$6,1)))-1)</f>
        <v/>
      </c>
      <c r="T14" s="26" t="inlineStr">
        <is>
          <t>Entrée enfant à piles, tête silicone alimentaire, aucune offre enfant locale relevée.</t>
        </is>
      </c>
      <c r="U14" s="26" t="inlineStr">
        <is>
          <t>Conservée</t>
        </is>
      </c>
    </row>
    <row r="15" ht="42" customHeight="1">
      <c r="A15" s="12" t="n">
        <v>5</v>
      </c>
      <c r="B15" s="13" t="inlineStr">
        <is>
          <t>SG-8023</t>
        </is>
      </c>
      <c r="C15" s="13" t="inlineStr">
        <is>
          <t>Hydropulseur</t>
        </is>
      </c>
      <c r="D15" s="13" t="inlineStr">
        <is>
          <t>Volume</t>
        </is>
      </c>
      <c r="E15" s="14" t="inlineStr">
        <is>
          <t>Portable (sans fil)</t>
        </is>
      </c>
      <c r="F15" s="12" t="inlineStr">
        <is>
          <t>réservoir 350 mL</t>
        </is>
      </c>
      <c r="G15" s="12" t="n">
        <v>4</v>
      </c>
      <c r="H15" s="15" t="inlineStr">
        <is>
          <t>N/D</t>
        </is>
      </c>
      <c r="I15" s="12" t="inlineStr">
        <is>
          <t>IPX7</t>
        </is>
      </c>
      <c r="J15" s="15" t="inlineStr">
        <is>
          <t>N/D</t>
        </is>
      </c>
      <c r="K15" s="14" t="inlineStr">
        <is>
          <t>Generic Kit brosse à dents + nettoyeur dentaire intégrés</t>
        </is>
      </c>
      <c r="L15" s="27" t="n">
        <v>6930</v>
      </c>
      <c r="M15" s="28" t="inlineStr">
        <is>
          <t>XOF</t>
        </is>
      </c>
      <c r="N15" s="27" t="n">
        <v>13041</v>
      </c>
      <c r="O15" s="29" t="inlineStr">
        <is>
          <t>Jumia CI</t>
        </is>
      </c>
      <c r="P15" s="30" t="inlineStr">
        <is>
          <t>https://www.jumia.ci/generic-kit-de-nettoyage-dentaire-brosse-a-dents-et-nettoyeur-dentaire-integres-32120678.html</t>
        </is>
      </c>
      <c r="Q15" s="21" t="n">
        <v>0</v>
      </c>
      <c r="R15" s="22">
        <f>IF(L15="","",MAX('Sélection 10'!$B$8,MROUND(ROUND(L15*IF(M15="EUR",'Sélection 10'!$B$5,IF(M15="USD",'Sélection 10'!$B$5/'Sélection 10'!$B$6,1))*(1-Q15),0),500)))</f>
        <v/>
      </c>
      <c r="S15" s="23">
        <f>IF(OR(R15="",L15=""),"",R15/(L15*IF(M15="EUR",$B$5,IF(M15="USD",$B$5/$B$6,1)))-1)</f>
        <v/>
      </c>
      <c r="T15" s="14" t="inlineStr">
        <is>
          <t>Hydropulseur 350 mL Type-C, catégorie quasi vide sur le marché local.</t>
        </is>
      </c>
      <c r="U15" s="14" t="inlineStr">
        <is>
          <t>Conservée</t>
        </is>
      </c>
    </row>
    <row r="16" ht="42" customHeight="1">
      <c r="A16" s="24" t="n">
        <v>6</v>
      </c>
      <c r="B16" s="25" t="inlineStr">
        <is>
          <t>SG-G001</t>
        </is>
      </c>
      <c r="C16" s="25" t="inlineStr">
        <is>
          <t>Tête de brosse</t>
        </is>
      </c>
      <c r="D16" s="25" t="inlineStr">
        <is>
          <t>Volume</t>
        </is>
      </c>
      <c r="E16" s="26" t="inlineStr">
        <is>
          <t>Tête standard</t>
        </is>
      </c>
      <c r="F16" s="32" t="inlineStr">
        <is>
          <t>N/D</t>
        </is>
      </c>
      <c r="G16" s="32" t="inlineStr">
        <is>
          <t>N/D</t>
        </is>
      </c>
      <c r="H16" s="32" t="inlineStr">
        <is>
          <t>N/D</t>
        </is>
      </c>
      <c r="I16" s="32" t="inlineStr">
        <is>
          <t>N/D</t>
        </is>
      </c>
      <c r="J16" s="32" t="inlineStr">
        <is>
          <t>N/D</t>
        </is>
      </c>
      <c r="K16" s="26" t="inlineStr">
        <is>
          <t>Decakila Têtes de rechange KMTB008W (pack de 2)</t>
        </is>
      </c>
      <c r="L16" s="27" t="n">
        <v>1450</v>
      </c>
      <c r="M16" s="28" t="inlineStr">
        <is>
          <t>XOF</t>
        </is>
      </c>
      <c r="N16" s="31" t="inlineStr">
        <is>
          <t>N/D</t>
        </is>
      </c>
      <c r="O16" s="29" t="inlineStr">
        <is>
          <t>Djokstore CI</t>
        </is>
      </c>
      <c r="P16" s="30" t="inlineStr">
        <is>
          <t>https://djokstore.ci/collections/brosse-a-dent/products/tetes-de-rechange-brosse-a-dents-electrique-decakila-kmtb008w</t>
        </is>
      </c>
      <c r="Q16" s="21" t="n">
        <v>0</v>
      </c>
      <c r="R16" s="22">
        <f>IF(L16="","",MAX('Sélection 10'!$B$8,MROUND(ROUND(L16*IF(M16="EUR",'Sélection 10'!$B$5,IF(M16="USD",'Sélection 10'!$B$5/'Sélection 10'!$B$6,1))*(1-Q16),0),500)))</f>
        <v/>
      </c>
      <c r="S16" s="23">
        <f>IF(OR(R16="",L16=""),"",R16/(L16*IF(M16="EUR",$B$5,IF(M16="USD",$B$5/$B$6,1)))-1)</f>
        <v/>
      </c>
      <c r="T16" s="26" t="inlineStr">
        <is>
          <t>Tête à tenon métal, réachat récurrent, alignée sur la tête Decakila locale.</t>
        </is>
      </c>
      <c r="U16" s="26" t="inlineStr">
        <is>
          <t>Conservée</t>
        </is>
      </c>
    </row>
    <row r="17" ht="42" customHeight="1">
      <c r="A17" s="12" t="n">
        <v>7</v>
      </c>
      <c r="B17" s="13" t="inlineStr">
        <is>
          <t>SG-2901</t>
        </is>
      </c>
      <c r="C17" s="13" t="inlineStr">
        <is>
          <t>Brosse à dents</t>
        </is>
      </c>
      <c r="D17" s="13" t="inlineStr">
        <is>
          <t>Image de marque</t>
        </is>
      </c>
      <c r="E17" s="14" t="inlineStr">
        <is>
          <t>Sonique + tête rotative</t>
        </is>
      </c>
      <c r="F17" s="15" t="inlineStr">
        <is>
          <t>N/D</t>
        </is>
      </c>
      <c r="G17" s="12" t="n">
        <v>5</v>
      </c>
      <c r="H17" s="15" t="inlineStr">
        <is>
          <t>N/D</t>
        </is>
      </c>
      <c r="I17" s="12" t="inlineStr">
        <is>
          <t>IPX7</t>
        </is>
      </c>
      <c r="J17" s="12" t="inlineStr">
        <is>
          <t>Oui</t>
        </is>
      </c>
      <c r="K17" s="14" t="inlineStr">
        <is>
          <t>Bitvae Brosse sonique (modèle D2 présumé)</t>
        </is>
      </c>
      <c r="L17" s="27" t="n">
        <v>22500</v>
      </c>
      <c r="M17" s="28" t="inlineStr">
        <is>
          <t>XOF</t>
        </is>
      </c>
      <c r="N17" s="27" t="n">
        <v>28000</v>
      </c>
      <c r="O17" s="29" t="inlineStr">
        <is>
          <t>Jumia CI</t>
        </is>
      </c>
      <c r="P17" s="30" t="inlineStr">
        <is>
          <t>https://www.jumia.ci/generic-brosse-a-dents-electrique-bitvae-32455516.html</t>
        </is>
      </c>
      <c r="Q17" s="21" t="n">
        <v>0.3</v>
      </c>
      <c r="R17" s="22">
        <f>IF(L17="","",MAX('Sélection 10'!$B$8,MROUND(ROUND(L17*IF(M17="EUR",'Sélection 10'!$B$5,IF(M17="USD",'Sélection 10'!$B$5/'Sélection 10'!$B$6,1))*(1-Q17),0),500)))</f>
        <v/>
      </c>
      <c r="S17" s="23">
        <f>IF(OR(R17="",L17=""),"",R17/(L17*IF(M17="EUR",$B$5,IF(M17="USD",$B$5/$B$6,1)))-1)</f>
        <v/>
      </c>
      <c r="T17" s="14" t="inlineStr">
        <is>
          <t>Seul manche à double technologie sonique et rotative, écran LCD, capteur de pression.</t>
        </is>
      </c>
      <c r="U17" s="14" t="inlineStr">
        <is>
          <t>Conservée</t>
        </is>
      </c>
    </row>
    <row r="18" ht="42" customHeight="1">
      <c r="A18" s="24" t="n">
        <v>8</v>
      </c>
      <c r="B18" s="25" t="inlineStr">
        <is>
          <t>SG-2771</t>
        </is>
      </c>
      <c r="C18" s="25" t="inlineStr">
        <is>
          <t>Brosse à dents</t>
        </is>
      </c>
      <c r="D18" s="25" t="inlineStr">
        <is>
          <t>Image de marque</t>
        </is>
      </c>
      <c r="E18" s="26" t="inlineStr">
        <is>
          <t>Sonique</t>
        </is>
      </c>
      <c r="F18" s="24" t="inlineStr">
        <is>
          <t>32000 à 40000</t>
        </is>
      </c>
      <c r="G18" s="24" t="n">
        <v>6</v>
      </c>
      <c r="H18" s="24" t="n">
        <v>21</v>
      </c>
      <c r="I18" s="24" t="inlineStr">
        <is>
          <t>IPX7</t>
        </is>
      </c>
      <c r="J18" s="24" t="inlineStr">
        <is>
          <t>Oui</t>
        </is>
      </c>
      <c r="K18" s="26" t="inlineStr">
        <is>
          <t>Bitvae Brosse sonique (modèle D2 présumé)</t>
        </is>
      </c>
      <c r="L18" s="27" t="n">
        <v>22500</v>
      </c>
      <c r="M18" s="28" t="inlineStr">
        <is>
          <t>XOF</t>
        </is>
      </c>
      <c r="N18" s="27" t="n">
        <v>28000</v>
      </c>
      <c r="O18" s="29" t="inlineStr">
        <is>
          <t>Jumia CI</t>
        </is>
      </c>
      <c r="P18" s="30" t="inlineStr">
        <is>
          <t>https://www.jumia.ci/generic-brosse-a-dents-electrique-bitvae-32455516.html</t>
        </is>
      </c>
      <c r="Q18" s="21" t="n">
        <v>0.3</v>
      </c>
      <c r="R18" s="22">
        <f>IF(L18="","",MAX('Sélection 10'!$B$8,MROUND(ROUND(L18*IF(M18="EUR",'Sélection 10'!$B$5,IF(M18="USD",'Sélection 10'!$B$5/'Sélection 10'!$B$6,1))*(1-Q18),0),500)))</f>
        <v/>
      </c>
      <c r="S18" s="23">
        <f>IF(OR(R18="",L18=""),"",R18/(L18*IF(M18="EUR",$B$5,IF(M18="USD",$B$5/$B$6,1)))-1)</f>
        <v/>
      </c>
      <c r="T18" s="26" t="inlineStr">
        <is>
          <t>Gyroscope 6 axes, notation sur 16 zones, sans application ni smartphone.</t>
        </is>
      </c>
      <c r="U18" s="26" t="inlineStr">
        <is>
          <t>Conservée</t>
        </is>
      </c>
    </row>
    <row r="19" ht="42" customHeight="1">
      <c r="A19" s="12" t="n">
        <v>9</v>
      </c>
      <c r="B19" s="13" t="inlineStr">
        <is>
          <t>SG-2015</t>
        </is>
      </c>
      <c r="C19" s="13" t="inlineStr">
        <is>
          <t>Brosse à dents</t>
        </is>
      </c>
      <c r="D19" s="13" t="inlineStr">
        <is>
          <t>Image de marque</t>
        </is>
      </c>
      <c r="E19" s="14" t="inlineStr">
        <is>
          <t>Sonique</t>
        </is>
      </c>
      <c r="F19" s="12" t="inlineStr">
        <is>
          <t>40000</t>
        </is>
      </c>
      <c r="G19" s="12" t="n">
        <v>15</v>
      </c>
      <c r="H19" s="12" t="n">
        <v>21</v>
      </c>
      <c r="I19" s="12" t="inlineStr">
        <is>
          <t>IPX7</t>
        </is>
      </c>
      <c r="J19" s="12" t="inlineStr">
        <is>
          <t>Non</t>
        </is>
      </c>
      <c r="K19" s="14" t="inlineStr">
        <is>
          <t>Bitvae Brosse sonique (modèle D2 présumé)</t>
        </is>
      </c>
      <c r="L19" s="27" t="n">
        <v>22500</v>
      </c>
      <c r="M19" s="28" t="inlineStr">
        <is>
          <t>XOF</t>
        </is>
      </c>
      <c r="N19" s="27" t="n">
        <v>28000</v>
      </c>
      <c r="O19" s="29" t="inlineStr">
        <is>
          <t>Jumia CI</t>
        </is>
      </c>
      <c r="P19" s="30" t="inlineStr">
        <is>
          <t>https://www.jumia.ci/generic-brosse-a-dents-electrique-bitvae-32455516.html</t>
        </is>
      </c>
      <c r="Q19" s="21" t="n">
        <v>0.3</v>
      </c>
      <c r="R19" s="22">
        <f>IF(L19="","",MAX('Sélection 10'!$B$8,MROUND(ROUND(L19*IF(M19="EUR",'Sélection 10'!$B$5,IF(M19="USD",'Sélection 10'!$B$5/'Sélection 10'!$B$6,1))*(1-Q19),0),500)))</f>
        <v/>
      </c>
      <c r="S19" s="23">
        <f>IF(OR(R19="",L19=""),"",R19/(L19*IF(M19="EUR",$B$5,IF(M19="USD",$B$5/$B$6,1)))-1)</f>
        <v/>
      </c>
      <c r="T19" s="14" t="inlineStr">
        <is>
          <t>Stérilisateur UV intégré au socle, aucun équivalent dans le relevé local.</t>
        </is>
      </c>
      <c r="U19" s="14" t="inlineStr">
        <is>
          <t>Conservée</t>
        </is>
      </c>
    </row>
    <row r="20" ht="42" customHeight="1">
      <c r="A20" s="24" t="n">
        <v>10</v>
      </c>
      <c r="B20" s="25" t="inlineStr">
        <is>
          <t>SG-2607</t>
        </is>
      </c>
      <c r="C20" s="25" t="inlineStr">
        <is>
          <t>Brosse à dents</t>
        </is>
      </c>
      <c r="D20" s="25" t="inlineStr">
        <is>
          <t>Image de marque</t>
        </is>
      </c>
      <c r="E20" s="26" t="inlineStr">
        <is>
          <t>Rotative / oscillante</t>
        </is>
      </c>
      <c r="F20" s="24" t="inlineStr">
        <is>
          <t>8000</t>
        </is>
      </c>
      <c r="G20" s="24" t="n">
        <v>5</v>
      </c>
      <c r="H20" s="24" t="n">
        <v>21</v>
      </c>
      <c r="I20" s="24" t="inlineStr">
        <is>
          <t>IPX7</t>
        </is>
      </c>
      <c r="J20" s="24" t="inlineStr">
        <is>
          <t>Non</t>
        </is>
      </c>
      <c r="K20" s="26" t="inlineStr">
        <is>
          <t>Xiaomi Oscillation Electric Toothbrush BHR9809GL</t>
        </is>
      </c>
      <c r="L20" s="27" t="n">
        <v>20000</v>
      </c>
      <c r="M20" s="28" t="inlineStr">
        <is>
          <t>XOF</t>
        </is>
      </c>
      <c r="N20" s="27" t="n">
        <v>30000</v>
      </c>
      <c r="O20" s="29" t="inlineStr">
        <is>
          <t>EAS CI</t>
        </is>
      </c>
      <c r="P20" s="30" t="inlineStr">
        <is>
          <t>https://www.eas.ci/product/brosse-a-dents-electrique-oscillante-xiaomi-bhr9809gl-bleu/</t>
        </is>
      </c>
      <c r="Q20" s="21" t="n">
        <v>0.3</v>
      </c>
      <c r="R20" s="22">
        <f>IF(L20="","",MAX('Sélection 10'!$B$8,MROUND(ROUND(L20*IF(M20="EUR",'Sélection 10'!$B$5,IF(M20="USD",'Sélection 10'!$B$5/'Sélection 10'!$B$6,1))*(1-Q20),0),500)))</f>
        <v/>
      </c>
      <c r="S20" s="23">
        <f>IF(OR(R20="",L20=""),"",R20/(L20*IF(M20="EUR",$B$5,IF(M20="USD",$B$5/$B$6,1)))-1)</f>
        <v/>
      </c>
      <c r="T20" s="26" t="inlineStr">
        <is>
          <t>Rotative à écran digital, seule vraie rotative face à l'oscillante Xiaomi à 20 000.</t>
        </is>
      </c>
      <c r="U20" s="26" t="inlineStr">
        <is>
          <t>Nouvelle, remplace SG-8019</t>
        </is>
      </c>
    </row>
  </sheetData>
  <autoFilter ref="A10:U20"/>
  <mergeCells count="2">
    <mergeCell ref="E6:T6"/>
    <mergeCell ref="E5:T5"/>
  </mergeCells>
  <hyperlinks>
    <hyperlink xmlns:r="http://schemas.openxmlformats.org/officeDocument/2006/relationships" ref="P11" r:id="rId1"/>
    <hyperlink xmlns:r="http://schemas.openxmlformats.org/officeDocument/2006/relationships" ref="P12" r:id="rId2"/>
    <hyperlink xmlns:r="http://schemas.openxmlformats.org/officeDocument/2006/relationships" ref="P13" r:id="rId3"/>
    <hyperlink xmlns:r="http://schemas.openxmlformats.org/officeDocument/2006/relationships" ref="P14" r:id="rId4"/>
    <hyperlink xmlns:r="http://schemas.openxmlformats.org/officeDocument/2006/relationships" ref="P15" r:id="rId5"/>
    <hyperlink xmlns:r="http://schemas.openxmlformats.org/officeDocument/2006/relationships" ref="P16" r:id="rId6"/>
    <hyperlink xmlns:r="http://schemas.openxmlformats.org/officeDocument/2006/relationships" ref="P17" r:id="rId7"/>
    <hyperlink xmlns:r="http://schemas.openxmlformats.org/officeDocument/2006/relationships" ref="P18" r:id="rId8"/>
    <hyperlink xmlns:r="http://schemas.openxmlformats.org/officeDocument/2006/relationships" ref="P19" r:id="rId9"/>
    <hyperlink xmlns:r="http://schemas.openxmlformats.org/officeDocument/2006/relationships" ref="P20" r:id="rId10"/>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187"/>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5" customWidth="1" min="2" max="2"/>
    <col width="11" customWidth="1" min="3" max="3"/>
    <col width="24" customWidth="1" min="4" max="4"/>
    <col width="14" customWidth="1" min="5" max="5"/>
    <col width="8" customWidth="1" min="6" max="6"/>
    <col width="11" customWidth="1" min="7" max="7"/>
    <col width="26" customWidth="1" min="8" max="8"/>
    <col width="8" customWidth="1" min="9" max="9"/>
    <col width="11" customWidth="1" min="10" max="10"/>
    <col width="42" customWidth="1" min="11" max="11"/>
    <col width="12" customWidth="1" min="12" max="12"/>
    <col width="8" customWidth="1" min="13" max="13"/>
    <col width="11" customWidth="1" min="14" max="14"/>
    <col width="13" customWidth="1" min="15" max="15"/>
    <col width="13" customWidth="1" min="16" max="16"/>
    <col width="50" customWidth="1" min="17" max="17"/>
    <col width="8" customWidth="1" min="18" max="18"/>
    <col width="16" customWidth="1" min="19" max="19"/>
    <col width="7" customWidth="1" min="20" max="20"/>
  </cols>
  <sheetData>
    <row r="1" ht="44" customHeight="1">
      <c r="A1" s="9" t="inlineStr">
        <is>
          <t>Référence</t>
        </is>
      </c>
      <c r="B1" s="9" t="inlineStr">
        <is>
          <t>Catégorie</t>
        </is>
      </c>
      <c r="C1" s="9" t="inlineStr">
        <is>
          <t>Cible</t>
        </is>
      </c>
      <c r="D1" s="9" t="inlineStr">
        <is>
          <t>Technologie</t>
        </is>
      </c>
      <c r="E1" s="9" t="inlineStr">
        <is>
          <t>Fréquence (str/min)</t>
        </is>
      </c>
      <c r="F1" s="9" t="inlineStr">
        <is>
          <t>Modes</t>
        </is>
      </c>
      <c r="G1" s="9" t="inlineStr">
        <is>
          <t>Autonomie (j)</t>
        </is>
      </c>
      <c r="H1" s="9" t="inlineStr">
        <is>
          <t>Alimentation</t>
        </is>
      </c>
      <c r="I1" s="9" t="inlineStr">
        <is>
          <t>IPX</t>
        </is>
      </c>
      <c r="J1" s="9" t="inlineStr">
        <is>
          <t>Capteur pression</t>
        </is>
      </c>
      <c r="K1" s="9" t="inlineStr">
        <is>
          <t>Concurrent local ou ancrage</t>
        </is>
      </c>
      <c r="L1" s="10" t="inlineStr">
        <is>
          <t>Prix courant</t>
        </is>
      </c>
      <c r="M1" s="10" t="inlineStr">
        <is>
          <t>Devise</t>
        </is>
      </c>
      <c r="N1" s="10" t="inlineStr">
        <is>
          <t>Prix barré</t>
        </is>
      </c>
      <c r="O1" s="10" t="inlineStr">
        <is>
          <t>Site</t>
        </is>
      </c>
      <c r="P1" s="10" t="inlineStr">
        <is>
          <t>Pays</t>
        </is>
      </c>
      <c r="Q1" s="10" t="inlineStr">
        <is>
          <t>Lien produit concurrent</t>
        </is>
      </c>
      <c r="R1" s="11" t="inlineStr">
        <is>
          <t>Décote</t>
        </is>
      </c>
      <c r="S1" s="11" t="inlineStr">
        <is>
          <t>Prix SEAGO proposé (XOF)</t>
        </is>
      </c>
      <c r="T1" s="9" t="inlineStr">
        <is>
          <t>Page</t>
        </is>
      </c>
    </row>
    <row r="2">
      <c r="A2" s="25" t="inlineStr">
        <is>
          <t>SG-2788</t>
        </is>
      </c>
      <c r="B2" s="25" t="inlineStr">
        <is>
          <t>Brosse à dents</t>
        </is>
      </c>
      <c r="C2" s="24" t="inlineStr">
        <is>
          <t>Adulte</t>
        </is>
      </c>
      <c r="D2" s="26" t="inlineStr">
        <is>
          <t>Sonique</t>
        </is>
      </c>
      <c r="E2" s="24" t="inlineStr">
        <is>
          <t>32000 à 40000</t>
        </is>
      </c>
      <c r="F2" s="24" t="n">
        <v>5</v>
      </c>
      <c r="G2" s="24" t="n">
        <v>21</v>
      </c>
      <c r="H2" s="25" t="inlineStr">
        <is>
          <t>Batterie Li-ion rechargeable</t>
        </is>
      </c>
      <c r="I2" s="24" t="inlineStr">
        <is>
          <t>IPX7</t>
        </is>
      </c>
      <c r="J2" s="24" t="inlineStr">
        <is>
          <t>Oui</t>
        </is>
      </c>
      <c r="K2" s="26" t="inlineStr">
        <is>
          <t>OIPETLUCK Sonique pro 5 modes, 3 têtes, USB</t>
        </is>
      </c>
      <c r="L2" s="27" t="n">
        <v>2359</v>
      </c>
      <c r="M2" s="28" t="inlineStr">
        <is>
          <t>XOF</t>
        </is>
      </c>
      <c r="N2" s="27" t="n">
        <v>4900</v>
      </c>
      <c r="O2" s="29" t="inlineStr">
        <is>
          <t>Jumia CI</t>
        </is>
      </c>
      <c r="P2" s="28" t="inlineStr">
        <is>
          <t>CI</t>
        </is>
      </c>
      <c r="Q2" s="33" t="inlineStr">
        <is>
          <t>https://www.jumia.ci/oipetluck-brosse-a-dents-electrique-sonique-professionnelle-blanche-avec-3-tetes-de-brosse-5-modes-et-chargement-usb-pour-un-nettoyage-en-profondeur-et-un-blanchiment-des-dents-31643118.html</t>
        </is>
      </c>
      <c r="R2" s="21" t="n">
        <v>0</v>
      </c>
      <c r="S2" s="22">
        <f>IF(L2="","",MAX('Sélection 10'!$B$8,MROUND(ROUND(L2*IF(M2="EUR",'Sélection 10'!$B$5,IF(M2="USD",'Sélection 10'!$B$5/'Sélection 10'!$B$6,1))*(1-R2),0),500)))</f>
        <v/>
      </c>
      <c r="T2" s="34" t="n">
        <v>1</v>
      </c>
    </row>
    <row r="3">
      <c r="A3" s="13" t="inlineStr">
        <is>
          <t>SG-2801</t>
        </is>
      </c>
      <c r="B3" s="13" t="inlineStr">
        <is>
          <t>Brosse à dents</t>
        </is>
      </c>
      <c r="C3" s="12" t="inlineStr">
        <is>
          <t>Adulte</t>
        </is>
      </c>
      <c r="D3" s="14" t="inlineStr">
        <is>
          <t>Sonique</t>
        </is>
      </c>
      <c r="E3" s="12" t="inlineStr">
        <is>
          <t>35000</t>
        </is>
      </c>
      <c r="F3" s="12" t="n">
        <v>5</v>
      </c>
      <c r="G3" s="12" t="n">
        <v>180</v>
      </c>
      <c r="H3" s="13" t="inlineStr">
        <is>
          <t>Batterie Li-ion rechargeable</t>
        </is>
      </c>
      <c r="I3" s="12" t="inlineStr">
        <is>
          <t>IPX7</t>
        </is>
      </c>
      <c r="J3" s="12" t="inlineStr">
        <is>
          <t>Non</t>
        </is>
      </c>
      <c r="K3" s="14" t="inlineStr">
        <is>
          <t>Decakila KMTB013L sonique 5 modes, 700 mAh</t>
        </is>
      </c>
      <c r="L3" s="27" t="n">
        <v>11900</v>
      </c>
      <c r="M3" s="28" t="inlineStr">
        <is>
          <t>XOF</t>
        </is>
      </c>
      <c r="N3" s="31" t="inlineStr">
        <is>
          <t>N/D</t>
        </is>
      </c>
      <c r="O3" s="29" t="inlineStr">
        <is>
          <t>Djokstore CI</t>
        </is>
      </c>
      <c r="P3" s="28" t="inlineStr">
        <is>
          <t>CI</t>
        </is>
      </c>
      <c r="Q3" s="33" t="inlineStr">
        <is>
          <t>https://djokstore.ci/products/brosse-a-dents-sonique-rechargeable-5-modes-700-mah-decakila-kmtb013l</t>
        </is>
      </c>
      <c r="R3" s="21" t="n">
        <v>0.25</v>
      </c>
      <c r="S3" s="22">
        <f>IF(L3="","",MAX('Sélection 10'!$B$8,MROUND(ROUND(L3*IF(M3="EUR",'Sélection 10'!$B$5,IF(M3="USD",'Sélection 10'!$B$5/'Sélection 10'!$B$6,1))*(1-R3),0),500)))</f>
        <v/>
      </c>
      <c r="T3" s="35" t="n">
        <v>1</v>
      </c>
    </row>
    <row r="4">
      <c r="A4" s="25" t="inlineStr">
        <is>
          <t>SG-2803</t>
        </is>
      </c>
      <c r="B4" s="25" t="inlineStr">
        <is>
          <t>Brosse à dents</t>
        </is>
      </c>
      <c r="C4" s="24" t="inlineStr">
        <is>
          <t>Adulte</t>
        </is>
      </c>
      <c r="D4" s="26" t="inlineStr">
        <is>
          <t>Sonique</t>
        </is>
      </c>
      <c r="E4" s="24" t="inlineStr">
        <is>
          <t>32000 à 38000</t>
        </is>
      </c>
      <c r="F4" s="24" t="n">
        <v>5</v>
      </c>
      <c r="G4" s="24" t="n">
        <v>30</v>
      </c>
      <c r="H4" s="25" t="inlineStr">
        <is>
          <t>Batterie Li-ion rechargeable</t>
        </is>
      </c>
      <c r="I4" s="24" t="inlineStr">
        <is>
          <t>IPX7</t>
        </is>
      </c>
      <c r="J4" s="24" t="inlineStr">
        <is>
          <t>Non</t>
        </is>
      </c>
      <c r="K4" s="26" t="inlineStr">
        <is>
          <t>OIPETLUCK Sonique pro 5 modes, 3 têtes, USB</t>
        </is>
      </c>
      <c r="L4" s="27" t="n">
        <v>2359</v>
      </c>
      <c r="M4" s="28" t="inlineStr">
        <is>
          <t>XOF</t>
        </is>
      </c>
      <c r="N4" s="27" t="n">
        <v>4900</v>
      </c>
      <c r="O4" s="29" t="inlineStr">
        <is>
          <t>Jumia CI</t>
        </is>
      </c>
      <c r="P4" s="28" t="inlineStr">
        <is>
          <t>CI</t>
        </is>
      </c>
      <c r="Q4" s="33" t="inlineStr">
        <is>
          <t>https://www.jumia.ci/oipetluck-brosse-a-dents-electrique-sonique-professionnelle-blanche-avec-3-tetes-de-brosse-5-modes-et-chargement-usb-pour-un-nettoyage-en-profondeur-et-un-blanchiment-des-dents-31643118.html</t>
        </is>
      </c>
      <c r="R4" s="21" t="n">
        <v>0</v>
      </c>
      <c r="S4" s="22">
        <f>IF(L4="","",MAX('Sélection 10'!$B$8,MROUND(ROUND(L4*IF(M4="EUR",'Sélection 10'!$B$5,IF(M4="USD",'Sélection 10'!$B$5/'Sélection 10'!$B$6,1))*(1-R4),0),500)))</f>
        <v/>
      </c>
      <c r="T4" s="34" t="n">
        <v>2</v>
      </c>
    </row>
    <row r="5">
      <c r="A5" s="13" t="inlineStr">
        <is>
          <t>SG-2805</t>
        </is>
      </c>
      <c r="B5" s="13" t="inlineStr">
        <is>
          <t>Brosse à dents</t>
        </is>
      </c>
      <c r="C5" s="12" t="inlineStr">
        <is>
          <t>Adulte</t>
        </is>
      </c>
      <c r="D5" s="14" t="inlineStr">
        <is>
          <t>Sonique</t>
        </is>
      </c>
      <c r="E5" s="12" t="inlineStr">
        <is>
          <t>31000</t>
        </is>
      </c>
      <c r="F5" s="12" t="n">
        <v>3</v>
      </c>
      <c r="G5" s="12" t="n">
        <v>30</v>
      </c>
      <c r="H5" s="13" t="inlineStr">
        <is>
          <t>Batterie Li-ion rechargeable</t>
        </is>
      </c>
      <c r="I5" s="12" t="inlineStr">
        <is>
          <t>IPX7</t>
        </is>
      </c>
      <c r="J5" s="12" t="inlineStr">
        <is>
          <t>Oui</t>
        </is>
      </c>
      <c r="K5" s="14" t="inlineStr">
        <is>
          <t>Oraimo SmartDent C2</t>
        </is>
      </c>
      <c r="L5" s="27" t="n">
        <v>8500</v>
      </c>
      <c r="M5" s="28" t="inlineStr">
        <is>
          <t>XOF</t>
        </is>
      </c>
      <c r="N5" s="27" t="n">
        <v>12000</v>
      </c>
      <c r="O5" s="29" t="inlineStr">
        <is>
          <t>Oraimo CI</t>
        </is>
      </c>
      <c r="P5" s="28" t="inlineStr">
        <is>
          <t>CI</t>
        </is>
      </c>
      <c r="Q5" s="33" t="inlineStr">
        <is>
          <t>https://ci.oraimo.com/product/oraimo-smartdent-c2-powerful-sonic-cleaning-electric-toothbrush?ean=4895180779541</t>
        </is>
      </c>
      <c r="R5" s="21" t="n">
        <v>0.25</v>
      </c>
      <c r="S5" s="22">
        <f>IF(L5="","",MAX('Sélection 10'!$B$8,MROUND(ROUND(L5*IF(M5="EUR",'Sélection 10'!$B$5,IF(M5="USD",'Sélection 10'!$B$5/'Sélection 10'!$B$6,1))*(1-R5),0),500)))</f>
        <v/>
      </c>
      <c r="T5" s="35" t="n">
        <v>2</v>
      </c>
    </row>
    <row r="6">
      <c r="A6" s="25" t="inlineStr">
        <is>
          <t>SG-2807</t>
        </is>
      </c>
      <c r="B6" s="25" t="inlineStr">
        <is>
          <t>Brosse à dents</t>
        </is>
      </c>
      <c r="C6" s="24" t="inlineStr">
        <is>
          <t>Adulte</t>
        </is>
      </c>
      <c r="D6" s="26" t="inlineStr">
        <is>
          <t>Sonique</t>
        </is>
      </c>
      <c r="E6" s="24" t="inlineStr">
        <is>
          <t>38000</t>
        </is>
      </c>
      <c r="F6" s="24" t="n">
        <v>5</v>
      </c>
      <c r="G6" s="24" t="n">
        <v>50</v>
      </c>
      <c r="H6" s="25" t="inlineStr">
        <is>
          <t>Batterie Li-ion rechargeable</t>
        </is>
      </c>
      <c r="I6" s="24" t="inlineStr">
        <is>
          <t>IPX7</t>
        </is>
      </c>
      <c r="J6" s="24" t="inlineStr">
        <is>
          <t>Non</t>
        </is>
      </c>
      <c r="K6" s="26" t="inlineStr">
        <is>
          <t>OIPETLUCK Sonique pro 5 modes, 3 têtes, USB</t>
        </is>
      </c>
      <c r="L6" s="27" t="n">
        <v>2359</v>
      </c>
      <c r="M6" s="28" t="inlineStr">
        <is>
          <t>XOF</t>
        </is>
      </c>
      <c r="N6" s="27" t="n">
        <v>4900</v>
      </c>
      <c r="O6" s="29" t="inlineStr">
        <is>
          <t>Jumia CI</t>
        </is>
      </c>
      <c r="P6" s="28" t="inlineStr">
        <is>
          <t>CI</t>
        </is>
      </c>
      <c r="Q6" s="33" t="inlineStr">
        <is>
          <t>https://www.jumia.ci/oipetluck-brosse-a-dents-electrique-sonique-professionnelle-blanche-avec-3-tetes-de-brosse-5-modes-et-chargement-usb-pour-un-nettoyage-en-profondeur-et-un-blanchiment-des-dents-31643118.html</t>
        </is>
      </c>
      <c r="R6" s="21" t="n">
        <v>0</v>
      </c>
      <c r="S6" s="22">
        <f>IF(L6="","",MAX('Sélection 10'!$B$8,MROUND(ROUND(L6*IF(M6="EUR",'Sélection 10'!$B$5,IF(M6="USD",'Sélection 10'!$B$5/'Sélection 10'!$B$6,1))*(1-R6),0),500)))</f>
        <v/>
      </c>
      <c r="T6" s="34" t="n">
        <v>3</v>
      </c>
    </row>
    <row r="7">
      <c r="A7" s="13" t="inlineStr">
        <is>
          <t>SG-2808</t>
        </is>
      </c>
      <c r="B7" s="13" t="inlineStr">
        <is>
          <t>Brosse à dents</t>
        </is>
      </c>
      <c r="C7" s="12" t="inlineStr">
        <is>
          <t>Adulte</t>
        </is>
      </c>
      <c r="D7" s="14" t="inlineStr">
        <is>
          <t>Sonique</t>
        </is>
      </c>
      <c r="E7" s="12" t="inlineStr">
        <is>
          <t>33000</t>
        </is>
      </c>
      <c r="F7" s="12" t="n">
        <v>5</v>
      </c>
      <c r="G7" s="12" t="n">
        <v>100</v>
      </c>
      <c r="H7" s="13" t="inlineStr">
        <is>
          <t>Batterie Li-ion rechargeable</t>
        </is>
      </c>
      <c r="I7" s="12" t="inlineStr">
        <is>
          <t>IPX7</t>
        </is>
      </c>
      <c r="J7" s="12" t="inlineStr">
        <is>
          <t>Non</t>
        </is>
      </c>
      <c r="K7" s="14" t="inlineStr">
        <is>
          <t>Decakila KMTB013L sonique 5 modes, 700 mAh</t>
        </is>
      </c>
      <c r="L7" s="27" t="n">
        <v>11900</v>
      </c>
      <c r="M7" s="28" t="inlineStr">
        <is>
          <t>XOF</t>
        </is>
      </c>
      <c r="N7" s="31" t="inlineStr">
        <is>
          <t>N/D</t>
        </is>
      </c>
      <c r="O7" s="29" t="inlineStr">
        <is>
          <t>Djokstore CI</t>
        </is>
      </c>
      <c r="P7" s="28" t="inlineStr">
        <is>
          <t>CI</t>
        </is>
      </c>
      <c r="Q7" s="33" t="inlineStr">
        <is>
          <t>https://djokstore.ci/products/brosse-a-dents-sonique-rechargeable-5-modes-700-mah-decakila-kmtb013l</t>
        </is>
      </c>
      <c r="R7" s="21" t="n">
        <v>0.25</v>
      </c>
      <c r="S7" s="22">
        <f>IF(L7="","",MAX('Sélection 10'!$B$8,MROUND(ROUND(L7*IF(M7="EUR",'Sélection 10'!$B$5,IF(M7="USD",'Sélection 10'!$B$5/'Sélection 10'!$B$6,1))*(1-R7),0),500)))</f>
        <v/>
      </c>
      <c r="T7" s="35" t="n">
        <v>3</v>
      </c>
    </row>
    <row r="8">
      <c r="A8" s="25" t="inlineStr">
        <is>
          <t>SG-2810</t>
        </is>
      </c>
      <c r="B8" s="25" t="inlineStr">
        <is>
          <t>Brosse à dents</t>
        </is>
      </c>
      <c r="C8" s="24" t="inlineStr">
        <is>
          <t>Adulte</t>
        </is>
      </c>
      <c r="D8" s="26" t="inlineStr">
        <is>
          <t>Sonique</t>
        </is>
      </c>
      <c r="E8" s="24" t="inlineStr">
        <is>
          <t>33000</t>
        </is>
      </c>
      <c r="F8" s="24" t="n">
        <v>5</v>
      </c>
      <c r="G8" s="24" t="n">
        <v>100</v>
      </c>
      <c r="H8" s="25" t="inlineStr">
        <is>
          <t>Batterie Li-ion rechargeable</t>
        </is>
      </c>
      <c r="I8" s="24" t="inlineStr">
        <is>
          <t>IPX7</t>
        </is>
      </c>
      <c r="J8" s="24" t="inlineStr">
        <is>
          <t>Non</t>
        </is>
      </c>
      <c r="K8" s="26" t="inlineStr">
        <is>
          <t>Decakila KMTB013L sonique 5 modes, 700 mAh</t>
        </is>
      </c>
      <c r="L8" s="27" t="n">
        <v>11900</v>
      </c>
      <c r="M8" s="28" t="inlineStr">
        <is>
          <t>XOF</t>
        </is>
      </c>
      <c r="N8" s="31" t="inlineStr">
        <is>
          <t>N/D</t>
        </is>
      </c>
      <c r="O8" s="29" t="inlineStr">
        <is>
          <t>Djokstore CI</t>
        </is>
      </c>
      <c r="P8" s="28" t="inlineStr">
        <is>
          <t>CI</t>
        </is>
      </c>
      <c r="Q8" s="33" t="inlineStr">
        <is>
          <t>https://djokstore.ci/products/brosse-a-dents-sonique-rechargeable-5-modes-700-mah-decakila-kmtb013l</t>
        </is>
      </c>
      <c r="R8" s="21" t="n">
        <v>0.25</v>
      </c>
      <c r="S8" s="22">
        <f>IF(L8="","",MAX('Sélection 10'!$B$8,MROUND(ROUND(L8*IF(M8="EUR",'Sélection 10'!$B$5,IF(M8="USD",'Sélection 10'!$B$5/'Sélection 10'!$B$6,1))*(1-R8),0),500)))</f>
        <v/>
      </c>
      <c r="T8" s="34" t="n">
        <v>4</v>
      </c>
    </row>
    <row r="9">
      <c r="A9" s="13" t="inlineStr">
        <is>
          <t>SG-2811</t>
        </is>
      </c>
      <c r="B9" s="13" t="inlineStr">
        <is>
          <t>Brosse à dents</t>
        </is>
      </c>
      <c r="C9" s="12" t="inlineStr">
        <is>
          <t>Enfant</t>
        </is>
      </c>
      <c r="D9" s="14" t="inlineStr">
        <is>
          <t>Sonique</t>
        </is>
      </c>
      <c r="E9" s="12" t="inlineStr">
        <is>
          <t>36000</t>
        </is>
      </c>
      <c r="F9" s="12" t="n">
        <v>2</v>
      </c>
      <c r="G9" s="12" t="n">
        <v>80</v>
      </c>
      <c r="H9" s="13" t="inlineStr">
        <is>
          <t>Piles (2x AA)</t>
        </is>
      </c>
      <c r="I9" s="12" t="inlineStr">
        <is>
          <t>IPX7</t>
        </is>
      </c>
      <c r="J9" s="12" t="inlineStr">
        <is>
          <t>Non</t>
        </is>
      </c>
      <c r="K9" s="14" t="inlineStr">
        <is>
          <t>Oral-B Kids Battery Disney (Frozen / Princess)</t>
        </is>
      </c>
      <c r="L9" s="16" t="n">
        <v>7.97</v>
      </c>
      <c r="M9" s="17" t="inlineStr">
        <is>
          <t>USD</t>
        </is>
      </c>
      <c r="N9" s="18" t="inlineStr">
        <is>
          <t>N/D</t>
        </is>
      </c>
      <c r="O9" s="19" t="inlineStr">
        <is>
          <t>Walmart (US)</t>
        </is>
      </c>
      <c r="P9" s="17" t="inlineStr">
        <is>
          <t>International</t>
        </is>
      </c>
      <c r="Q9" s="36" t="inlineStr">
        <is>
          <t>https://www.walmart.com/ip/Oral-B-Kid-s-Battery-Toothbrush-featuring-Disney-Princess-for-Kids-3/562547696</t>
        </is>
      </c>
      <c r="R9" s="21" t="n">
        <v>0.55</v>
      </c>
      <c r="S9" s="22">
        <f>IF(L9="","",MAX('Sélection 10'!$B$8,MROUND(ROUND(L9*IF(M9="EUR",'Sélection 10'!$B$5,IF(M9="USD",'Sélection 10'!$B$5/'Sélection 10'!$B$6,1))*(1-R9),0),500)))</f>
        <v/>
      </c>
      <c r="T9" s="35" t="n">
        <v>4</v>
      </c>
    </row>
    <row r="10">
      <c r="A10" s="25" t="inlineStr">
        <is>
          <t>SG-2812</t>
        </is>
      </c>
      <c r="B10" s="25" t="inlineStr">
        <is>
          <t>Brosse à dents</t>
        </is>
      </c>
      <c r="C10" s="24" t="inlineStr">
        <is>
          <t>Adulte</t>
        </is>
      </c>
      <c r="D10" s="26" t="inlineStr">
        <is>
          <t>Sonique</t>
        </is>
      </c>
      <c r="E10" s="24" t="inlineStr">
        <is>
          <t>28000</t>
        </is>
      </c>
      <c r="F10" s="32" t="inlineStr">
        <is>
          <t>N/D</t>
        </is>
      </c>
      <c r="G10" s="24" t="n">
        <v>100</v>
      </c>
      <c r="H10" s="25" t="inlineStr">
        <is>
          <t>Pile (1x AA)</t>
        </is>
      </c>
      <c r="I10" s="24" t="inlineStr">
        <is>
          <t>IPX7</t>
        </is>
      </c>
      <c r="J10" s="24" t="inlineStr">
        <is>
          <t>Non</t>
        </is>
      </c>
      <c r="K10" s="26" t="inlineStr">
        <is>
          <t>Colgate 360 Advanced à piles (remplace la ProClinical 150)</t>
        </is>
      </c>
      <c r="L10" s="16" t="n">
        <v>8.84</v>
      </c>
      <c r="M10" s="17" t="inlineStr">
        <is>
          <t>USD</t>
        </is>
      </c>
      <c r="N10" s="18" t="inlineStr">
        <is>
          <t>N/D</t>
        </is>
      </c>
      <c r="O10" s="19" t="inlineStr">
        <is>
          <t>Walmart (US)</t>
        </is>
      </c>
      <c r="P10" s="17" t="inlineStr">
        <is>
          <t>International</t>
        </is>
      </c>
      <c r="Q10" s="36" t="inlineStr">
        <is>
          <t>https://www.walmart.com/ip/Colgate-360-Advanced-Battery-Powered-Toothbrush-w-Cheek-Tongue-cleaner/21949532</t>
        </is>
      </c>
      <c r="R10" s="21" t="n">
        <v>0.55</v>
      </c>
      <c r="S10" s="22">
        <f>IF(L10="","",MAX('Sélection 10'!$B$8,MROUND(ROUND(L10*IF(M10="EUR",'Sélection 10'!$B$5,IF(M10="USD",'Sélection 10'!$B$5/'Sélection 10'!$B$6,1))*(1-R10),0),500)))</f>
        <v/>
      </c>
      <c r="T10" s="34" t="n">
        <v>5</v>
      </c>
    </row>
    <row r="11">
      <c r="A11" s="13" t="inlineStr">
        <is>
          <t>SG-2813</t>
        </is>
      </c>
      <c r="B11" s="13" t="inlineStr">
        <is>
          <t>Brosse à dents</t>
        </is>
      </c>
      <c r="C11" s="12" t="inlineStr">
        <is>
          <t>Enfant</t>
        </is>
      </c>
      <c r="D11" s="14" t="inlineStr">
        <is>
          <t>Sonique</t>
        </is>
      </c>
      <c r="E11" s="12" t="inlineStr">
        <is>
          <t>36000</t>
        </is>
      </c>
      <c r="F11" s="12" t="n">
        <v>3</v>
      </c>
      <c r="G11" s="12" t="n">
        <v>60</v>
      </c>
      <c r="H11" s="13" t="inlineStr">
        <is>
          <t>Batterie Li-ion rechargeable</t>
        </is>
      </c>
      <c r="I11" s="12" t="inlineStr">
        <is>
          <t>IPX7</t>
        </is>
      </c>
      <c r="J11" s="12" t="inlineStr">
        <is>
          <t>Oui</t>
        </is>
      </c>
      <c r="K11" s="14" t="inlineStr">
        <is>
          <t>Oraimo SmartDent C2</t>
        </is>
      </c>
      <c r="L11" s="27" t="n">
        <v>8500</v>
      </c>
      <c r="M11" s="28" t="inlineStr">
        <is>
          <t>XOF</t>
        </is>
      </c>
      <c r="N11" s="27" t="n">
        <v>12000</v>
      </c>
      <c r="O11" s="29" t="inlineStr">
        <is>
          <t>Oraimo CI</t>
        </is>
      </c>
      <c r="P11" s="28" t="inlineStr">
        <is>
          <t>CI</t>
        </is>
      </c>
      <c r="Q11" s="33" t="inlineStr">
        <is>
          <t>https://ci.oraimo.com/product/oraimo-smartdent-c2-powerful-sonic-cleaning-electric-toothbrush?ean=4895180779541</t>
        </is>
      </c>
      <c r="R11" s="21" t="n">
        <v>0.25</v>
      </c>
      <c r="S11" s="22">
        <f>IF(L11="","",MAX('Sélection 10'!$B$8,MROUND(ROUND(L11*IF(M11="EUR",'Sélection 10'!$B$5,IF(M11="USD",'Sélection 10'!$B$5/'Sélection 10'!$B$6,1))*(1-R11),0),500)))</f>
        <v/>
      </c>
      <c r="T11" s="35" t="n">
        <v>5</v>
      </c>
    </row>
    <row r="12">
      <c r="A12" s="25" t="inlineStr">
        <is>
          <t>SG-2608</t>
        </is>
      </c>
      <c r="B12" s="25" t="inlineStr">
        <is>
          <t>Brosse à dents</t>
        </is>
      </c>
      <c r="C12" s="24" t="inlineStr">
        <is>
          <t>Adulte</t>
        </is>
      </c>
      <c r="D12" s="26" t="inlineStr">
        <is>
          <t>Rotative / oscillante</t>
        </is>
      </c>
      <c r="E12" s="24" t="inlineStr">
        <is>
          <t>8000</t>
        </is>
      </c>
      <c r="F12" s="24" t="n">
        <v>5</v>
      </c>
      <c r="G12" s="24" t="n">
        <v>60</v>
      </c>
      <c r="H12" s="25" t="inlineStr">
        <is>
          <t>Batterie Li-ion rechargeable</t>
        </is>
      </c>
      <c r="I12" s="24" t="inlineStr">
        <is>
          <t>IPX7</t>
        </is>
      </c>
      <c r="J12" s="24" t="inlineStr">
        <is>
          <t>Oui</t>
        </is>
      </c>
      <c r="K12" s="26" t="inlineStr">
        <is>
          <t>Xiaomi Oscillation Electric Toothbrush BHR9809GL</t>
        </is>
      </c>
      <c r="L12" s="27" t="n">
        <v>20000</v>
      </c>
      <c r="M12" s="28" t="inlineStr">
        <is>
          <t>XOF</t>
        </is>
      </c>
      <c r="N12" s="27" t="n">
        <v>30000</v>
      </c>
      <c r="O12" s="29" t="inlineStr">
        <is>
          <t>EAS CI</t>
        </is>
      </c>
      <c r="P12" s="28" t="inlineStr">
        <is>
          <t>CI</t>
        </is>
      </c>
      <c r="Q12" s="33" t="inlineStr">
        <is>
          <t>https://www.eas.ci/product/brosse-a-dents-electrique-oscillante-xiaomi-bhr9809gl-bleu/</t>
        </is>
      </c>
      <c r="R12" s="21" t="n">
        <v>0.3</v>
      </c>
      <c r="S12" s="22">
        <f>IF(L12="","",MAX('Sélection 10'!$B$8,MROUND(ROUND(L12*IF(M12="EUR",'Sélection 10'!$B$5,IF(M12="USD",'Sélection 10'!$B$5/'Sélection 10'!$B$6,1))*(1-R12),0),500)))</f>
        <v/>
      </c>
      <c r="T12" s="34" t="n">
        <v>6</v>
      </c>
    </row>
    <row r="13">
      <c r="A13" s="13" t="inlineStr">
        <is>
          <t>SG-2901</t>
        </is>
      </c>
      <c r="B13" s="13" t="inlineStr">
        <is>
          <t>Brosse à dents</t>
        </is>
      </c>
      <c r="C13" s="12" t="inlineStr">
        <is>
          <t>Adulte</t>
        </is>
      </c>
      <c r="D13" s="14" t="inlineStr">
        <is>
          <t>Sonique + tête rotative</t>
        </is>
      </c>
      <c r="E13" s="15" t="inlineStr">
        <is>
          <t>N/D</t>
        </is>
      </c>
      <c r="F13" s="12" t="n">
        <v>5</v>
      </c>
      <c r="G13" s="15" t="inlineStr">
        <is>
          <t>N/D</t>
        </is>
      </c>
      <c r="H13" s="13" t="inlineStr">
        <is>
          <t>Batterie Li-ion rechargeable</t>
        </is>
      </c>
      <c r="I13" s="12" t="inlineStr">
        <is>
          <t>IPX7</t>
        </is>
      </c>
      <c r="J13" s="12" t="inlineStr">
        <is>
          <t>Oui</t>
        </is>
      </c>
      <c r="K13" s="14" t="inlineStr">
        <is>
          <t>Bitvae Brosse sonique (modèle D2 présumé)</t>
        </is>
      </c>
      <c r="L13" s="27" t="n">
        <v>22500</v>
      </c>
      <c r="M13" s="28" t="inlineStr">
        <is>
          <t>XOF</t>
        </is>
      </c>
      <c r="N13" s="27" t="n">
        <v>28000</v>
      </c>
      <c r="O13" s="29" t="inlineStr">
        <is>
          <t>Jumia CI</t>
        </is>
      </c>
      <c r="P13" s="28" t="inlineStr">
        <is>
          <t>CI</t>
        </is>
      </c>
      <c r="Q13" s="33" t="inlineStr">
        <is>
          <t>https://www.jumia.ci/generic-brosse-a-dents-electrique-bitvae-32455516.html</t>
        </is>
      </c>
      <c r="R13" s="21" t="n">
        <v>0.3</v>
      </c>
      <c r="S13" s="22">
        <f>IF(L13="","",MAX('Sélection 10'!$B$8,MROUND(ROUND(L13*IF(M13="EUR",'Sélection 10'!$B$5,IF(M13="USD",'Sélection 10'!$B$5/'Sélection 10'!$B$6,1))*(1-R13),0),500)))</f>
        <v/>
      </c>
      <c r="T13" s="35" t="n">
        <v>8</v>
      </c>
    </row>
    <row r="14">
      <c r="A14" s="25" t="inlineStr">
        <is>
          <t>SG-2773</t>
        </is>
      </c>
      <c r="B14" s="25" t="inlineStr">
        <is>
          <t>Brosse à dents</t>
        </is>
      </c>
      <c r="C14" s="24" t="inlineStr">
        <is>
          <t>Adulte</t>
        </is>
      </c>
      <c r="D14" s="26" t="inlineStr">
        <is>
          <t>Sonique</t>
        </is>
      </c>
      <c r="E14" s="24" t="inlineStr">
        <is>
          <t>32000</t>
        </is>
      </c>
      <c r="F14" s="24" t="n">
        <v>9</v>
      </c>
      <c r="G14" s="24" t="n">
        <v>21</v>
      </c>
      <c r="H14" s="25" t="inlineStr">
        <is>
          <t>Batterie Li-ion rechargeable</t>
        </is>
      </c>
      <c r="I14" s="24" t="inlineStr">
        <is>
          <t>IPX7</t>
        </is>
      </c>
      <c r="J14" s="24" t="inlineStr">
        <is>
          <t>Oui</t>
        </is>
      </c>
      <c r="K14" s="26" t="inlineStr">
        <is>
          <t>Bitvae Brosse sonique (modèle D2 présumé)</t>
        </is>
      </c>
      <c r="L14" s="27" t="n">
        <v>22500</v>
      </c>
      <c r="M14" s="28" t="inlineStr">
        <is>
          <t>XOF</t>
        </is>
      </c>
      <c r="N14" s="27" t="n">
        <v>28000</v>
      </c>
      <c r="O14" s="29" t="inlineStr">
        <is>
          <t>Jumia CI</t>
        </is>
      </c>
      <c r="P14" s="28" t="inlineStr">
        <is>
          <t>CI</t>
        </is>
      </c>
      <c r="Q14" s="33" t="inlineStr">
        <is>
          <t>https://www.jumia.ci/generic-brosse-a-dents-electrique-bitvae-32455516.html</t>
        </is>
      </c>
      <c r="R14" s="21" t="n">
        <v>0.3</v>
      </c>
      <c r="S14" s="22">
        <f>IF(L14="","",MAX('Sélection 10'!$B$8,MROUND(ROUND(L14*IF(M14="EUR",'Sélection 10'!$B$5,IF(M14="USD",'Sélection 10'!$B$5/'Sélection 10'!$B$6,1))*(1-R14),0),500)))</f>
        <v/>
      </c>
      <c r="T14" s="34" t="n">
        <v>9</v>
      </c>
    </row>
    <row r="15">
      <c r="A15" s="13" t="inlineStr">
        <is>
          <t>SG-2768</t>
        </is>
      </c>
      <c r="B15" s="13" t="inlineStr">
        <is>
          <t>Brosse à dents</t>
        </is>
      </c>
      <c r="C15" s="12" t="inlineStr">
        <is>
          <t>Adulte</t>
        </is>
      </c>
      <c r="D15" s="14" t="inlineStr">
        <is>
          <t>Sonique</t>
        </is>
      </c>
      <c r="E15" s="12" t="inlineStr">
        <is>
          <t>32000</t>
        </is>
      </c>
      <c r="F15" s="12" t="n">
        <v>6</v>
      </c>
      <c r="G15" s="12" t="n">
        <v>21</v>
      </c>
      <c r="H15" s="13" t="inlineStr">
        <is>
          <t>Batterie Li-ion rechargeable</t>
        </is>
      </c>
      <c r="I15" s="12" t="inlineStr">
        <is>
          <t>IPX7</t>
        </is>
      </c>
      <c r="J15" s="12" t="inlineStr">
        <is>
          <t>Oui</t>
        </is>
      </c>
      <c r="K15" s="14" t="inlineStr">
        <is>
          <t>Bitvae Brosse sonique (modèle D2 présumé)</t>
        </is>
      </c>
      <c r="L15" s="27" t="n">
        <v>22500</v>
      </c>
      <c r="M15" s="28" t="inlineStr">
        <is>
          <t>XOF</t>
        </is>
      </c>
      <c r="N15" s="27" t="n">
        <v>28000</v>
      </c>
      <c r="O15" s="29" t="inlineStr">
        <is>
          <t>Jumia CI</t>
        </is>
      </c>
      <c r="P15" s="28" t="inlineStr">
        <is>
          <t>CI</t>
        </is>
      </c>
      <c r="Q15" s="33" t="inlineStr">
        <is>
          <t>https://www.jumia.ci/generic-brosse-a-dents-electrique-bitvae-32455516.html</t>
        </is>
      </c>
      <c r="R15" s="21" t="n">
        <v>0.3</v>
      </c>
      <c r="S15" s="22">
        <f>IF(L15="","",MAX('Sélection 10'!$B$8,MROUND(ROUND(L15*IF(M15="EUR",'Sélection 10'!$B$5,IF(M15="USD",'Sélection 10'!$B$5/'Sélection 10'!$B$6,1))*(1-R15),0),500)))</f>
        <v/>
      </c>
      <c r="T15" s="35" t="n">
        <v>9</v>
      </c>
    </row>
    <row r="16">
      <c r="A16" s="25" t="inlineStr">
        <is>
          <t>SG-2771</t>
        </is>
      </c>
      <c r="B16" s="25" t="inlineStr">
        <is>
          <t>Brosse à dents</t>
        </is>
      </c>
      <c r="C16" s="24" t="inlineStr">
        <is>
          <t>Adulte</t>
        </is>
      </c>
      <c r="D16" s="26" t="inlineStr">
        <is>
          <t>Sonique</t>
        </is>
      </c>
      <c r="E16" s="24" t="inlineStr">
        <is>
          <t>32000 à 40000</t>
        </is>
      </c>
      <c r="F16" s="24" t="n">
        <v>6</v>
      </c>
      <c r="G16" s="24" t="n">
        <v>21</v>
      </c>
      <c r="H16" s="25" t="inlineStr">
        <is>
          <t>Batterie Li-ion rechargeable</t>
        </is>
      </c>
      <c r="I16" s="24" t="inlineStr">
        <is>
          <t>IPX7</t>
        </is>
      </c>
      <c r="J16" s="24" t="inlineStr">
        <is>
          <t>Oui</t>
        </is>
      </c>
      <c r="K16" s="26" t="inlineStr">
        <is>
          <t>Bitvae Brosse sonique (modèle D2 présumé)</t>
        </is>
      </c>
      <c r="L16" s="27" t="n">
        <v>22500</v>
      </c>
      <c r="M16" s="28" t="inlineStr">
        <is>
          <t>XOF</t>
        </is>
      </c>
      <c r="N16" s="27" t="n">
        <v>28000</v>
      </c>
      <c r="O16" s="29" t="inlineStr">
        <is>
          <t>Jumia CI</t>
        </is>
      </c>
      <c r="P16" s="28" t="inlineStr">
        <is>
          <t>CI</t>
        </is>
      </c>
      <c r="Q16" s="33" t="inlineStr">
        <is>
          <t>https://www.jumia.ci/generic-brosse-a-dents-electrique-bitvae-32455516.html</t>
        </is>
      </c>
      <c r="R16" s="21" t="n">
        <v>0.3</v>
      </c>
      <c r="S16" s="22">
        <f>IF(L16="","",MAX('Sélection 10'!$B$8,MROUND(ROUND(L16*IF(M16="EUR",'Sélection 10'!$B$5,IF(M16="USD",'Sélection 10'!$B$5/'Sélection 10'!$B$6,1))*(1-R16),0),500)))</f>
        <v/>
      </c>
      <c r="T16" s="34" t="n">
        <v>10</v>
      </c>
    </row>
    <row r="17">
      <c r="A17" s="13" t="inlineStr">
        <is>
          <t>SG-2778</t>
        </is>
      </c>
      <c r="B17" s="13" t="inlineStr">
        <is>
          <t>Brosse à dents</t>
        </is>
      </c>
      <c r="C17" s="12" t="inlineStr">
        <is>
          <t>Adulte</t>
        </is>
      </c>
      <c r="D17" s="14" t="inlineStr">
        <is>
          <t>Sonique</t>
        </is>
      </c>
      <c r="E17" s="12" t="inlineStr">
        <is>
          <t>32000</t>
        </is>
      </c>
      <c r="F17" s="12" t="n">
        <v>9</v>
      </c>
      <c r="G17" s="12" t="n">
        <v>21</v>
      </c>
      <c r="H17" s="13" t="inlineStr">
        <is>
          <t>Batterie Li-ion rechargeable</t>
        </is>
      </c>
      <c r="I17" s="12" t="inlineStr">
        <is>
          <t>IPX7</t>
        </is>
      </c>
      <c r="J17" s="12" t="inlineStr">
        <is>
          <t>Oui</t>
        </is>
      </c>
      <c r="K17" s="14" t="inlineStr">
        <is>
          <t>Bitvae Brosse sonique (modèle D2 présumé)</t>
        </is>
      </c>
      <c r="L17" s="27" t="n">
        <v>22500</v>
      </c>
      <c r="M17" s="28" t="inlineStr">
        <is>
          <t>XOF</t>
        </is>
      </c>
      <c r="N17" s="27" t="n">
        <v>28000</v>
      </c>
      <c r="O17" s="29" t="inlineStr">
        <is>
          <t>Jumia CI</t>
        </is>
      </c>
      <c r="P17" s="28" t="inlineStr">
        <is>
          <t>CI</t>
        </is>
      </c>
      <c r="Q17" s="33" t="inlineStr">
        <is>
          <t>https://www.jumia.ci/generic-brosse-a-dents-electrique-bitvae-32455516.html</t>
        </is>
      </c>
      <c r="R17" s="21" t="n">
        <v>0.3</v>
      </c>
      <c r="S17" s="22">
        <f>IF(L17="","",MAX('Sélection 10'!$B$8,MROUND(ROUND(L17*IF(M17="EUR",'Sélection 10'!$B$5,IF(M17="USD",'Sélection 10'!$B$5/'Sélection 10'!$B$6,1))*(1-R17),0),500)))</f>
        <v/>
      </c>
      <c r="T17" s="35" t="n">
        <v>10</v>
      </c>
    </row>
    <row r="18">
      <c r="A18" s="25" t="inlineStr">
        <is>
          <t>SG-2767</t>
        </is>
      </c>
      <c r="B18" s="25" t="inlineStr">
        <is>
          <t>Brosse à dents</t>
        </is>
      </c>
      <c r="C18" s="24" t="inlineStr">
        <is>
          <t>Adulte</t>
        </is>
      </c>
      <c r="D18" s="26" t="inlineStr">
        <is>
          <t>Sonique</t>
        </is>
      </c>
      <c r="E18" s="24" t="inlineStr">
        <is>
          <t>32000 à 40000</t>
        </is>
      </c>
      <c r="F18" s="24" t="n">
        <v>5</v>
      </c>
      <c r="G18" s="24" t="n">
        <v>60</v>
      </c>
      <c r="H18" s="25" t="inlineStr">
        <is>
          <t>Batterie Li-ion rechargeable</t>
        </is>
      </c>
      <c r="I18" s="24" t="inlineStr">
        <is>
          <t>IPX7</t>
        </is>
      </c>
      <c r="J18" s="24" t="inlineStr">
        <is>
          <t>Oui</t>
        </is>
      </c>
      <c r="K18" s="26" t="inlineStr">
        <is>
          <t>Bitvae Brosse sonique (modèle D2 présumé)</t>
        </is>
      </c>
      <c r="L18" s="27" t="n">
        <v>22500</v>
      </c>
      <c r="M18" s="28" t="inlineStr">
        <is>
          <t>XOF</t>
        </is>
      </c>
      <c r="N18" s="27" t="n">
        <v>28000</v>
      </c>
      <c r="O18" s="29" t="inlineStr">
        <is>
          <t>Jumia CI</t>
        </is>
      </c>
      <c r="P18" s="28" t="inlineStr">
        <is>
          <t>CI</t>
        </is>
      </c>
      <c r="Q18" s="33" t="inlineStr">
        <is>
          <t>https://www.jumia.ci/generic-brosse-a-dents-electrique-bitvae-32455516.html</t>
        </is>
      </c>
      <c r="R18" s="21" t="n">
        <v>0.3</v>
      </c>
      <c r="S18" s="22">
        <f>IF(L18="","",MAX('Sélection 10'!$B$8,MROUND(ROUND(L18*IF(M18="EUR",'Sélection 10'!$B$5,IF(M18="USD",'Sélection 10'!$B$5/'Sélection 10'!$B$6,1))*(1-R18),0),500)))</f>
        <v/>
      </c>
      <c r="T18" s="34" t="n">
        <v>11</v>
      </c>
    </row>
    <row r="19">
      <c r="A19" s="13" t="inlineStr">
        <is>
          <t>SG-553</t>
        </is>
      </c>
      <c r="B19" s="13" t="inlineStr">
        <is>
          <t>Brosse à dents</t>
        </is>
      </c>
      <c r="C19" s="12" t="inlineStr">
        <is>
          <t>Adulte</t>
        </is>
      </c>
      <c r="D19" s="14" t="inlineStr">
        <is>
          <t>Sonique</t>
        </is>
      </c>
      <c r="E19" s="12" t="inlineStr">
        <is>
          <t>32000 à 40000</t>
        </is>
      </c>
      <c r="F19" s="12" t="n">
        <v>5</v>
      </c>
      <c r="G19" s="12" t="n">
        <v>21</v>
      </c>
      <c r="H19" s="13" t="inlineStr">
        <is>
          <t>Batterie Li-ion rechargeable</t>
        </is>
      </c>
      <c r="I19" s="12" t="inlineStr">
        <is>
          <t>IPX7</t>
        </is>
      </c>
      <c r="J19" s="12" t="inlineStr">
        <is>
          <t>Oui</t>
        </is>
      </c>
      <c r="K19" s="14" t="inlineStr">
        <is>
          <t>Oraimo Magnisonic OPC-ET500N</t>
        </is>
      </c>
      <c r="L19" s="27" t="n">
        <v>12000</v>
      </c>
      <c r="M19" s="28" t="inlineStr">
        <is>
          <t>XOF</t>
        </is>
      </c>
      <c r="N19" s="27" t="n">
        <v>15600</v>
      </c>
      <c r="O19" s="29" t="inlineStr">
        <is>
          <t>Oraimo CI</t>
        </is>
      </c>
      <c r="P19" s="28" t="inlineStr">
        <is>
          <t>CI</t>
        </is>
      </c>
      <c r="Q19" s="33" t="inlineStr">
        <is>
          <t>https://ci.oraimo.com/product/oraimo-magnisonic-electric-toothbrush-opc-et500n</t>
        </is>
      </c>
      <c r="R19" s="21" t="n">
        <v>0.25</v>
      </c>
      <c r="S19" s="22">
        <f>IF(L19="","",MAX('Sélection 10'!$B$8,MROUND(ROUND(L19*IF(M19="EUR",'Sélection 10'!$B$5,IF(M19="USD",'Sélection 10'!$B$5/'Sélection 10'!$B$6,1))*(1-R19),0),500)))</f>
        <v/>
      </c>
      <c r="T19" s="35" t="n">
        <v>11</v>
      </c>
    </row>
    <row r="20">
      <c r="A20" s="25" t="inlineStr">
        <is>
          <t>SG-2775</t>
        </is>
      </c>
      <c r="B20" s="25" t="inlineStr">
        <is>
          <t>Brosse à dents</t>
        </is>
      </c>
      <c r="C20" s="24" t="inlineStr">
        <is>
          <t>Adulte</t>
        </is>
      </c>
      <c r="D20" s="26" t="inlineStr">
        <is>
          <t>Sonique</t>
        </is>
      </c>
      <c r="E20" s="24" t="inlineStr">
        <is>
          <t>32000 à 40000</t>
        </is>
      </c>
      <c r="F20" s="24" t="n">
        <v>5</v>
      </c>
      <c r="G20" s="24" t="n">
        <v>21</v>
      </c>
      <c r="H20" s="25" t="inlineStr">
        <is>
          <t>Batterie Li-ion rechargeable</t>
        </is>
      </c>
      <c r="I20" s="24" t="inlineStr">
        <is>
          <t>IPX7</t>
        </is>
      </c>
      <c r="J20" s="24" t="inlineStr">
        <is>
          <t>Oui</t>
        </is>
      </c>
      <c r="K20" s="26" t="inlineStr">
        <is>
          <t>OIPETLUCK Sonique pro 5 modes, 3 têtes, USB</t>
        </is>
      </c>
      <c r="L20" s="27" t="n">
        <v>2359</v>
      </c>
      <c r="M20" s="28" t="inlineStr">
        <is>
          <t>XOF</t>
        </is>
      </c>
      <c r="N20" s="27" t="n">
        <v>4900</v>
      </c>
      <c r="O20" s="29" t="inlineStr">
        <is>
          <t>Jumia CI</t>
        </is>
      </c>
      <c r="P20" s="28" t="inlineStr">
        <is>
          <t>CI</t>
        </is>
      </c>
      <c r="Q20" s="33" t="inlineStr">
        <is>
          <t>https://www.jumia.ci/oipetluck-brosse-a-dents-electrique-sonique-professionnelle-blanche-avec-3-tetes-de-brosse-5-modes-et-chargement-usb-pour-un-nettoyage-en-profondeur-et-un-blanchiment-des-dents-31643118.html</t>
        </is>
      </c>
      <c r="R20" s="21" t="n">
        <v>0</v>
      </c>
      <c r="S20" s="22">
        <f>IF(L20="","",MAX('Sélection 10'!$B$8,MROUND(ROUND(L20*IF(M20="EUR",'Sélection 10'!$B$5,IF(M20="USD",'Sélection 10'!$B$5/'Sélection 10'!$B$6,1))*(1-R20),0),500)))</f>
        <v/>
      </c>
      <c r="T20" s="34" t="n">
        <v>12</v>
      </c>
    </row>
    <row r="21">
      <c r="A21" s="13" t="inlineStr">
        <is>
          <t>SG-2782</t>
        </is>
      </c>
      <c r="B21" s="13" t="inlineStr">
        <is>
          <t>Brosse à dents</t>
        </is>
      </c>
      <c r="C21" s="12" t="inlineStr">
        <is>
          <t>Adulte</t>
        </is>
      </c>
      <c r="D21" s="14" t="inlineStr">
        <is>
          <t>Sonique</t>
        </is>
      </c>
      <c r="E21" s="12" t="inlineStr">
        <is>
          <t>32000 à 40000</t>
        </is>
      </c>
      <c r="F21" s="12" t="n">
        <v>5</v>
      </c>
      <c r="G21" s="12" t="n">
        <v>21</v>
      </c>
      <c r="H21" s="13" t="inlineStr">
        <is>
          <t>Batterie Li-ion rechargeable</t>
        </is>
      </c>
      <c r="I21" s="12" t="inlineStr">
        <is>
          <t>IPX7</t>
        </is>
      </c>
      <c r="J21" s="12" t="inlineStr">
        <is>
          <t>Oui</t>
        </is>
      </c>
      <c r="K21" s="14" t="inlineStr">
        <is>
          <t>OIPETLUCK Sonique pro 5 modes, 3 têtes, USB</t>
        </is>
      </c>
      <c r="L21" s="27" t="n">
        <v>2359</v>
      </c>
      <c r="M21" s="28" t="inlineStr">
        <is>
          <t>XOF</t>
        </is>
      </c>
      <c r="N21" s="27" t="n">
        <v>4900</v>
      </c>
      <c r="O21" s="29" t="inlineStr">
        <is>
          <t>Jumia CI</t>
        </is>
      </c>
      <c r="P21" s="28" t="inlineStr">
        <is>
          <t>CI</t>
        </is>
      </c>
      <c r="Q21" s="33" t="inlineStr">
        <is>
          <t>https://www.jumia.ci/oipetluck-brosse-a-dents-electrique-sonique-professionnelle-blanche-avec-3-tetes-de-brosse-5-modes-et-chargement-usb-pour-un-nettoyage-en-profondeur-et-un-blanchiment-des-dents-31643118.html</t>
        </is>
      </c>
      <c r="R21" s="21" t="n">
        <v>0</v>
      </c>
      <c r="S21" s="22">
        <f>IF(L21="","",MAX('Sélection 10'!$B$8,MROUND(ROUND(L21*IF(M21="EUR",'Sélection 10'!$B$5,IF(M21="USD",'Sélection 10'!$B$5/'Sélection 10'!$B$6,1))*(1-R21),0),500)))</f>
        <v/>
      </c>
      <c r="T21" s="35" t="n">
        <v>12</v>
      </c>
    </row>
    <row r="22">
      <c r="A22" s="25" t="inlineStr">
        <is>
          <t>SG-2750</t>
        </is>
      </c>
      <c r="B22" s="25" t="inlineStr">
        <is>
          <t>Brosse à dents</t>
        </is>
      </c>
      <c r="C22" s="24" t="inlineStr">
        <is>
          <t>Adulte</t>
        </is>
      </c>
      <c r="D22" s="26" t="inlineStr">
        <is>
          <t>Sonique</t>
        </is>
      </c>
      <c r="E22" s="24" t="inlineStr">
        <is>
          <t>35000 à 42000</t>
        </is>
      </c>
      <c r="F22" s="24" t="n">
        <v>5</v>
      </c>
      <c r="G22" s="24" t="n">
        <v>21</v>
      </c>
      <c r="H22" s="25" t="inlineStr">
        <is>
          <t>Batterie Li-ion rechargeable</t>
        </is>
      </c>
      <c r="I22" s="24" t="inlineStr">
        <is>
          <t>IPX7</t>
        </is>
      </c>
      <c r="J22" s="24" t="inlineStr">
        <is>
          <t>Non</t>
        </is>
      </c>
      <c r="K22" s="26" t="inlineStr">
        <is>
          <t>OIPETLUCK Sonique pro 5 modes, 3 têtes, USB</t>
        </is>
      </c>
      <c r="L22" s="27" t="n">
        <v>2359</v>
      </c>
      <c r="M22" s="28" t="inlineStr">
        <is>
          <t>XOF</t>
        </is>
      </c>
      <c r="N22" s="27" t="n">
        <v>4900</v>
      </c>
      <c r="O22" s="29" t="inlineStr">
        <is>
          <t>Jumia CI</t>
        </is>
      </c>
      <c r="P22" s="28" t="inlineStr">
        <is>
          <t>CI</t>
        </is>
      </c>
      <c r="Q22" s="33" t="inlineStr">
        <is>
          <t>https://www.jumia.ci/oipetluck-brosse-a-dents-electrique-sonique-professionnelle-blanche-avec-3-tetes-de-brosse-5-modes-et-chargement-usb-pour-un-nettoyage-en-profondeur-et-un-blanchiment-des-dents-31643118.html</t>
        </is>
      </c>
      <c r="R22" s="21" t="n">
        <v>0</v>
      </c>
      <c r="S22" s="22">
        <f>IF(L22="","",MAX('Sélection 10'!$B$8,MROUND(ROUND(L22*IF(M22="EUR",'Sélection 10'!$B$5,IF(M22="USD",'Sélection 10'!$B$5/'Sélection 10'!$B$6,1))*(1-R22),0),500)))</f>
        <v/>
      </c>
      <c r="T22" s="34" t="n">
        <v>13</v>
      </c>
    </row>
    <row r="23">
      <c r="A23" s="13" t="inlineStr">
        <is>
          <t>SG-2716</t>
        </is>
      </c>
      <c r="B23" s="13" t="inlineStr">
        <is>
          <t>Brosse à dents</t>
        </is>
      </c>
      <c r="C23" s="12" t="inlineStr">
        <is>
          <t>Adulte</t>
        </is>
      </c>
      <c r="D23" s="14" t="inlineStr">
        <is>
          <t>Sonique</t>
        </is>
      </c>
      <c r="E23" s="12" t="inlineStr">
        <is>
          <t>32000 à 40000</t>
        </is>
      </c>
      <c r="F23" s="12" t="n">
        <v>15</v>
      </c>
      <c r="G23" s="12" t="n">
        <v>35</v>
      </c>
      <c r="H23" s="13" t="inlineStr">
        <is>
          <t>Batterie Li-ion rechargeable</t>
        </is>
      </c>
      <c r="I23" s="12" t="inlineStr">
        <is>
          <t>IPX7</t>
        </is>
      </c>
      <c r="J23" s="12" t="inlineStr">
        <is>
          <t>Oui</t>
        </is>
      </c>
      <c r="K23" s="14" t="inlineStr">
        <is>
          <t>Oraimo Magnisonic OPC-ET500N</t>
        </is>
      </c>
      <c r="L23" s="27" t="n">
        <v>12000</v>
      </c>
      <c r="M23" s="28" t="inlineStr">
        <is>
          <t>XOF</t>
        </is>
      </c>
      <c r="N23" s="27" t="n">
        <v>15600</v>
      </c>
      <c r="O23" s="29" t="inlineStr">
        <is>
          <t>Oraimo CI</t>
        </is>
      </c>
      <c r="P23" s="28" t="inlineStr">
        <is>
          <t>CI</t>
        </is>
      </c>
      <c r="Q23" s="33" t="inlineStr">
        <is>
          <t>https://ci.oraimo.com/product/oraimo-magnisonic-electric-toothbrush-opc-et500n</t>
        </is>
      </c>
      <c r="R23" s="21" t="n">
        <v>0.25</v>
      </c>
      <c r="S23" s="22">
        <f>IF(L23="","",MAX('Sélection 10'!$B$8,MROUND(ROUND(L23*IF(M23="EUR",'Sélection 10'!$B$5,IF(M23="USD",'Sélection 10'!$B$5/'Sélection 10'!$B$6,1))*(1-R23),0),500)))</f>
        <v/>
      </c>
      <c r="T23" s="35" t="n">
        <v>13</v>
      </c>
    </row>
    <row r="24">
      <c r="A24" s="25" t="inlineStr">
        <is>
          <t>SG-2752</t>
        </is>
      </c>
      <c r="B24" s="25" t="inlineStr">
        <is>
          <t>Brosse à dents</t>
        </is>
      </c>
      <c r="C24" s="24" t="inlineStr">
        <is>
          <t>Adulte</t>
        </is>
      </c>
      <c r="D24" s="26" t="inlineStr">
        <is>
          <t>Sonique</t>
        </is>
      </c>
      <c r="E24" s="24" t="inlineStr">
        <is>
          <t>32000 à 40000</t>
        </is>
      </c>
      <c r="F24" s="24" t="n">
        <v>5</v>
      </c>
      <c r="G24" s="24" t="n">
        <v>21</v>
      </c>
      <c r="H24" s="25" t="inlineStr">
        <is>
          <t>Batterie Li-ion rechargeable</t>
        </is>
      </c>
      <c r="I24" s="24" t="inlineStr">
        <is>
          <t>IPX7</t>
        </is>
      </c>
      <c r="J24" s="24" t="inlineStr">
        <is>
          <t>Oui</t>
        </is>
      </c>
      <c r="K24" s="26" t="inlineStr">
        <is>
          <t>OIPETLUCK Sonique pro 5 modes, 3 têtes, USB</t>
        </is>
      </c>
      <c r="L24" s="27" t="n">
        <v>2359</v>
      </c>
      <c r="M24" s="28" t="inlineStr">
        <is>
          <t>XOF</t>
        </is>
      </c>
      <c r="N24" s="27" t="n">
        <v>4900</v>
      </c>
      <c r="O24" s="29" t="inlineStr">
        <is>
          <t>Jumia CI</t>
        </is>
      </c>
      <c r="P24" s="28" t="inlineStr">
        <is>
          <t>CI</t>
        </is>
      </c>
      <c r="Q24" s="33" t="inlineStr">
        <is>
          <t>https://www.jumia.ci/oipetluck-brosse-a-dents-electrique-sonique-professionnelle-blanche-avec-3-tetes-de-brosse-5-modes-et-chargement-usb-pour-un-nettoyage-en-profondeur-et-un-blanchiment-des-dents-31643118.html</t>
        </is>
      </c>
      <c r="R24" s="21" t="n">
        <v>0</v>
      </c>
      <c r="S24" s="22">
        <f>IF(L24="","",MAX('Sélection 10'!$B$8,MROUND(ROUND(L24*IF(M24="EUR",'Sélection 10'!$B$5,IF(M24="USD",'Sélection 10'!$B$5/'Sélection 10'!$B$6,1))*(1-R24),0),500)))</f>
        <v/>
      </c>
      <c r="T24" s="34" t="n">
        <v>14</v>
      </c>
    </row>
    <row r="25">
      <c r="A25" s="13" t="inlineStr">
        <is>
          <t>SG-2753</t>
        </is>
      </c>
      <c r="B25" s="13" t="inlineStr">
        <is>
          <t>Brosse à dents</t>
        </is>
      </c>
      <c r="C25" s="12" t="inlineStr">
        <is>
          <t>Adulte</t>
        </is>
      </c>
      <c r="D25" s="14" t="inlineStr">
        <is>
          <t>Sonique</t>
        </is>
      </c>
      <c r="E25" s="12" t="inlineStr">
        <is>
          <t>32000 à 40000</t>
        </is>
      </c>
      <c r="F25" s="12" t="n">
        <v>5</v>
      </c>
      <c r="G25" s="12" t="n">
        <v>21</v>
      </c>
      <c r="H25" s="13" t="inlineStr">
        <is>
          <t>Batterie Li-ion rechargeable</t>
        </is>
      </c>
      <c r="I25" s="12" t="inlineStr">
        <is>
          <t>IPX7</t>
        </is>
      </c>
      <c r="J25" s="12" t="inlineStr">
        <is>
          <t>Oui</t>
        </is>
      </c>
      <c r="K25" s="14" t="inlineStr">
        <is>
          <t>OIPETLUCK Sonique pro 5 modes, 3 têtes, USB</t>
        </is>
      </c>
      <c r="L25" s="27" t="n">
        <v>2359</v>
      </c>
      <c r="M25" s="28" t="inlineStr">
        <is>
          <t>XOF</t>
        </is>
      </c>
      <c r="N25" s="27" t="n">
        <v>4900</v>
      </c>
      <c r="O25" s="29" t="inlineStr">
        <is>
          <t>Jumia CI</t>
        </is>
      </c>
      <c r="P25" s="28" t="inlineStr">
        <is>
          <t>CI</t>
        </is>
      </c>
      <c r="Q25" s="33" t="inlineStr">
        <is>
          <t>https://www.jumia.ci/oipetluck-brosse-a-dents-electrique-sonique-professionnelle-blanche-avec-3-tetes-de-brosse-5-modes-et-chargement-usb-pour-un-nettoyage-en-profondeur-et-un-blanchiment-des-dents-31643118.html</t>
        </is>
      </c>
      <c r="R25" s="21" t="n">
        <v>0</v>
      </c>
      <c r="S25" s="22">
        <f>IF(L25="","",MAX('Sélection 10'!$B$8,MROUND(ROUND(L25*IF(M25="EUR",'Sélection 10'!$B$5,IF(M25="USD",'Sélection 10'!$B$5/'Sélection 10'!$B$6,1))*(1-R25),0),500)))</f>
        <v/>
      </c>
      <c r="T25" s="35" t="n">
        <v>14</v>
      </c>
    </row>
    <row r="26">
      <c r="A26" s="25" t="inlineStr">
        <is>
          <t>SG-2725</t>
        </is>
      </c>
      <c r="B26" s="25" t="inlineStr">
        <is>
          <t>Brosse à dents</t>
        </is>
      </c>
      <c r="C26" s="24" t="inlineStr">
        <is>
          <t>Adulte</t>
        </is>
      </c>
      <c r="D26" s="26" t="inlineStr">
        <is>
          <t>Sonique</t>
        </is>
      </c>
      <c r="E26" s="24" t="inlineStr">
        <is>
          <t>32000 à 47000</t>
        </is>
      </c>
      <c r="F26" s="24" t="n">
        <v>5</v>
      </c>
      <c r="G26" s="24" t="n">
        <v>60</v>
      </c>
      <c r="H26" s="25" t="inlineStr">
        <is>
          <t>Batterie Li-ion rechargeable</t>
        </is>
      </c>
      <c r="I26" s="24" t="inlineStr">
        <is>
          <t>IPX7</t>
        </is>
      </c>
      <c r="J26" s="24" t="inlineStr">
        <is>
          <t>Non</t>
        </is>
      </c>
      <c r="K26" s="26" t="inlineStr">
        <is>
          <t>OIPETLUCK Sonique pro 5 modes, 3 têtes, USB</t>
        </is>
      </c>
      <c r="L26" s="27" t="n">
        <v>2359</v>
      </c>
      <c r="M26" s="28" t="inlineStr">
        <is>
          <t>XOF</t>
        </is>
      </c>
      <c r="N26" s="27" t="n">
        <v>4900</v>
      </c>
      <c r="O26" s="29" t="inlineStr">
        <is>
          <t>Jumia CI</t>
        </is>
      </c>
      <c r="P26" s="28" t="inlineStr">
        <is>
          <t>CI</t>
        </is>
      </c>
      <c r="Q26" s="33" t="inlineStr">
        <is>
          <t>https://www.jumia.ci/oipetluck-brosse-a-dents-electrique-sonique-professionnelle-blanche-avec-3-tetes-de-brosse-5-modes-et-chargement-usb-pour-un-nettoyage-en-profondeur-et-un-blanchiment-des-dents-31643118.html</t>
        </is>
      </c>
      <c r="R26" s="21" t="n">
        <v>0</v>
      </c>
      <c r="S26" s="22">
        <f>IF(L26="","",MAX('Sélection 10'!$B$8,MROUND(ROUND(L26*IF(M26="EUR",'Sélection 10'!$B$5,IF(M26="USD",'Sélection 10'!$B$5/'Sélection 10'!$B$6,1))*(1-R26),0),500)))</f>
        <v/>
      </c>
      <c r="T26" s="34" t="n">
        <v>15</v>
      </c>
    </row>
    <row r="27">
      <c r="A27" s="13" t="inlineStr">
        <is>
          <t>SG-2015</t>
        </is>
      </c>
      <c r="B27" s="13" t="inlineStr">
        <is>
          <t>Brosse à dents</t>
        </is>
      </c>
      <c r="C27" s="12" t="inlineStr">
        <is>
          <t>Adulte</t>
        </is>
      </c>
      <c r="D27" s="14" t="inlineStr">
        <is>
          <t>Sonique</t>
        </is>
      </c>
      <c r="E27" s="12" t="inlineStr">
        <is>
          <t>40000</t>
        </is>
      </c>
      <c r="F27" s="12" t="n">
        <v>15</v>
      </c>
      <c r="G27" s="12" t="n">
        <v>21</v>
      </c>
      <c r="H27" s="13" t="inlineStr">
        <is>
          <t>Batterie Li-ion rechargeable</t>
        </is>
      </c>
      <c r="I27" s="12" t="inlineStr">
        <is>
          <t>IPX7</t>
        </is>
      </c>
      <c r="J27" s="12" t="inlineStr">
        <is>
          <t>Non</t>
        </is>
      </c>
      <c r="K27" s="14" t="inlineStr">
        <is>
          <t>Bitvae Brosse sonique (modèle D2 présumé)</t>
        </is>
      </c>
      <c r="L27" s="27" t="n">
        <v>22500</v>
      </c>
      <c r="M27" s="28" t="inlineStr">
        <is>
          <t>XOF</t>
        </is>
      </c>
      <c r="N27" s="27" t="n">
        <v>28000</v>
      </c>
      <c r="O27" s="29" t="inlineStr">
        <is>
          <t>Jumia CI</t>
        </is>
      </c>
      <c r="P27" s="28" t="inlineStr">
        <is>
          <t>CI</t>
        </is>
      </c>
      <c r="Q27" s="33" t="inlineStr">
        <is>
          <t>https://www.jumia.ci/generic-brosse-a-dents-electrique-bitvae-32455516.html</t>
        </is>
      </c>
      <c r="R27" s="21" t="n">
        <v>0.3</v>
      </c>
      <c r="S27" s="22">
        <f>IF(L27="","",MAX('Sélection 10'!$B$8,MROUND(ROUND(L27*IF(M27="EUR",'Sélection 10'!$B$5,IF(M27="USD",'Sélection 10'!$B$5/'Sélection 10'!$B$6,1))*(1-R27),0),500)))</f>
        <v/>
      </c>
      <c r="T27" s="35" t="n">
        <v>16</v>
      </c>
    </row>
    <row r="28">
      <c r="A28" s="25" t="inlineStr">
        <is>
          <t>SG-2017</t>
        </is>
      </c>
      <c r="B28" s="25" t="inlineStr">
        <is>
          <t>Brosse à dents</t>
        </is>
      </c>
      <c r="C28" s="24" t="inlineStr">
        <is>
          <t>Adulte</t>
        </is>
      </c>
      <c r="D28" s="26" t="inlineStr">
        <is>
          <t>Sonique</t>
        </is>
      </c>
      <c r="E28" s="24" t="inlineStr">
        <is>
          <t>32000 à 40000</t>
        </is>
      </c>
      <c r="F28" s="24" t="n">
        <v>15</v>
      </c>
      <c r="G28" s="24" t="n">
        <v>21</v>
      </c>
      <c r="H28" s="25" t="inlineStr">
        <is>
          <t>Batterie Li-ion rechargeable</t>
        </is>
      </c>
      <c r="I28" s="24" t="inlineStr">
        <is>
          <t>IPX7</t>
        </is>
      </c>
      <c r="J28" s="24" t="inlineStr">
        <is>
          <t>Non</t>
        </is>
      </c>
      <c r="K28" s="26" t="inlineStr">
        <is>
          <t>Bitvae Brosse sonique (modèle D2 présumé)</t>
        </is>
      </c>
      <c r="L28" s="27" t="n">
        <v>22500</v>
      </c>
      <c r="M28" s="28" t="inlineStr">
        <is>
          <t>XOF</t>
        </is>
      </c>
      <c r="N28" s="27" t="n">
        <v>28000</v>
      </c>
      <c r="O28" s="29" t="inlineStr">
        <is>
          <t>Jumia CI</t>
        </is>
      </c>
      <c r="P28" s="28" t="inlineStr">
        <is>
          <t>CI</t>
        </is>
      </c>
      <c r="Q28" s="33" t="inlineStr">
        <is>
          <t>https://www.jumia.ci/generic-brosse-a-dents-electrique-bitvae-32455516.html</t>
        </is>
      </c>
      <c r="R28" s="21" t="n">
        <v>0.3</v>
      </c>
      <c r="S28" s="22">
        <f>IF(L28="","",MAX('Sélection 10'!$B$8,MROUND(ROUND(L28*IF(M28="EUR",'Sélection 10'!$B$5,IF(M28="USD",'Sélection 10'!$B$5/'Sélection 10'!$B$6,1))*(1-R28),0),500)))</f>
        <v/>
      </c>
      <c r="T28" s="34" t="n">
        <v>16</v>
      </c>
    </row>
    <row r="29">
      <c r="A29" s="13" t="inlineStr">
        <is>
          <t>SG-2701</t>
        </is>
      </c>
      <c r="B29" s="13" t="inlineStr">
        <is>
          <t>Brosse à dents</t>
        </is>
      </c>
      <c r="C29" s="12" t="inlineStr">
        <is>
          <t>Adulte</t>
        </is>
      </c>
      <c r="D29" s="14" t="inlineStr">
        <is>
          <t>Sonique</t>
        </is>
      </c>
      <c r="E29" s="12" t="inlineStr">
        <is>
          <t>32000 à 42000</t>
        </is>
      </c>
      <c r="F29" s="12" t="n">
        <v>15</v>
      </c>
      <c r="G29" s="12" t="n">
        <v>60</v>
      </c>
      <c r="H29" s="13" t="inlineStr">
        <is>
          <t>Batterie Li-ion rechargeable</t>
        </is>
      </c>
      <c r="I29" s="12" t="inlineStr">
        <is>
          <t>IPX7</t>
        </is>
      </c>
      <c r="J29" s="12" t="inlineStr">
        <is>
          <t>Oui</t>
        </is>
      </c>
      <c r="K29" s="14" t="inlineStr">
        <is>
          <t>Oraimo Magnisonic OPC-ET500N</t>
        </is>
      </c>
      <c r="L29" s="27" t="n">
        <v>12000</v>
      </c>
      <c r="M29" s="28" t="inlineStr">
        <is>
          <t>XOF</t>
        </is>
      </c>
      <c r="N29" s="27" t="n">
        <v>15600</v>
      </c>
      <c r="O29" s="29" t="inlineStr">
        <is>
          <t>Oraimo CI</t>
        </is>
      </c>
      <c r="P29" s="28" t="inlineStr">
        <is>
          <t>CI</t>
        </is>
      </c>
      <c r="Q29" s="33" t="inlineStr">
        <is>
          <t>https://ci.oraimo.com/product/oraimo-magnisonic-electric-toothbrush-opc-et500n</t>
        </is>
      </c>
      <c r="R29" s="21" t="n">
        <v>0.25</v>
      </c>
      <c r="S29" s="22">
        <f>IF(L29="","",MAX('Sélection 10'!$B$8,MROUND(ROUND(L29*IF(M29="EUR",'Sélection 10'!$B$5,IF(M29="USD",'Sélection 10'!$B$5/'Sélection 10'!$B$6,1))*(1-R29),0),500)))</f>
        <v/>
      </c>
      <c r="T29" s="35" t="n">
        <v>17</v>
      </c>
    </row>
    <row r="30">
      <c r="A30" s="25" t="inlineStr">
        <is>
          <t>SG-982</t>
        </is>
      </c>
      <c r="B30" s="25" t="inlineStr">
        <is>
          <t>Brosse à dents</t>
        </is>
      </c>
      <c r="C30" s="24" t="inlineStr">
        <is>
          <t>Adulte</t>
        </is>
      </c>
      <c r="D30" s="26" t="inlineStr">
        <is>
          <t>Sonique</t>
        </is>
      </c>
      <c r="E30" s="24" t="inlineStr">
        <is>
          <t>32000 à 42000</t>
        </is>
      </c>
      <c r="F30" s="24" t="n">
        <v>9</v>
      </c>
      <c r="G30" s="24" t="n">
        <v>21</v>
      </c>
      <c r="H30" s="25" t="inlineStr">
        <is>
          <t>Batterie Li-ion rechargeable</t>
        </is>
      </c>
      <c r="I30" s="24" t="inlineStr">
        <is>
          <t>IPX7</t>
        </is>
      </c>
      <c r="J30" s="24" t="inlineStr">
        <is>
          <t>Non</t>
        </is>
      </c>
      <c r="K30" s="26" t="inlineStr">
        <is>
          <t>Oraimo Magnisonic OPC-ET500N</t>
        </is>
      </c>
      <c r="L30" s="27" t="n">
        <v>12000</v>
      </c>
      <c r="M30" s="28" t="inlineStr">
        <is>
          <t>XOF</t>
        </is>
      </c>
      <c r="N30" s="27" t="n">
        <v>15600</v>
      </c>
      <c r="O30" s="29" t="inlineStr">
        <is>
          <t>Oraimo CI</t>
        </is>
      </c>
      <c r="P30" s="28" t="inlineStr">
        <is>
          <t>CI</t>
        </is>
      </c>
      <c r="Q30" s="33" t="inlineStr">
        <is>
          <t>https://ci.oraimo.com/product/oraimo-magnisonic-electric-toothbrush-opc-et500n</t>
        </is>
      </c>
      <c r="R30" s="21" t="n">
        <v>0.25</v>
      </c>
      <c r="S30" s="22">
        <f>IF(L30="","",MAX('Sélection 10'!$B$8,MROUND(ROUND(L30*IF(M30="EUR",'Sélection 10'!$B$5,IF(M30="USD",'Sélection 10'!$B$5/'Sélection 10'!$B$6,1))*(1-R30),0),500)))</f>
        <v/>
      </c>
      <c r="T30" s="34" t="n">
        <v>17</v>
      </c>
    </row>
    <row r="31">
      <c r="A31" s="13" t="inlineStr">
        <is>
          <t>SG-2009</t>
        </is>
      </c>
      <c r="B31" s="13" t="inlineStr">
        <is>
          <t>Brosse à dents</t>
        </is>
      </c>
      <c r="C31" s="12" t="inlineStr">
        <is>
          <t>Adulte</t>
        </is>
      </c>
      <c r="D31" s="14" t="inlineStr">
        <is>
          <t>Sonique</t>
        </is>
      </c>
      <c r="E31" s="12" t="inlineStr">
        <is>
          <t>31000</t>
        </is>
      </c>
      <c r="F31" s="12" t="n">
        <v>5</v>
      </c>
      <c r="G31" s="12" t="n">
        <v>21</v>
      </c>
      <c r="H31" s="13" t="inlineStr">
        <is>
          <t>Batterie Li-ion rechargeable</t>
        </is>
      </c>
      <c r="I31" s="12" t="inlineStr">
        <is>
          <t>IPX7</t>
        </is>
      </c>
      <c r="J31" s="12" t="inlineStr">
        <is>
          <t>Non</t>
        </is>
      </c>
      <c r="K31" s="14" t="inlineStr">
        <is>
          <t>Oraimo Magnisonic OPC-ET500N</t>
        </is>
      </c>
      <c r="L31" s="27" t="n">
        <v>12000</v>
      </c>
      <c r="M31" s="28" t="inlineStr">
        <is>
          <t>XOF</t>
        </is>
      </c>
      <c r="N31" s="27" t="n">
        <v>15600</v>
      </c>
      <c r="O31" s="29" t="inlineStr">
        <is>
          <t>Oraimo CI</t>
        </is>
      </c>
      <c r="P31" s="28" t="inlineStr">
        <is>
          <t>CI</t>
        </is>
      </c>
      <c r="Q31" s="33" t="inlineStr">
        <is>
          <t>https://ci.oraimo.com/product/oraimo-magnisonic-electric-toothbrush-opc-et500n</t>
        </is>
      </c>
      <c r="R31" s="21" t="n">
        <v>0.25</v>
      </c>
      <c r="S31" s="22">
        <f>IF(L31="","",MAX('Sélection 10'!$B$8,MROUND(ROUND(L31*IF(M31="EUR",'Sélection 10'!$B$5,IF(M31="USD",'Sélection 10'!$B$5/'Sélection 10'!$B$6,1))*(1-R31),0),500)))</f>
        <v/>
      </c>
      <c r="T31" s="35" t="n">
        <v>18</v>
      </c>
    </row>
    <row r="32">
      <c r="A32" s="25" t="inlineStr">
        <is>
          <t>SG-998</t>
        </is>
      </c>
      <c r="B32" s="25" t="inlineStr">
        <is>
          <t>Brosse à dents</t>
        </is>
      </c>
      <c r="C32" s="24" t="inlineStr">
        <is>
          <t>Adulte</t>
        </is>
      </c>
      <c r="D32" s="26" t="inlineStr">
        <is>
          <t>Sonique</t>
        </is>
      </c>
      <c r="E32" s="24" t="inlineStr">
        <is>
          <t>31000 à 42000</t>
        </is>
      </c>
      <c r="F32" s="24" t="n">
        <v>5</v>
      </c>
      <c r="G32" s="24" t="n">
        <v>21</v>
      </c>
      <c r="H32" s="25" t="inlineStr">
        <is>
          <t>Batterie Li-ion rechargeable</t>
        </is>
      </c>
      <c r="I32" s="24" t="inlineStr">
        <is>
          <t>IPX7</t>
        </is>
      </c>
      <c r="J32" s="24" t="inlineStr">
        <is>
          <t>Non</t>
        </is>
      </c>
      <c r="K32" s="26" t="inlineStr">
        <is>
          <t>Oraimo Magnisonic OPC-ET500N</t>
        </is>
      </c>
      <c r="L32" s="27" t="n">
        <v>12000</v>
      </c>
      <c r="M32" s="28" t="inlineStr">
        <is>
          <t>XOF</t>
        </is>
      </c>
      <c r="N32" s="27" t="n">
        <v>15600</v>
      </c>
      <c r="O32" s="29" t="inlineStr">
        <is>
          <t>Oraimo CI</t>
        </is>
      </c>
      <c r="P32" s="28" t="inlineStr">
        <is>
          <t>CI</t>
        </is>
      </c>
      <c r="Q32" s="33" t="inlineStr">
        <is>
          <t>https://ci.oraimo.com/product/oraimo-magnisonic-electric-toothbrush-opc-et500n</t>
        </is>
      </c>
      <c r="R32" s="21" t="n">
        <v>0.25</v>
      </c>
      <c r="S32" s="22">
        <f>IF(L32="","",MAX('Sélection 10'!$B$8,MROUND(ROUND(L32*IF(M32="EUR",'Sélection 10'!$B$5,IF(M32="USD",'Sélection 10'!$B$5/'Sélection 10'!$B$6,1))*(1-R32),0),500)))</f>
        <v/>
      </c>
      <c r="T32" s="34" t="n">
        <v>18</v>
      </c>
    </row>
    <row r="33">
      <c r="A33" s="13" t="inlineStr">
        <is>
          <t>SG-986</t>
        </is>
      </c>
      <c r="B33" s="13" t="inlineStr">
        <is>
          <t>Brosse à dents</t>
        </is>
      </c>
      <c r="C33" s="12" t="inlineStr">
        <is>
          <t>Adulte</t>
        </is>
      </c>
      <c r="D33" s="14" t="inlineStr">
        <is>
          <t>Sonique</t>
        </is>
      </c>
      <c r="E33" s="12" t="inlineStr">
        <is>
          <t>31000</t>
        </is>
      </c>
      <c r="F33" s="12" t="n">
        <v>5</v>
      </c>
      <c r="G33" s="12" t="n">
        <v>21</v>
      </c>
      <c r="H33" s="13" t="inlineStr">
        <is>
          <t>Batterie Li-ion rechargeable</t>
        </is>
      </c>
      <c r="I33" s="12" t="inlineStr">
        <is>
          <t>IPX7</t>
        </is>
      </c>
      <c r="J33" s="12" t="inlineStr">
        <is>
          <t>Non</t>
        </is>
      </c>
      <c r="K33" s="14" t="inlineStr">
        <is>
          <t>Oraimo Magnisonic OPC-ET500N</t>
        </is>
      </c>
      <c r="L33" s="27" t="n">
        <v>12000</v>
      </c>
      <c r="M33" s="28" t="inlineStr">
        <is>
          <t>XOF</t>
        </is>
      </c>
      <c r="N33" s="27" t="n">
        <v>15600</v>
      </c>
      <c r="O33" s="29" t="inlineStr">
        <is>
          <t>Oraimo CI</t>
        </is>
      </c>
      <c r="P33" s="28" t="inlineStr">
        <is>
          <t>CI</t>
        </is>
      </c>
      <c r="Q33" s="33" t="inlineStr">
        <is>
          <t>https://ci.oraimo.com/product/oraimo-magnisonic-electric-toothbrush-opc-et500n</t>
        </is>
      </c>
      <c r="R33" s="21" t="n">
        <v>0.25</v>
      </c>
      <c r="S33" s="22">
        <f>IF(L33="","",MAX('Sélection 10'!$B$8,MROUND(ROUND(L33*IF(M33="EUR",'Sélection 10'!$B$5,IF(M33="USD",'Sélection 10'!$B$5/'Sélection 10'!$B$6,1))*(1-R33),0),500)))</f>
        <v/>
      </c>
      <c r="T33" s="35" t="n">
        <v>19</v>
      </c>
    </row>
    <row r="34">
      <c r="A34" s="25" t="inlineStr">
        <is>
          <t>SG-972</t>
        </is>
      </c>
      <c r="B34" s="25" t="inlineStr">
        <is>
          <t>Brosse à dents</t>
        </is>
      </c>
      <c r="C34" s="24" t="inlineStr">
        <is>
          <t>Adulte</t>
        </is>
      </c>
      <c r="D34" s="26" t="inlineStr">
        <is>
          <t>Sonique</t>
        </is>
      </c>
      <c r="E34" s="24" t="inlineStr">
        <is>
          <t>35000 à 42000</t>
        </is>
      </c>
      <c r="F34" s="24" t="n">
        <v>5</v>
      </c>
      <c r="G34" s="24" t="n">
        <v>21</v>
      </c>
      <c r="H34" s="25" t="inlineStr">
        <is>
          <t>Batterie Li-ion rechargeable</t>
        </is>
      </c>
      <c r="I34" s="24" t="inlineStr">
        <is>
          <t>IPX7</t>
        </is>
      </c>
      <c r="J34" s="24" t="inlineStr">
        <is>
          <t>Non</t>
        </is>
      </c>
      <c r="K34" s="26" t="inlineStr">
        <is>
          <t>OIPETLUCK Sonique pro 5 modes, 3 têtes, USB</t>
        </is>
      </c>
      <c r="L34" s="27" t="n">
        <v>2359</v>
      </c>
      <c r="M34" s="28" t="inlineStr">
        <is>
          <t>XOF</t>
        </is>
      </c>
      <c r="N34" s="27" t="n">
        <v>4900</v>
      </c>
      <c r="O34" s="29" t="inlineStr">
        <is>
          <t>Jumia CI</t>
        </is>
      </c>
      <c r="P34" s="28" t="inlineStr">
        <is>
          <t>CI</t>
        </is>
      </c>
      <c r="Q34" s="33" t="inlineStr">
        <is>
          <t>https://www.jumia.ci/oipetluck-brosse-a-dents-electrique-sonique-professionnelle-blanche-avec-3-tetes-de-brosse-5-modes-et-chargement-usb-pour-un-nettoyage-en-profondeur-et-un-blanchiment-des-dents-31643118.html</t>
        </is>
      </c>
      <c r="R34" s="21" t="n">
        <v>0</v>
      </c>
      <c r="S34" s="22">
        <f>IF(L34="","",MAX('Sélection 10'!$B$8,MROUND(ROUND(L34*IF(M34="EUR",'Sélection 10'!$B$5,IF(M34="USD",'Sélection 10'!$B$5/'Sélection 10'!$B$6,1))*(1-R34),0),500)))</f>
        <v/>
      </c>
      <c r="T34" s="34" t="n">
        <v>19</v>
      </c>
    </row>
    <row r="35">
      <c r="A35" s="13" t="inlineStr">
        <is>
          <t>SG-987</t>
        </is>
      </c>
      <c r="B35" s="13" t="inlineStr">
        <is>
          <t>Brosse à dents</t>
        </is>
      </c>
      <c r="C35" s="12" t="inlineStr">
        <is>
          <t>Adulte</t>
        </is>
      </c>
      <c r="D35" s="14" t="inlineStr">
        <is>
          <t>Sonique</t>
        </is>
      </c>
      <c r="E35" s="12" t="inlineStr">
        <is>
          <t>31000</t>
        </is>
      </c>
      <c r="F35" s="12" t="n">
        <v>3</v>
      </c>
      <c r="G35" s="15" t="inlineStr">
        <is>
          <t>N/D</t>
        </is>
      </c>
      <c r="H35" s="13" t="inlineStr">
        <is>
          <t>Batterie Li-ion rechargeable</t>
        </is>
      </c>
      <c r="I35" s="12" t="inlineStr">
        <is>
          <t>IPX7</t>
        </is>
      </c>
      <c r="J35" s="12" t="inlineStr">
        <is>
          <t>Non</t>
        </is>
      </c>
      <c r="K35" s="14" t="inlineStr">
        <is>
          <t>Oraimo Magnisonic OPC-ET500N</t>
        </is>
      </c>
      <c r="L35" s="27" t="n">
        <v>12000</v>
      </c>
      <c r="M35" s="28" t="inlineStr">
        <is>
          <t>XOF</t>
        </is>
      </c>
      <c r="N35" s="27" t="n">
        <v>15600</v>
      </c>
      <c r="O35" s="29" t="inlineStr">
        <is>
          <t>Oraimo CI</t>
        </is>
      </c>
      <c r="P35" s="28" t="inlineStr">
        <is>
          <t>CI</t>
        </is>
      </c>
      <c r="Q35" s="33" t="inlineStr">
        <is>
          <t>https://ci.oraimo.com/product/oraimo-magnisonic-electric-toothbrush-opc-et500n</t>
        </is>
      </c>
      <c r="R35" s="21" t="n">
        <v>0.25</v>
      </c>
      <c r="S35" s="22">
        <f>IF(L35="","",MAX('Sélection 10'!$B$8,MROUND(ROUND(L35*IF(M35="EUR",'Sélection 10'!$B$5,IF(M35="USD",'Sélection 10'!$B$5/'Sélection 10'!$B$6,1))*(1-R35),0),500)))</f>
        <v/>
      </c>
      <c r="T35" s="35" t="n">
        <v>20</v>
      </c>
    </row>
    <row r="36">
      <c r="A36" s="25" t="inlineStr">
        <is>
          <t>SG-585</t>
        </is>
      </c>
      <c r="B36" s="25" t="inlineStr">
        <is>
          <t>Brosse à dents</t>
        </is>
      </c>
      <c r="C36" s="24" t="inlineStr">
        <is>
          <t>Adulte</t>
        </is>
      </c>
      <c r="D36" s="26" t="inlineStr">
        <is>
          <t>Sonique</t>
        </is>
      </c>
      <c r="E36" s="24" t="inlineStr">
        <is>
          <t>35000</t>
        </is>
      </c>
      <c r="F36" s="24" t="n">
        <v>3</v>
      </c>
      <c r="G36" s="24" t="n">
        <v>21</v>
      </c>
      <c r="H36" s="25" t="inlineStr">
        <is>
          <t>Batterie Li-ion rechargeable</t>
        </is>
      </c>
      <c r="I36" s="24" t="inlineStr">
        <is>
          <t>IPX7</t>
        </is>
      </c>
      <c r="J36" s="24" t="inlineStr">
        <is>
          <t>Non</t>
        </is>
      </c>
      <c r="K36" s="26" t="inlineStr">
        <is>
          <t>Generic Adultes, poils DuPont, portable, longue autonomie, IPX6</t>
        </is>
      </c>
      <c r="L36" s="27" t="n">
        <v>2177</v>
      </c>
      <c r="M36" s="28" t="inlineStr">
        <is>
          <t>XOF</t>
        </is>
      </c>
      <c r="N36" s="27" t="n">
        <v>3514</v>
      </c>
      <c r="O36" s="29" t="inlineStr">
        <is>
          <t>Jumia CI</t>
        </is>
      </c>
      <c r="P36" s="28" t="inlineStr">
        <is>
          <t>CI</t>
        </is>
      </c>
      <c r="Q36" s="33" t="inlineStr">
        <is>
          <t>https://www.jumia.ci/generic-brosse-a-dents-electrique-pour-adultes-poils-doux-dupont-portable-longue-autonomie-etancheite-ipx6-soin-buccal-intelligent-et-efficace.-32104864.html</t>
        </is>
      </c>
      <c r="R36" s="21" t="n">
        <v>0</v>
      </c>
      <c r="S36" s="22">
        <f>IF(L36="","",MAX('Sélection 10'!$B$8,MROUND(ROUND(L36*IF(M36="EUR",'Sélection 10'!$B$5,IF(M36="USD",'Sélection 10'!$B$5/'Sélection 10'!$B$6,1))*(1-R36),0),500)))</f>
        <v/>
      </c>
      <c r="T36" s="34" t="n">
        <v>20</v>
      </c>
    </row>
    <row r="37">
      <c r="A37" s="13" t="inlineStr">
        <is>
          <t>SG-539</t>
        </is>
      </c>
      <c r="B37" s="13" t="inlineStr">
        <is>
          <t>Brosse à dents</t>
        </is>
      </c>
      <c r="C37" s="12" t="inlineStr">
        <is>
          <t>Adulte (senior)</t>
        </is>
      </c>
      <c r="D37" s="14" t="inlineStr">
        <is>
          <t>Sonique</t>
        </is>
      </c>
      <c r="E37" s="12" t="inlineStr">
        <is>
          <t>32000 à 42000</t>
        </is>
      </c>
      <c r="F37" s="12" t="n">
        <v>2</v>
      </c>
      <c r="G37" s="12" t="n">
        <v>21</v>
      </c>
      <c r="H37" s="13" t="inlineStr">
        <is>
          <t>Batterie Li-ion rechargeable</t>
        </is>
      </c>
      <c r="I37" s="12" t="inlineStr">
        <is>
          <t>IPX7</t>
        </is>
      </c>
      <c r="J37" s="12" t="inlineStr">
        <is>
          <t>Non</t>
        </is>
      </c>
      <c r="K37" s="14" t="inlineStr">
        <is>
          <t>Oraimo Magnisonic OPC-ET500N</t>
        </is>
      </c>
      <c r="L37" s="27" t="n">
        <v>12000</v>
      </c>
      <c r="M37" s="28" t="inlineStr">
        <is>
          <t>XOF</t>
        </is>
      </c>
      <c r="N37" s="27" t="n">
        <v>15600</v>
      </c>
      <c r="O37" s="29" t="inlineStr">
        <is>
          <t>Oraimo CI</t>
        </is>
      </c>
      <c r="P37" s="28" t="inlineStr">
        <is>
          <t>CI</t>
        </is>
      </c>
      <c r="Q37" s="33" t="inlineStr">
        <is>
          <t>https://ci.oraimo.com/product/oraimo-magnisonic-electric-toothbrush-opc-et500n</t>
        </is>
      </c>
      <c r="R37" s="21" t="n">
        <v>0.25</v>
      </c>
      <c r="S37" s="22">
        <f>IF(L37="","",MAX('Sélection 10'!$B$8,MROUND(ROUND(L37*IF(M37="EUR",'Sélection 10'!$B$5,IF(M37="USD",'Sélection 10'!$B$5/'Sélection 10'!$B$6,1))*(1-R37),0),500)))</f>
        <v/>
      </c>
      <c r="T37" s="35" t="n">
        <v>21</v>
      </c>
    </row>
    <row r="38">
      <c r="A38" s="25" t="inlineStr">
        <is>
          <t>SG-540</t>
        </is>
      </c>
      <c r="B38" s="25" t="inlineStr">
        <is>
          <t>Brosse à dents</t>
        </is>
      </c>
      <c r="C38" s="24" t="inlineStr">
        <is>
          <t>Adulte</t>
        </is>
      </c>
      <c r="D38" s="26" t="inlineStr">
        <is>
          <t>Sonique</t>
        </is>
      </c>
      <c r="E38" s="24" t="inlineStr">
        <is>
          <t>32000 à 42000</t>
        </is>
      </c>
      <c r="F38" s="24" t="n">
        <v>5</v>
      </c>
      <c r="G38" s="24" t="n">
        <v>21</v>
      </c>
      <c r="H38" s="25" t="inlineStr">
        <is>
          <t>Batterie Li-ion rechargeable</t>
        </is>
      </c>
      <c r="I38" s="24" t="inlineStr">
        <is>
          <t>IPX7</t>
        </is>
      </c>
      <c r="J38" s="24" t="inlineStr">
        <is>
          <t>Non</t>
        </is>
      </c>
      <c r="K38" s="26" t="inlineStr">
        <is>
          <t>Oraimo Magnisonic OPC-ET500N</t>
        </is>
      </c>
      <c r="L38" s="27" t="n">
        <v>12000</v>
      </c>
      <c r="M38" s="28" t="inlineStr">
        <is>
          <t>XOF</t>
        </is>
      </c>
      <c r="N38" s="27" t="n">
        <v>15600</v>
      </c>
      <c r="O38" s="29" t="inlineStr">
        <is>
          <t>Oraimo CI</t>
        </is>
      </c>
      <c r="P38" s="28" t="inlineStr">
        <is>
          <t>CI</t>
        </is>
      </c>
      <c r="Q38" s="33" t="inlineStr">
        <is>
          <t>https://ci.oraimo.com/product/oraimo-magnisonic-electric-toothbrush-opc-et500n</t>
        </is>
      </c>
      <c r="R38" s="21" t="n">
        <v>0.25</v>
      </c>
      <c r="S38" s="22">
        <f>IF(L38="","",MAX('Sélection 10'!$B$8,MROUND(ROUND(L38*IF(M38="EUR",'Sélection 10'!$B$5,IF(M38="USD",'Sélection 10'!$B$5/'Sélection 10'!$B$6,1))*(1-R38),0),500)))</f>
        <v/>
      </c>
      <c r="T38" s="34" t="n">
        <v>21</v>
      </c>
    </row>
    <row r="39">
      <c r="A39" s="13" t="inlineStr">
        <is>
          <t>SG-2316</t>
        </is>
      </c>
      <c r="B39" s="13" t="inlineStr">
        <is>
          <t>Brosse à dents</t>
        </is>
      </c>
      <c r="C39" s="12" t="inlineStr">
        <is>
          <t>Adulte</t>
        </is>
      </c>
      <c r="D39" s="14" t="inlineStr">
        <is>
          <t>Sonique</t>
        </is>
      </c>
      <c r="E39" s="12" t="inlineStr">
        <is>
          <t>35000</t>
        </is>
      </c>
      <c r="F39" s="12" t="n">
        <v>3</v>
      </c>
      <c r="G39" s="12" t="n">
        <v>30</v>
      </c>
      <c r="H39" s="13" t="inlineStr">
        <is>
          <t>Batterie Li-ion rechargeable</t>
        </is>
      </c>
      <c r="I39" s="12" t="inlineStr">
        <is>
          <t>IPX7</t>
        </is>
      </c>
      <c r="J39" s="12" t="inlineStr">
        <is>
          <t>Non</t>
        </is>
      </c>
      <c r="K39" s="14" t="inlineStr">
        <is>
          <t>Generic Adultes, poils DuPont, portable, longue autonomie, IPX6</t>
        </is>
      </c>
      <c r="L39" s="27" t="n">
        <v>2177</v>
      </c>
      <c r="M39" s="28" t="inlineStr">
        <is>
          <t>XOF</t>
        </is>
      </c>
      <c r="N39" s="27" t="n">
        <v>3514</v>
      </c>
      <c r="O39" s="29" t="inlineStr">
        <is>
          <t>Jumia CI</t>
        </is>
      </c>
      <c r="P39" s="28" t="inlineStr">
        <is>
          <t>CI</t>
        </is>
      </c>
      <c r="Q39" s="33" t="inlineStr">
        <is>
          <t>https://www.jumia.ci/generic-brosse-a-dents-electrique-pour-adultes-poils-doux-dupont-portable-longue-autonomie-etancheite-ipx6-soin-buccal-intelligent-et-efficace.-32104864.html</t>
        </is>
      </c>
      <c r="R39" s="21" t="n">
        <v>0</v>
      </c>
      <c r="S39" s="22">
        <f>IF(L39="","",MAX('Sélection 10'!$B$8,MROUND(ROUND(L39*IF(M39="EUR",'Sélection 10'!$B$5,IF(M39="USD",'Sélection 10'!$B$5/'Sélection 10'!$B$6,1))*(1-R39),0),500)))</f>
        <v/>
      </c>
      <c r="T39" s="35" t="n">
        <v>24</v>
      </c>
    </row>
    <row r="40">
      <c r="A40" s="25" t="inlineStr">
        <is>
          <t>SG-2320</t>
        </is>
      </c>
      <c r="B40" s="25" t="inlineStr">
        <is>
          <t>Brosse à dents</t>
        </is>
      </c>
      <c r="C40" s="24" t="inlineStr">
        <is>
          <t>Adulte</t>
        </is>
      </c>
      <c r="D40" s="26" t="inlineStr">
        <is>
          <t>Sonique</t>
        </is>
      </c>
      <c r="E40" s="24" t="inlineStr">
        <is>
          <t>35000</t>
        </is>
      </c>
      <c r="F40" s="24" t="n">
        <v>5</v>
      </c>
      <c r="G40" s="24" t="n">
        <v>200</v>
      </c>
      <c r="H40" s="25" t="inlineStr">
        <is>
          <t>Batterie Li-ion rechargeable</t>
        </is>
      </c>
      <c r="I40" s="24" t="inlineStr">
        <is>
          <t>IPX7</t>
        </is>
      </c>
      <c r="J40" s="24" t="inlineStr">
        <is>
          <t>Non</t>
        </is>
      </c>
      <c r="K40" s="26" t="inlineStr">
        <is>
          <t>Decakila KMTB013L sonique 5 modes, 700 mAh</t>
        </is>
      </c>
      <c r="L40" s="27" t="n">
        <v>11900</v>
      </c>
      <c r="M40" s="28" t="inlineStr">
        <is>
          <t>XOF</t>
        </is>
      </c>
      <c r="N40" s="31" t="inlineStr">
        <is>
          <t>N/D</t>
        </is>
      </c>
      <c r="O40" s="29" t="inlineStr">
        <is>
          <t>Djokstore CI</t>
        </is>
      </c>
      <c r="P40" s="28" t="inlineStr">
        <is>
          <t>CI</t>
        </is>
      </c>
      <c r="Q40" s="33" t="inlineStr">
        <is>
          <t>https://djokstore.ci/products/brosse-a-dents-sonique-rechargeable-5-modes-700-mah-decakila-kmtb013l</t>
        </is>
      </c>
      <c r="R40" s="21" t="n">
        <v>0.25</v>
      </c>
      <c r="S40" s="22">
        <f>IF(L40="","",MAX('Sélection 10'!$B$8,MROUND(ROUND(L40*IF(M40="EUR",'Sélection 10'!$B$5,IF(M40="USD",'Sélection 10'!$B$5/'Sélection 10'!$B$6,1))*(1-R40),0),500)))</f>
        <v/>
      </c>
      <c r="T40" s="34" t="n">
        <v>24</v>
      </c>
    </row>
    <row r="41">
      <c r="A41" s="13" t="inlineStr">
        <is>
          <t>SG-2318</t>
        </is>
      </c>
      <c r="B41" s="13" t="inlineStr">
        <is>
          <t>Brosse à dents</t>
        </is>
      </c>
      <c r="C41" s="12" t="inlineStr">
        <is>
          <t>Adulte</t>
        </is>
      </c>
      <c r="D41" s="14" t="inlineStr">
        <is>
          <t>Sonique</t>
        </is>
      </c>
      <c r="E41" s="12" t="inlineStr">
        <is>
          <t>40000</t>
        </is>
      </c>
      <c r="F41" s="12" t="n">
        <v>3</v>
      </c>
      <c r="G41" s="12" t="n">
        <v>90</v>
      </c>
      <c r="H41" s="13" t="inlineStr">
        <is>
          <t>Piles (2x AAA)</t>
        </is>
      </c>
      <c r="I41" s="12" t="inlineStr">
        <is>
          <t>IPX7</t>
        </is>
      </c>
      <c r="J41" s="12" t="inlineStr">
        <is>
          <t>Non</t>
        </is>
      </c>
      <c r="K41" s="14" t="inlineStr">
        <is>
          <t>Colgate 360 Advanced à piles (remplace la ProClinical 150)</t>
        </is>
      </c>
      <c r="L41" s="16" t="n">
        <v>8.84</v>
      </c>
      <c r="M41" s="17" t="inlineStr">
        <is>
          <t>USD</t>
        </is>
      </c>
      <c r="N41" s="18" t="inlineStr">
        <is>
          <t>N/D</t>
        </is>
      </c>
      <c r="O41" s="19" t="inlineStr">
        <is>
          <t>Walmart (US)</t>
        </is>
      </c>
      <c r="P41" s="17" t="inlineStr">
        <is>
          <t>International</t>
        </is>
      </c>
      <c r="Q41" s="36" t="inlineStr">
        <is>
          <t>https://www.walmart.com/ip/Colgate-360-Advanced-Battery-Powered-Toothbrush-w-Cheek-Tongue-cleaner/21949532</t>
        </is>
      </c>
      <c r="R41" s="21" t="n">
        <v>0.55</v>
      </c>
      <c r="S41" s="22">
        <f>IF(L41="","",MAX('Sélection 10'!$B$8,MROUND(ROUND(L41*IF(M41="EUR",'Sélection 10'!$B$5,IF(M41="USD",'Sélection 10'!$B$5/'Sélection 10'!$B$6,1))*(1-R41),0),500)))</f>
        <v/>
      </c>
      <c r="T41" s="35" t="n">
        <v>25</v>
      </c>
    </row>
    <row r="42">
      <c r="A42" s="25" t="inlineStr">
        <is>
          <t>SG-2319</t>
        </is>
      </c>
      <c r="B42" s="25" t="inlineStr">
        <is>
          <t>Brosse à dents</t>
        </is>
      </c>
      <c r="C42" s="24" t="inlineStr">
        <is>
          <t>Adulte</t>
        </is>
      </c>
      <c r="D42" s="26" t="inlineStr">
        <is>
          <t>Sonique</t>
        </is>
      </c>
      <c r="E42" s="24" t="inlineStr">
        <is>
          <t>40000</t>
        </is>
      </c>
      <c r="F42" s="24" t="n">
        <v>3</v>
      </c>
      <c r="G42" s="24" t="n">
        <v>150</v>
      </c>
      <c r="H42" s="25" t="inlineStr">
        <is>
          <t>Piles (2x AA)</t>
        </is>
      </c>
      <c r="I42" s="24" t="inlineStr">
        <is>
          <t>IPX7</t>
        </is>
      </c>
      <c r="J42" s="24" t="inlineStr">
        <is>
          <t>Non</t>
        </is>
      </c>
      <c r="K42" s="26" t="inlineStr">
        <is>
          <t>Colgate 360 Advanced à piles (remplace la ProClinical 150)</t>
        </is>
      </c>
      <c r="L42" s="16" t="n">
        <v>8.84</v>
      </c>
      <c r="M42" s="17" t="inlineStr">
        <is>
          <t>USD</t>
        </is>
      </c>
      <c r="N42" s="18" t="inlineStr">
        <is>
          <t>N/D</t>
        </is>
      </c>
      <c r="O42" s="19" t="inlineStr">
        <is>
          <t>Walmart (US)</t>
        </is>
      </c>
      <c r="P42" s="17" t="inlineStr">
        <is>
          <t>International</t>
        </is>
      </c>
      <c r="Q42" s="36" t="inlineStr">
        <is>
          <t>https://www.walmart.com/ip/Colgate-360-Advanced-Battery-Powered-Toothbrush-w-Cheek-Tongue-cleaner/21949532</t>
        </is>
      </c>
      <c r="R42" s="21" t="n">
        <v>0.55</v>
      </c>
      <c r="S42" s="22">
        <f>IF(L42="","",MAX('Sélection 10'!$B$8,MROUND(ROUND(L42*IF(M42="EUR",'Sélection 10'!$B$5,IF(M42="USD",'Sélection 10'!$B$5/'Sélection 10'!$B$6,1))*(1-R42),0),500)))</f>
        <v/>
      </c>
      <c r="T42" s="34" t="n">
        <v>25</v>
      </c>
    </row>
    <row r="43">
      <c r="A43" s="13" t="inlineStr">
        <is>
          <t>SG-917</t>
        </is>
      </c>
      <c r="B43" s="13" t="inlineStr">
        <is>
          <t>Brosse à dents</t>
        </is>
      </c>
      <c r="C43" s="12" t="inlineStr">
        <is>
          <t>Adulte</t>
        </is>
      </c>
      <c r="D43" s="14" t="inlineStr">
        <is>
          <t>Sonique</t>
        </is>
      </c>
      <c r="E43" s="12" t="inlineStr">
        <is>
          <t>40000</t>
        </is>
      </c>
      <c r="F43" s="12" t="n">
        <v>3</v>
      </c>
      <c r="G43" s="12" t="n">
        <v>25</v>
      </c>
      <c r="H43" s="13" t="inlineStr">
        <is>
          <t>Batterie Li-ion rechargeable</t>
        </is>
      </c>
      <c r="I43" s="12" t="inlineStr">
        <is>
          <t>IPX7</t>
        </is>
      </c>
      <c r="J43" s="12" t="inlineStr">
        <is>
          <t>Non</t>
        </is>
      </c>
      <c r="K43" s="14" t="inlineStr">
        <is>
          <t>Generic Adultes, poils DuPont, portable, longue autonomie, IPX6</t>
        </is>
      </c>
      <c r="L43" s="27" t="n">
        <v>2177</v>
      </c>
      <c r="M43" s="28" t="inlineStr">
        <is>
          <t>XOF</t>
        </is>
      </c>
      <c r="N43" s="27" t="n">
        <v>3514</v>
      </c>
      <c r="O43" s="29" t="inlineStr">
        <is>
          <t>Jumia CI</t>
        </is>
      </c>
      <c r="P43" s="28" t="inlineStr">
        <is>
          <t>CI</t>
        </is>
      </c>
      <c r="Q43" s="33" t="inlineStr">
        <is>
          <t>https://www.jumia.ci/generic-brosse-a-dents-electrique-pour-adultes-poils-doux-dupont-portable-longue-autonomie-etancheite-ipx6-soin-buccal-intelligent-et-efficace.-32104864.html</t>
        </is>
      </c>
      <c r="R43" s="21" t="n">
        <v>0</v>
      </c>
      <c r="S43" s="22">
        <f>IF(L43="","",MAX('Sélection 10'!$B$8,MROUND(ROUND(L43*IF(M43="EUR",'Sélection 10'!$B$5,IF(M43="USD",'Sélection 10'!$B$5/'Sélection 10'!$B$6,1))*(1-R43),0),500)))</f>
        <v/>
      </c>
      <c r="T43" s="35" t="n">
        <v>37</v>
      </c>
    </row>
    <row r="44">
      <c r="A44" s="25" t="inlineStr">
        <is>
          <t>SG-508</t>
        </is>
      </c>
      <c r="B44" s="25" t="inlineStr">
        <is>
          <t>Brosse à dents</t>
        </is>
      </c>
      <c r="C44" s="24" t="inlineStr">
        <is>
          <t>Adulte</t>
        </is>
      </c>
      <c r="D44" s="26" t="inlineStr">
        <is>
          <t>Sonique</t>
        </is>
      </c>
      <c r="E44" s="24" t="inlineStr">
        <is>
          <t>40000</t>
        </is>
      </c>
      <c r="F44" s="24" t="n">
        <v>5</v>
      </c>
      <c r="G44" s="24" t="n">
        <v>25</v>
      </c>
      <c r="H44" s="25" t="inlineStr">
        <is>
          <t>Batterie Li-ion rechargeable</t>
        </is>
      </c>
      <c r="I44" s="24" t="inlineStr">
        <is>
          <t>IPX7</t>
        </is>
      </c>
      <c r="J44" s="24" t="inlineStr">
        <is>
          <t>Non</t>
        </is>
      </c>
      <c r="K44" s="26" t="inlineStr">
        <is>
          <t>OIPETLUCK Sonique pro 5 modes, 3 têtes, USB</t>
        </is>
      </c>
      <c r="L44" s="27" t="n">
        <v>2359</v>
      </c>
      <c r="M44" s="28" t="inlineStr">
        <is>
          <t>XOF</t>
        </is>
      </c>
      <c r="N44" s="27" t="n">
        <v>4900</v>
      </c>
      <c r="O44" s="29" t="inlineStr">
        <is>
          <t>Jumia CI</t>
        </is>
      </c>
      <c r="P44" s="28" t="inlineStr">
        <is>
          <t>CI</t>
        </is>
      </c>
      <c r="Q44" s="33" t="inlineStr">
        <is>
          <t>https://www.jumia.ci/oipetluck-brosse-a-dents-electrique-sonique-professionnelle-blanche-avec-3-tetes-de-brosse-5-modes-et-chargement-usb-pour-un-nettoyage-en-profondeur-et-un-blanchiment-des-dents-31643118.html</t>
        </is>
      </c>
      <c r="R44" s="21" t="n">
        <v>0</v>
      </c>
      <c r="S44" s="22">
        <f>IF(L44="","",MAX('Sélection 10'!$B$8,MROUND(ROUND(L44*IF(M44="EUR",'Sélection 10'!$B$5,IF(M44="USD",'Sélection 10'!$B$5/'Sélection 10'!$B$6,1))*(1-R44),0),500)))</f>
        <v/>
      </c>
      <c r="T44" s="34" t="n">
        <v>26</v>
      </c>
    </row>
    <row r="45">
      <c r="A45" s="13" t="inlineStr">
        <is>
          <t>SG-949</t>
        </is>
      </c>
      <c r="B45" s="13" t="inlineStr">
        <is>
          <t>Brosse à dents</t>
        </is>
      </c>
      <c r="C45" s="12" t="inlineStr">
        <is>
          <t>Adulte</t>
        </is>
      </c>
      <c r="D45" s="14" t="inlineStr">
        <is>
          <t>Sonique</t>
        </is>
      </c>
      <c r="E45" s="12" t="inlineStr">
        <is>
          <t>40000</t>
        </is>
      </c>
      <c r="F45" s="12" t="n">
        <v>5</v>
      </c>
      <c r="G45" s="12" t="n">
        <v>25</v>
      </c>
      <c r="H45" s="13" t="inlineStr">
        <is>
          <t>Batterie Li-ion rechargeable</t>
        </is>
      </c>
      <c r="I45" s="12" t="inlineStr">
        <is>
          <t>IPX7</t>
        </is>
      </c>
      <c r="J45" s="12" t="inlineStr">
        <is>
          <t>Non</t>
        </is>
      </c>
      <c r="K45" s="14" t="inlineStr">
        <is>
          <t>OIPETLUCK Sonique pro 5 modes, 3 têtes, USB</t>
        </is>
      </c>
      <c r="L45" s="27" t="n">
        <v>2359</v>
      </c>
      <c r="M45" s="28" t="inlineStr">
        <is>
          <t>XOF</t>
        </is>
      </c>
      <c r="N45" s="27" t="n">
        <v>4900</v>
      </c>
      <c r="O45" s="29" t="inlineStr">
        <is>
          <t>Jumia CI</t>
        </is>
      </c>
      <c r="P45" s="28" t="inlineStr">
        <is>
          <t>CI</t>
        </is>
      </c>
      <c r="Q45" s="33" t="inlineStr">
        <is>
          <t>https://www.jumia.ci/oipetluck-brosse-a-dents-electrique-sonique-professionnelle-blanche-avec-3-tetes-de-brosse-5-modes-et-chargement-usb-pour-un-nettoyage-en-profondeur-et-un-blanchiment-des-dents-31643118.html</t>
        </is>
      </c>
      <c r="R45" s="21" t="n">
        <v>0</v>
      </c>
      <c r="S45" s="22">
        <f>IF(L45="","",MAX('Sélection 10'!$B$8,MROUND(ROUND(L45*IF(M45="EUR",'Sélection 10'!$B$5,IF(M45="USD",'Sélection 10'!$B$5/'Sélection 10'!$B$6,1))*(1-R45),0),500)))</f>
        <v/>
      </c>
      <c r="T45" s="35" t="n">
        <v>27</v>
      </c>
    </row>
    <row r="46">
      <c r="A46" s="25" t="inlineStr">
        <is>
          <t>SG-575</t>
        </is>
      </c>
      <c r="B46" s="25" t="inlineStr">
        <is>
          <t>Brosse à dents</t>
        </is>
      </c>
      <c r="C46" s="24" t="inlineStr">
        <is>
          <t>Adulte</t>
        </is>
      </c>
      <c r="D46" s="26" t="inlineStr">
        <is>
          <t>Sonique</t>
        </is>
      </c>
      <c r="E46" s="24" t="inlineStr">
        <is>
          <t>40000</t>
        </is>
      </c>
      <c r="F46" s="24" t="n">
        <v>5</v>
      </c>
      <c r="G46" s="24" t="n">
        <v>300</v>
      </c>
      <c r="H46" s="25" t="inlineStr">
        <is>
          <t>Batterie Li-ion rechargeable</t>
        </is>
      </c>
      <c r="I46" s="24" t="inlineStr">
        <is>
          <t>IPX7</t>
        </is>
      </c>
      <c r="J46" s="24" t="inlineStr">
        <is>
          <t>Non</t>
        </is>
      </c>
      <c r="K46" s="26" t="inlineStr">
        <is>
          <t>Decakila KMTB013L sonique 5 modes, 700 mAh</t>
        </is>
      </c>
      <c r="L46" s="27" t="n">
        <v>11900</v>
      </c>
      <c r="M46" s="28" t="inlineStr">
        <is>
          <t>XOF</t>
        </is>
      </c>
      <c r="N46" s="31" t="inlineStr">
        <is>
          <t>N/D</t>
        </is>
      </c>
      <c r="O46" s="29" t="inlineStr">
        <is>
          <t>Djokstore CI</t>
        </is>
      </c>
      <c r="P46" s="28" t="inlineStr">
        <is>
          <t>CI</t>
        </is>
      </c>
      <c r="Q46" s="33" t="inlineStr">
        <is>
          <t>https://djokstore.ci/products/brosse-a-dents-sonique-rechargeable-5-modes-700-mah-decakila-kmtb013l</t>
        </is>
      </c>
      <c r="R46" s="21" t="n">
        <v>0.25</v>
      </c>
      <c r="S46" s="22">
        <f>IF(L46="","",MAX('Sélection 10'!$B$8,MROUND(ROUND(L46*IF(M46="EUR",'Sélection 10'!$B$5,IF(M46="USD",'Sélection 10'!$B$5/'Sélection 10'!$B$6,1))*(1-R46),0),500)))</f>
        <v/>
      </c>
      <c r="T46" s="34" t="n">
        <v>27</v>
      </c>
    </row>
    <row r="47">
      <c r="A47" s="13" t="inlineStr">
        <is>
          <t>SG-2303</t>
        </is>
      </c>
      <c r="B47" s="13" t="inlineStr">
        <is>
          <t>Brosse à dents</t>
        </is>
      </c>
      <c r="C47" s="12" t="inlineStr">
        <is>
          <t>Adulte</t>
        </is>
      </c>
      <c r="D47" s="14" t="inlineStr">
        <is>
          <t>Sonique</t>
        </is>
      </c>
      <c r="E47" s="12" t="inlineStr">
        <is>
          <t>40000</t>
        </is>
      </c>
      <c r="F47" s="12" t="n">
        <v>5</v>
      </c>
      <c r="G47" s="12" t="n">
        <v>60</v>
      </c>
      <c r="H47" s="13" t="inlineStr">
        <is>
          <t>Batterie Li-ion rechargeable</t>
        </is>
      </c>
      <c r="I47" s="12" t="inlineStr">
        <is>
          <t>IPX7</t>
        </is>
      </c>
      <c r="J47" s="12" t="inlineStr">
        <is>
          <t>Non</t>
        </is>
      </c>
      <c r="K47" s="14" t="inlineStr">
        <is>
          <t>OIPETLUCK Sonique pro 5 modes, 3 têtes, USB</t>
        </is>
      </c>
      <c r="L47" s="27" t="n">
        <v>2359</v>
      </c>
      <c r="M47" s="28" t="inlineStr">
        <is>
          <t>XOF</t>
        </is>
      </c>
      <c r="N47" s="27" t="n">
        <v>4900</v>
      </c>
      <c r="O47" s="29" t="inlineStr">
        <is>
          <t>Jumia CI</t>
        </is>
      </c>
      <c r="P47" s="28" t="inlineStr">
        <is>
          <t>CI</t>
        </is>
      </c>
      <c r="Q47" s="33" t="inlineStr">
        <is>
          <t>https://www.jumia.ci/oipetluck-brosse-a-dents-electrique-sonique-professionnelle-blanche-avec-3-tetes-de-brosse-5-modes-et-chargement-usb-pour-un-nettoyage-en-profondeur-et-un-blanchiment-des-dents-31643118.html</t>
        </is>
      </c>
      <c r="R47" s="21" t="n">
        <v>0</v>
      </c>
      <c r="S47" s="22">
        <f>IF(L47="","",MAX('Sélection 10'!$B$8,MROUND(ROUND(L47*IF(M47="EUR",'Sélection 10'!$B$5,IF(M47="USD",'Sélection 10'!$B$5/'Sélection 10'!$B$6,1))*(1-R47),0),500)))</f>
        <v/>
      </c>
      <c r="T47" s="35" t="n">
        <v>28</v>
      </c>
    </row>
    <row r="48">
      <c r="A48" s="25" t="inlineStr">
        <is>
          <t>SG-507</t>
        </is>
      </c>
      <c r="B48" s="25" t="inlineStr">
        <is>
          <t>Brosse à dents</t>
        </is>
      </c>
      <c r="C48" s="24" t="inlineStr">
        <is>
          <t>Adulte</t>
        </is>
      </c>
      <c r="D48" s="26" t="inlineStr">
        <is>
          <t>Sonique</t>
        </is>
      </c>
      <c r="E48" s="24" t="inlineStr">
        <is>
          <t>40000</t>
        </is>
      </c>
      <c r="F48" s="24" t="n">
        <v>5</v>
      </c>
      <c r="G48" s="24" t="n">
        <v>25</v>
      </c>
      <c r="H48" s="25" t="inlineStr">
        <is>
          <t>Batterie Li-ion rechargeable</t>
        </is>
      </c>
      <c r="I48" s="24" t="inlineStr">
        <is>
          <t>IPX7</t>
        </is>
      </c>
      <c r="J48" s="24" t="inlineStr">
        <is>
          <t>Non</t>
        </is>
      </c>
      <c r="K48" s="26" t="inlineStr">
        <is>
          <t>OIPETLUCK Sonique pro 5 modes, 3 têtes, USB</t>
        </is>
      </c>
      <c r="L48" s="27" t="n">
        <v>2359</v>
      </c>
      <c r="M48" s="28" t="inlineStr">
        <is>
          <t>XOF</t>
        </is>
      </c>
      <c r="N48" s="27" t="n">
        <v>4900</v>
      </c>
      <c r="O48" s="29" t="inlineStr">
        <is>
          <t>Jumia CI</t>
        </is>
      </c>
      <c r="P48" s="28" t="inlineStr">
        <is>
          <t>CI</t>
        </is>
      </c>
      <c r="Q48" s="33" t="inlineStr">
        <is>
          <t>https://www.jumia.ci/oipetluck-brosse-a-dents-electrique-sonique-professionnelle-blanche-avec-3-tetes-de-brosse-5-modes-et-chargement-usb-pour-un-nettoyage-en-profondeur-et-un-blanchiment-des-dents-31643118.html</t>
        </is>
      </c>
      <c r="R48" s="21" t="n">
        <v>0</v>
      </c>
      <c r="S48" s="22">
        <f>IF(L48="","",MAX('Sélection 10'!$B$8,MROUND(ROUND(L48*IF(M48="EUR",'Sélection 10'!$B$5,IF(M48="USD",'Sélection 10'!$B$5/'Sélection 10'!$B$6,1))*(1-R48),0),500)))</f>
        <v/>
      </c>
      <c r="T48" s="34" t="n">
        <v>28</v>
      </c>
    </row>
    <row r="49">
      <c r="A49" s="13" t="inlineStr">
        <is>
          <t>SG-958</t>
        </is>
      </c>
      <c r="B49" s="13" t="inlineStr">
        <is>
          <t>Brosse à dents</t>
        </is>
      </c>
      <c r="C49" s="12" t="inlineStr">
        <is>
          <t>Adulte</t>
        </is>
      </c>
      <c r="D49" s="14" t="inlineStr">
        <is>
          <t>Sonique</t>
        </is>
      </c>
      <c r="E49" s="12" t="inlineStr">
        <is>
          <t>40000</t>
        </is>
      </c>
      <c r="F49" s="12" t="n">
        <v>5</v>
      </c>
      <c r="G49" s="12" t="n">
        <v>25</v>
      </c>
      <c r="H49" s="13" t="inlineStr">
        <is>
          <t>Batterie Li-ion rechargeable</t>
        </is>
      </c>
      <c r="I49" s="12" t="inlineStr">
        <is>
          <t>IPX7</t>
        </is>
      </c>
      <c r="J49" s="12" t="inlineStr">
        <is>
          <t>Non</t>
        </is>
      </c>
      <c r="K49" s="14" t="inlineStr">
        <is>
          <t>OIPETLUCK Sonique pro 5 modes, 3 têtes, USB</t>
        </is>
      </c>
      <c r="L49" s="27" t="n">
        <v>2359</v>
      </c>
      <c r="M49" s="28" t="inlineStr">
        <is>
          <t>XOF</t>
        </is>
      </c>
      <c r="N49" s="27" t="n">
        <v>4900</v>
      </c>
      <c r="O49" s="29" t="inlineStr">
        <is>
          <t>Jumia CI</t>
        </is>
      </c>
      <c r="P49" s="28" t="inlineStr">
        <is>
          <t>CI</t>
        </is>
      </c>
      <c r="Q49" s="33" t="inlineStr">
        <is>
          <t>https://www.jumia.ci/oipetluck-brosse-a-dents-electrique-sonique-professionnelle-blanche-avec-3-tetes-de-brosse-5-modes-et-chargement-usb-pour-un-nettoyage-en-profondeur-et-un-blanchiment-des-dents-31643118.html</t>
        </is>
      </c>
      <c r="R49" s="21" t="n">
        <v>0</v>
      </c>
      <c r="S49" s="22">
        <f>IF(L49="","",MAX('Sélection 10'!$B$8,MROUND(ROUND(L49*IF(M49="EUR",'Sélection 10'!$B$5,IF(M49="USD",'Sélection 10'!$B$5/'Sélection 10'!$B$6,1))*(1-R49),0),500)))</f>
        <v/>
      </c>
      <c r="T49" s="35" t="n">
        <v>29</v>
      </c>
    </row>
    <row r="50">
      <c r="A50" s="25" t="inlineStr">
        <is>
          <t>SG-548</t>
        </is>
      </c>
      <c r="B50" s="25" t="inlineStr">
        <is>
          <t>Brosse à dents</t>
        </is>
      </c>
      <c r="C50" s="24" t="inlineStr">
        <is>
          <t>Adulte</t>
        </is>
      </c>
      <c r="D50" s="26" t="inlineStr">
        <is>
          <t>Sonique</t>
        </is>
      </c>
      <c r="E50" s="24" t="inlineStr">
        <is>
          <t>38000</t>
        </is>
      </c>
      <c r="F50" s="24" t="n">
        <v>5</v>
      </c>
      <c r="G50" s="24" t="n">
        <v>25</v>
      </c>
      <c r="H50" s="25" t="inlineStr">
        <is>
          <t>Batterie Ni-MH rechargeable</t>
        </is>
      </c>
      <c r="I50" s="24" t="inlineStr">
        <is>
          <t>IPX7</t>
        </is>
      </c>
      <c r="J50" s="24" t="inlineStr">
        <is>
          <t>Non</t>
        </is>
      </c>
      <c r="K50" s="26" t="inlineStr">
        <is>
          <t>OIPETLUCK Sonique pro 5 modes, 3 têtes, USB</t>
        </is>
      </c>
      <c r="L50" s="27" t="n">
        <v>2359</v>
      </c>
      <c r="M50" s="28" t="inlineStr">
        <is>
          <t>XOF</t>
        </is>
      </c>
      <c r="N50" s="27" t="n">
        <v>4900</v>
      </c>
      <c r="O50" s="29" t="inlineStr">
        <is>
          <t>Jumia CI</t>
        </is>
      </c>
      <c r="P50" s="28" t="inlineStr">
        <is>
          <t>CI</t>
        </is>
      </c>
      <c r="Q50" s="33" t="inlineStr">
        <is>
          <t>https://www.jumia.ci/oipetluck-brosse-a-dents-electrique-sonique-professionnelle-blanche-avec-3-tetes-de-brosse-5-modes-et-chargement-usb-pour-un-nettoyage-en-profondeur-et-un-blanchiment-des-dents-31643118.html</t>
        </is>
      </c>
      <c r="R50" s="21" t="n">
        <v>0</v>
      </c>
      <c r="S50" s="22">
        <f>IF(L50="","",MAX('Sélection 10'!$B$8,MROUND(ROUND(L50*IF(M50="EUR",'Sélection 10'!$B$5,IF(M50="USD",'Sélection 10'!$B$5/'Sélection 10'!$B$6,1))*(1-R50),0),500)))</f>
        <v/>
      </c>
      <c r="T50" s="34" t="n">
        <v>29</v>
      </c>
    </row>
    <row r="51">
      <c r="A51" s="13" t="inlineStr">
        <is>
          <t>SG-551</t>
        </is>
      </c>
      <c r="B51" s="13" t="inlineStr">
        <is>
          <t>Brosse à dents</t>
        </is>
      </c>
      <c r="C51" s="12" t="inlineStr">
        <is>
          <t>Adulte</t>
        </is>
      </c>
      <c r="D51" s="14" t="inlineStr">
        <is>
          <t>Sonique</t>
        </is>
      </c>
      <c r="E51" s="12" t="inlineStr">
        <is>
          <t>40000</t>
        </is>
      </c>
      <c r="F51" s="12" t="n">
        <v>4</v>
      </c>
      <c r="G51" s="12" t="n">
        <v>25</v>
      </c>
      <c r="H51" s="13" t="inlineStr">
        <is>
          <t>Batterie Li-ion rechargeable</t>
        </is>
      </c>
      <c r="I51" s="12" t="inlineStr">
        <is>
          <t>IPX7</t>
        </is>
      </c>
      <c r="J51" s="12" t="inlineStr">
        <is>
          <t>Non</t>
        </is>
      </c>
      <c r="K51" s="14" t="inlineStr">
        <is>
          <t>Generic Adultes, poils DuPont, portable, longue autonomie, IPX6</t>
        </is>
      </c>
      <c r="L51" s="27" t="n">
        <v>2177</v>
      </c>
      <c r="M51" s="28" t="inlineStr">
        <is>
          <t>XOF</t>
        </is>
      </c>
      <c r="N51" s="27" t="n">
        <v>3514</v>
      </c>
      <c r="O51" s="29" t="inlineStr">
        <is>
          <t>Jumia CI</t>
        </is>
      </c>
      <c r="P51" s="28" t="inlineStr">
        <is>
          <t>CI</t>
        </is>
      </c>
      <c r="Q51" s="33" t="inlineStr">
        <is>
          <t>https://www.jumia.ci/generic-brosse-a-dents-electrique-pour-adultes-poils-doux-dupont-portable-longue-autonomie-etancheite-ipx6-soin-buccal-intelligent-et-efficace.-32104864.html</t>
        </is>
      </c>
      <c r="R51" s="21" t="n">
        <v>0</v>
      </c>
      <c r="S51" s="22">
        <f>IF(L51="","",MAX('Sélection 10'!$B$8,MROUND(ROUND(L51*IF(M51="EUR",'Sélection 10'!$B$5,IF(M51="USD",'Sélection 10'!$B$5/'Sélection 10'!$B$6,1))*(1-R51),0),500)))</f>
        <v/>
      </c>
      <c r="T51" s="35" t="n">
        <v>30</v>
      </c>
    </row>
    <row r="52">
      <c r="A52" s="25" t="inlineStr">
        <is>
          <t>SG-2315</t>
        </is>
      </c>
      <c r="B52" s="25" t="inlineStr">
        <is>
          <t>Brosse à dents</t>
        </is>
      </c>
      <c r="C52" s="24" t="inlineStr">
        <is>
          <t>Adulte</t>
        </is>
      </c>
      <c r="D52" s="26" t="inlineStr">
        <is>
          <t>Sonique</t>
        </is>
      </c>
      <c r="E52" s="24" t="inlineStr">
        <is>
          <t>36000</t>
        </is>
      </c>
      <c r="F52" s="24" t="n">
        <v>3</v>
      </c>
      <c r="G52" s="24" t="n">
        <v>25</v>
      </c>
      <c r="H52" s="25" t="inlineStr">
        <is>
          <t>Batterie Ni-MH rechargeable</t>
        </is>
      </c>
      <c r="I52" s="24" t="inlineStr">
        <is>
          <t>IPX7</t>
        </is>
      </c>
      <c r="J52" s="24" t="inlineStr">
        <is>
          <t>Non</t>
        </is>
      </c>
      <c r="K52" s="26" t="inlineStr">
        <is>
          <t>Generic Adultes, poils DuPont, portable, longue autonomie, IPX6</t>
        </is>
      </c>
      <c r="L52" s="27" t="n">
        <v>2177</v>
      </c>
      <c r="M52" s="28" t="inlineStr">
        <is>
          <t>XOF</t>
        </is>
      </c>
      <c r="N52" s="27" t="n">
        <v>3514</v>
      </c>
      <c r="O52" s="29" t="inlineStr">
        <is>
          <t>Jumia CI</t>
        </is>
      </c>
      <c r="P52" s="28" t="inlineStr">
        <is>
          <t>CI</t>
        </is>
      </c>
      <c r="Q52" s="33" t="inlineStr">
        <is>
          <t>https://www.jumia.ci/generic-brosse-a-dents-electrique-pour-adultes-poils-doux-dupont-portable-longue-autonomie-etancheite-ipx6-soin-buccal-intelligent-et-efficace.-32104864.html</t>
        </is>
      </c>
      <c r="R52" s="21" t="n">
        <v>0</v>
      </c>
      <c r="S52" s="22">
        <f>IF(L52="","",MAX('Sélection 10'!$B$8,MROUND(ROUND(L52*IF(M52="EUR",'Sélection 10'!$B$5,IF(M52="USD",'Sélection 10'!$B$5/'Sélection 10'!$B$6,1))*(1-R52),0),500)))</f>
        <v/>
      </c>
      <c r="T52" s="34" t="n">
        <v>30</v>
      </c>
    </row>
    <row r="53">
      <c r="A53" s="13" t="inlineStr">
        <is>
          <t>SG-2308</t>
        </is>
      </c>
      <c r="B53" s="13" t="inlineStr">
        <is>
          <t>Brosse à dents</t>
        </is>
      </c>
      <c r="C53" s="12" t="inlineStr">
        <is>
          <t>Adulte</t>
        </is>
      </c>
      <c r="D53" s="14" t="inlineStr">
        <is>
          <t>Sonique</t>
        </is>
      </c>
      <c r="E53" s="12" t="inlineStr">
        <is>
          <t>35000</t>
        </is>
      </c>
      <c r="F53" s="12" t="n">
        <v>5</v>
      </c>
      <c r="G53" s="12" t="n">
        <v>60</v>
      </c>
      <c r="H53" s="13" t="inlineStr">
        <is>
          <t>Batterie Li-ion rechargeable</t>
        </is>
      </c>
      <c r="I53" s="12" t="inlineStr">
        <is>
          <t>IPX7</t>
        </is>
      </c>
      <c r="J53" s="12" t="inlineStr">
        <is>
          <t>Non</t>
        </is>
      </c>
      <c r="K53" s="14" t="inlineStr">
        <is>
          <t>OIPETLUCK Sonique pro 5 modes, 3 têtes, USB</t>
        </is>
      </c>
      <c r="L53" s="27" t="n">
        <v>2359</v>
      </c>
      <c r="M53" s="28" t="inlineStr">
        <is>
          <t>XOF</t>
        </is>
      </c>
      <c r="N53" s="27" t="n">
        <v>4900</v>
      </c>
      <c r="O53" s="29" t="inlineStr">
        <is>
          <t>Jumia CI</t>
        </is>
      </c>
      <c r="P53" s="28" t="inlineStr">
        <is>
          <t>CI</t>
        </is>
      </c>
      <c r="Q53" s="33" t="inlineStr">
        <is>
          <t>https://www.jumia.ci/oipetluck-brosse-a-dents-electrique-sonique-professionnelle-blanche-avec-3-tetes-de-brosse-5-modes-et-chargement-usb-pour-un-nettoyage-en-profondeur-et-un-blanchiment-des-dents-31643118.html</t>
        </is>
      </c>
      <c r="R53" s="21" t="n">
        <v>0</v>
      </c>
      <c r="S53" s="22">
        <f>IF(L53="","",MAX('Sélection 10'!$B$8,MROUND(ROUND(L53*IF(M53="EUR",'Sélection 10'!$B$5,IF(M53="USD",'Sélection 10'!$B$5/'Sélection 10'!$B$6,1))*(1-R53),0),500)))</f>
        <v/>
      </c>
      <c r="T53" s="35" t="n">
        <v>31</v>
      </c>
    </row>
    <row r="54">
      <c r="A54" s="25" t="inlineStr">
        <is>
          <t>SG-515</t>
        </is>
      </c>
      <c r="B54" s="25" t="inlineStr">
        <is>
          <t>Brosse à dents</t>
        </is>
      </c>
      <c r="C54" s="24" t="inlineStr">
        <is>
          <t>Adulte</t>
        </is>
      </c>
      <c r="D54" s="26" t="inlineStr">
        <is>
          <t>Sonique</t>
        </is>
      </c>
      <c r="E54" s="24" t="inlineStr">
        <is>
          <t>40000</t>
        </is>
      </c>
      <c r="F54" s="24" t="n">
        <v>3</v>
      </c>
      <c r="G54" s="24" t="n">
        <v>25</v>
      </c>
      <c r="H54" s="25" t="inlineStr">
        <is>
          <t>Batterie Li-ion rechargeable</t>
        </is>
      </c>
      <c r="I54" s="24" t="inlineStr">
        <is>
          <t>IPX6</t>
        </is>
      </c>
      <c r="J54" s="24" t="inlineStr">
        <is>
          <t>Non</t>
        </is>
      </c>
      <c r="K54" s="26" t="inlineStr">
        <is>
          <t>Generic Adultes, poils DuPont, portable, longue autonomie, IPX6</t>
        </is>
      </c>
      <c r="L54" s="27" t="n">
        <v>2177</v>
      </c>
      <c r="M54" s="28" t="inlineStr">
        <is>
          <t>XOF</t>
        </is>
      </c>
      <c r="N54" s="27" t="n">
        <v>3514</v>
      </c>
      <c r="O54" s="29" t="inlineStr">
        <is>
          <t>Jumia CI</t>
        </is>
      </c>
      <c r="P54" s="28" t="inlineStr">
        <is>
          <t>CI</t>
        </is>
      </c>
      <c r="Q54" s="33" t="inlineStr">
        <is>
          <t>https://www.jumia.ci/generic-brosse-a-dents-electrique-pour-adultes-poils-doux-dupont-portable-longue-autonomie-etancheite-ipx6-soin-buccal-intelligent-et-efficace.-32104864.html</t>
        </is>
      </c>
      <c r="R54" s="21" t="n">
        <v>0</v>
      </c>
      <c r="S54" s="22">
        <f>IF(L54="","",MAX('Sélection 10'!$B$8,MROUND(ROUND(L54*IF(M54="EUR",'Sélection 10'!$B$5,IF(M54="USD",'Sélection 10'!$B$5/'Sélection 10'!$B$6,1))*(1-R54),0),500)))</f>
        <v/>
      </c>
      <c r="T54" s="34" t="n">
        <v>31</v>
      </c>
    </row>
    <row r="55">
      <c r="A55" s="13" t="inlineStr">
        <is>
          <t>SG-910</t>
        </is>
      </c>
      <c r="B55" s="13" t="inlineStr">
        <is>
          <t>Brosse à dents</t>
        </is>
      </c>
      <c r="C55" s="12" t="inlineStr">
        <is>
          <t>Adulte</t>
        </is>
      </c>
      <c r="D55" s="14" t="inlineStr">
        <is>
          <t>Sonique</t>
        </is>
      </c>
      <c r="E55" s="12" t="inlineStr">
        <is>
          <t>40000</t>
        </is>
      </c>
      <c r="F55" s="12" t="n">
        <v>2</v>
      </c>
      <c r="G55" s="12" t="n">
        <v>150</v>
      </c>
      <c r="H55" s="13" t="inlineStr">
        <is>
          <t>Piles (2x AA)</t>
        </is>
      </c>
      <c r="I55" s="12" t="inlineStr">
        <is>
          <t>IPX7</t>
        </is>
      </c>
      <c r="J55" s="12" t="inlineStr">
        <is>
          <t>Non</t>
        </is>
      </c>
      <c r="K55" s="14" t="inlineStr">
        <is>
          <t>Colgate 360 Advanced à piles (remplace la ProClinical 150)</t>
        </is>
      </c>
      <c r="L55" s="16" t="n">
        <v>8.84</v>
      </c>
      <c r="M55" s="17" t="inlineStr">
        <is>
          <t>USD</t>
        </is>
      </c>
      <c r="N55" s="18" t="inlineStr">
        <is>
          <t>N/D</t>
        </is>
      </c>
      <c r="O55" s="19" t="inlineStr">
        <is>
          <t>Walmart (US)</t>
        </is>
      </c>
      <c r="P55" s="17" t="inlineStr">
        <is>
          <t>International</t>
        </is>
      </c>
      <c r="Q55" s="36" t="inlineStr">
        <is>
          <t>https://www.walmart.com/ip/Colgate-360-Advanced-Battery-Powered-Toothbrush-w-Cheek-Tongue-cleaner/21949532</t>
        </is>
      </c>
      <c r="R55" s="21" t="n">
        <v>0.55</v>
      </c>
      <c r="S55" s="22">
        <f>IF(L55="","",MAX('Sélection 10'!$B$8,MROUND(ROUND(L55*IF(M55="EUR",'Sélection 10'!$B$5,IF(M55="USD",'Sélection 10'!$B$5/'Sélection 10'!$B$6,1))*(1-R55),0),500)))</f>
        <v/>
      </c>
      <c r="T55" s="35" t="n">
        <v>32</v>
      </c>
    </row>
    <row r="56">
      <c r="A56" s="25" t="inlineStr">
        <is>
          <t>SG-959</t>
        </is>
      </c>
      <c r="B56" s="25" t="inlineStr">
        <is>
          <t>Brosse à dents</t>
        </is>
      </c>
      <c r="C56" s="24" t="inlineStr">
        <is>
          <t>Adulte</t>
        </is>
      </c>
      <c r="D56" s="26" t="inlineStr">
        <is>
          <t>Sonique</t>
        </is>
      </c>
      <c r="E56" s="24" t="inlineStr">
        <is>
          <t>40000</t>
        </is>
      </c>
      <c r="F56" s="24" t="n">
        <v>3</v>
      </c>
      <c r="G56" s="24" t="n">
        <v>90</v>
      </c>
      <c r="H56" s="25" t="inlineStr">
        <is>
          <t>Piles (2x AAA)</t>
        </is>
      </c>
      <c r="I56" s="24" t="inlineStr">
        <is>
          <t>IPX7</t>
        </is>
      </c>
      <c r="J56" s="24" t="inlineStr">
        <is>
          <t>Non</t>
        </is>
      </c>
      <c r="K56" s="26" t="inlineStr">
        <is>
          <t>Colgate 360 Advanced à piles (remplace la ProClinical 150)</t>
        </is>
      </c>
      <c r="L56" s="16" t="n">
        <v>8.84</v>
      </c>
      <c r="M56" s="17" t="inlineStr">
        <is>
          <t>USD</t>
        </is>
      </c>
      <c r="N56" s="18" t="inlineStr">
        <is>
          <t>N/D</t>
        </is>
      </c>
      <c r="O56" s="19" t="inlineStr">
        <is>
          <t>Walmart (US)</t>
        </is>
      </c>
      <c r="P56" s="17" t="inlineStr">
        <is>
          <t>International</t>
        </is>
      </c>
      <c r="Q56" s="36" t="inlineStr">
        <is>
          <t>https://www.walmart.com/ip/Colgate-360-Advanced-Battery-Powered-Toothbrush-w-Cheek-Tongue-cleaner/21949532</t>
        </is>
      </c>
      <c r="R56" s="21" t="n">
        <v>0.55</v>
      </c>
      <c r="S56" s="22">
        <f>IF(L56="","",MAX('Sélection 10'!$B$8,MROUND(ROUND(L56*IF(M56="EUR",'Sélection 10'!$B$5,IF(M56="USD",'Sélection 10'!$B$5/'Sélection 10'!$B$6,1))*(1-R56),0),500)))</f>
        <v/>
      </c>
      <c r="T56" s="34" t="n">
        <v>32</v>
      </c>
    </row>
    <row r="57">
      <c r="A57" s="13" t="inlineStr">
        <is>
          <t>SG-549</t>
        </is>
      </c>
      <c r="B57" s="13" t="inlineStr">
        <is>
          <t>Brosse à dents</t>
        </is>
      </c>
      <c r="C57" s="12" t="inlineStr">
        <is>
          <t>Adulte</t>
        </is>
      </c>
      <c r="D57" s="14" t="inlineStr">
        <is>
          <t>Sonique</t>
        </is>
      </c>
      <c r="E57" s="12" t="inlineStr">
        <is>
          <t>40000</t>
        </is>
      </c>
      <c r="F57" s="12" t="n">
        <v>3</v>
      </c>
      <c r="G57" s="12" t="n">
        <v>90</v>
      </c>
      <c r="H57" s="13" t="inlineStr">
        <is>
          <t>Piles (2x AAA)</t>
        </is>
      </c>
      <c r="I57" s="12" t="inlineStr">
        <is>
          <t>IPX7</t>
        </is>
      </c>
      <c r="J57" s="12" t="inlineStr">
        <is>
          <t>Non</t>
        </is>
      </c>
      <c r="K57" s="14" t="inlineStr">
        <is>
          <t>Colgate 360 Advanced à piles (remplace la ProClinical 150)</t>
        </is>
      </c>
      <c r="L57" s="16" t="n">
        <v>8.84</v>
      </c>
      <c r="M57" s="17" t="inlineStr">
        <is>
          <t>USD</t>
        </is>
      </c>
      <c r="N57" s="18" t="inlineStr">
        <is>
          <t>N/D</t>
        </is>
      </c>
      <c r="O57" s="19" t="inlineStr">
        <is>
          <t>Walmart (US)</t>
        </is>
      </c>
      <c r="P57" s="17" t="inlineStr">
        <is>
          <t>International</t>
        </is>
      </c>
      <c r="Q57" s="36" t="inlineStr">
        <is>
          <t>https://www.walmart.com/ip/Colgate-360-Advanced-Battery-Powered-Toothbrush-w-Cheek-Tongue-cleaner/21949532</t>
        </is>
      </c>
      <c r="R57" s="21" t="n">
        <v>0.55</v>
      </c>
      <c r="S57" s="22">
        <f>IF(L57="","",MAX('Sélection 10'!$B$8,MROUND(ROUND(L57*IF(M57="EUR",'Sélection 10'!$B$5,IF(M57="USD",'Sélection 10'!$B$5/'Sélection 10'!$B$6,1))*(1-R57),0),500)))</f>
        <v/>
      </c>
      <c r="T57" s="35" t="n">
        <v>33</v>
      </c>
    </row>
    <row r="58">
      <c r="A58" s="25" t="inlineStr">
        <is>
          <t>SG-2011</t>
        </is>
      </c>
      <c r="B58" s="25" t="inlineStr">
        <is>
          <t>Brosse à dents</t>
        </is>
      </c>
      <c r="C58" s="24" t="inlineStr">
        <is>
          <t>Adulte</t>
        </is>
      </c>
      <c r="D58" s="26" t="inlineStr">
        <is>
          <t>Sonique</t>
        </is>
      </c>
      <c r="E58" s="24" t="inlineStr">
        <is>
          <t>40000</t>
        </is>
      </c>
      <c r="F58" s="24" t="n">
        <v>5</v>
      </c>
      <c r="G58" s="24" t="n">
        <v>90</v>
      </c>
      <c r="H58" s="25" t="inlineStr">
        <is>
          <t>Piles (2x AAA)</t>
        </is>
      </c>
      <c r="I58" s="24" t="inlineStr">
        <is>
          <t>IPX7</t>
        </is>
      </c>
      <c r="J58" s="24" t="inlineStr">
        <is>
          <t>Non</t>
        </is>
      </c>
      <c r="K58" s="26" t="inlineStr">
        <is>
          <t>Colgate 360 Advanced à piles (remplace la ProClinical 150)</t>
        </is>
      </c>
      <c r="L58" s="16" t="n">
        <v>8.84</v>
      </c>
      <c r="M58" s="17" t="inlineStr">
        <is>
          <t>USD</t>
        </is>
      </c>
      <c r="N58" s="18" t="inlineStr">
        <is>
          <t>N/D</t>
        </is>
      </c>
      <c r="O58" s="19" t="inlineStr">
        <is>
          <t>Walmart (US)</t>
        </is>
      </c>
      <c r="P58" s="17" t="inlineStr">
        <is>
          <t>International</t>
        </is>
      </c>
      <c r="Q58" s="36" t="inlineStr">
        <is>
          <t>https://www.walmart.com/ip/Colgate-360-Advanced-Battery-Powered-Toothbrush-w-Cheek-Tongue-cleaner/21949532</t>
        </is>
      </c>
      <c r="R58" s="21" t="n">
        <v>0.55</v>
      </c>
      <c r="S58" s="22">
        <f>IF(L58="","",MAX('Sélection 10'!$B$8,MROUND(ROUND(L58*IF(M58="EUR",'Sélection 10'!$B$5,IF(M58="USD",'Sélection 10'!$B$5/'Sélection 10'!$B$6,1))*(1-R58),0),500)))</f>
        <v/>
      </c>
      <c r="T58" s="34" t="n">
        <v>33</v>
      </c>
    </row>
    <row r="59">
      <c r="A59" s="13" t="inlineStr">
        <is>
          <t>SG-503</t>
        </is>
      </c>
      <c r="B59" s="13" t="inlineStr">
        <is>
          <t>Brosse à dents</t>
        </is>
      </c>
      <c r="C59" s="12" t="inlineStr">
        <is>
          <t>Adulte</t>
        </is>
      </c>
      <c r="D59" s="14" t="inlineStr">
        <is>
          <t>Sonique</t>
        </is>
      </c>
      <c r="E59" s="12" t="inlineStr">
        <is>
          <t>40000</t>
        </is>
      </c>
      <c r="F59" s="15" t="inlineStr">
        <is>
          <t>N/D</t>
        </is>
      </c>
      <c r="G59" s="12" t="n">
        <v>90</v>
      </c>
      <c r="H59" s="13" t="inlineStr">
        <is>
          <t>Piles (2x AAA)</t>
        </is>
      </c>
      <c r="I59" s="12" t="inlineStr">
        <is>
          <t>IPX7</t>
        </is>
      </c>
      <c r="J59" s="12" t="inlineStr">
        <is>
          <t>Non</t>
        </is>
      </c>
      <c r="K59" s="14" t="inlineStr">
        <is>
          <t>Colgate 360 Advanced à piles (remplace la ProClinical 150)</t>
        </is>
      </c>
      <c r="L59" s="16" t="n">
        <v>8.84</v>
      </c>
      <c r="M59" s="17" t="inlineStr">
        <is>
          <t>USD</t>
        </is>
      </c>
      <c r="N59" s="18" t="inlineStr">
        <is>
          <t>N/D</t>
        </is>
      </c>
      <c r="O59" s="19" t="inlineStr">
        <is>
          <t>Walmart (US)</t>
        </is>
      </c>
      <c r="P59" s="17" t="inlineStr">
        <is>
          <t>International</t>
        </is>
      </c>
      <c r="Q59" s="36" t="inlineStr">
        <is>
          <t>https://www.walmart.com/ip/Colgate-360-Advanced-Battery-Powered-Toothbrush-w-Cheek-Tongue-cleaner/21949532</t>
        </is>
      </c>
      <c r="R59" s="21" t="n">
        <v>0.55</v>
      </c>
      <c r="S59" s="22">
        <f>IF(L59="","",MAX('Sélection 10'!$B$8,MROUND(ROUND(L59*IF(M59="EUR",'Sélection 10'!$B$5,IF(M59="USD",'Sélection 10'!$B$5/'Sélection 10'!$B$6,1))*(1-R59),0),500)))</f>
        <v/>
      </c>
      <c r="T59" s="35" t="n">
        <v>34</v>
      </c>
    </row>
    <row r="60">
      <c r="A60" s="25" t="inlineStr">
        <is>
          <t>SG-2301</t>
        </is>
      </c>
      <c r="B60" s="25" t="inlineStr">
        <is>
          <t>Brosse à dents</t>
        </is>
      </c>
      <c r="C60" s="24" t="inlineStr">
        <is>
          <t>Adulte</t>
        </is>
      </c>
      <c r="D60" s="26" t="inlineStr">
        <is>
          <t>Sonique</t>
        </is>
      </c>
      <c r="E60" s="24" t="inlineStr">
        <is>
          <t>40000</t>
        </is>
      </c>
      <c r="F60" s="32" t="inlineStr">
        <is>
          <t>N/D</t>
        </is>
      </c>
      <c r="G60" s="24" t="n">
        <v>90</v>
      </c>
      <c r="H60" s="25" t="inlineStr">
        <is>
          <t>Piles (2x AAA)</t>
        </is>
      </c>
      <c r="I60" s="24" t="inlineStr">
        <is>
          <t>IPX7</t>
        </is>
      </c>
      <c r="J60" s="24" t="inlineStr">
        <is>
          <t>Non</t>
        </is>
      </c>
      <c r="K60" s="26" t="inlineStr">
        <is>
          <t>Colgate 360 Advanced à piles (remplace la ProClinical 150)</t>
        </is>
      </c>
      <c r="L60" s="16" t="n">
        <v>8.84</v>
      </c>
      <c r="M60" s="17" t="inlineStr">
        <is>
          <t>USD</t>
        </is>
      </c>
      <c r="N60" s="18" t="inlineStr">
        <is>
          <t>N/D</t>
        </is>
      </c>
      <c r="O60" s="19" t="inlineStr">
        <is>
          <t>Walmart (US)</t>
        </is>
      </c>
      <c r="P60" s="17" t="inlineStr">
        <is>
          <t>International</t>
        </is>
      </c>
      <c r="Q60" s="36" t="inlineStr">
        <is>
          <t>https://www.walmart.com/ip/Colgate-360-Advanced-Battery-Powered-Toothbrush-w-Cheek-Tongue-cleaner/21949532</t>
        </is>
      </c>
      <c r="R60" s="21" t="n">
        <v>0.55</v>
      </c>
      <c r="S60" s="22">
        <f>IF(L60="","",MAX('Sélection 10'!$B$8,MROUND(ROUND(L60*IF(M60="EUR",'Sélection 10'!$B$5,IF(M60="USD",'Sélection 10'!$B$5/'Sélection 10'!$B$6,1))*(1-R60),0),500)))</f>
        <v/>
      </c>
      <c r="T60" s="34" t="n">
        <v>34</v>
      </c>
    </row>
    <row r="61">
      <c r="A61" s="13" t="inlineStr">
        <is>
          <t>SG-552</t>
        </is>
      </c>
      <c r="B61" s="13" t="inlineStr">
        <is>
          <t>Brosse à dents</t>
        </is>
      </c>
      <c r="C61" s="12" t="inlineStr">
        <is>
          <t>Adulte</t>
        </is>
      </c>
      <c r="D61" s="14" t="inlineStr">
        <is>
          <t>Sonique</t>
        </is>
      </c>
      <c r="E61" s="12" t="inlineStr">
        <is>
          <t>28000</t>
        </is>
      </c>
      <c r="F61" s="15" t="inlineStr">
        <is>
          <t>N/D</t>
        </is>
      </c>
      <c r="G61" s="12" t="n">
        <v>150</v>
      </c>
      <c r="H61" s="13" t="inlineStr">
        <is>
          <t>Pile (1x AA)</t>
        </is>
      </c>
      <c r="I61" s="12" t="inlineStr">
        <is>
          <t>IPX7</t>
        </is>
      </c>
      <c r="J61" s="12" t="inlineStr">
        <is>
          <t>Non</t>
        </is>
      </c>
      <c r="K61" s="14" t="inlineStr">
        <is>
          <t>Colgate 360 Advanced à piles (remplace la ProClinical 150)</t>
        </is>
      </c>
      <c r="L61" s="16" t="n">
        <v>8.84</v>
      </c>
      <c r="M61" s="17" t="inlineStr">
        <is>
          <t>USD</t>
        </is>
      </c>
      <c r="N61" s="18" t="inlineStr">
        <is>
          <t>N/D</t>
        </is>
      </c>
      <c r="O61" s="19" t="inlineStr">
        <is>
          <t>Walmart (US)</t>
        </is>
      </c>
      <c r="P61" s="17" t="inlineStr">
        <is>
          <t>International</t>
        </is>
      </c>
      <c r="Q61" s="36" t="inlineStr">
        <is>
          <t>https://www.walmart.com/ip/Colgate-360-Advanced-Battery-Powered-Toothbrush-w-Cheek-Tongue-cleaner/21949532</t>
        </is>
      </c>
      <c r="R61" s="21" t="n">
        <v>0.55</v>
      </c>
      <c r="S61" s="22">
        <f>IF(L61="","",MAX('Sélection 10'!$B$8,MROUND(ROUND(L61*IF(M61="EUR",'Sélection 10'!$B$5,IF(M61="USD",'Sélection 10'!$B$5/'Sélection 10'!$B$6,1))*(1-R61),0),500)))</f>
        <v/>
      </c>
      <c r="T61" s="35" t="n">
        <v>35</v>
      </c>
    </row>
    <row r="62">
      <c r="A62" s="25" t="inlineStr">
        <is>
          <t>SG-2309</t>
        </is>
      </c>
      <c r="B62" s="25" t="inlineStr">
        <is>
          <t>Brosse à dents</t>
        </is>
      </c>
      <c r="C62" s="24" t="inlineStr">
        <is>
          <t>Adulte</t>
        </is>
      </c>
      <c r="D62" s="26" t="inlineStr">
        <is>
          <t>Sonique</t>
        </is>
      </c>
      <c r="E62" s="24" t="inlineStr">
        <is>
          <t>40000</t>
        </is>
      </c>
      <c r="F62" s="32" t="inlineStr">
        <is>
          <t>N/D</t>
        </is>
      </c>
      <c r="G62" s="24" t="n">
        <v>90</v>
      </c>
      <c r="H62" s="25" t="inlineStr">
        <is>
          <t>Piles (2x AAA)</t>
        </is>
      </c>
      <c r="I62" s="24" t="inlineStr">
        <is>
          <t>IPX7</t>
        </is>
      </c>
      <c r="J62" s="24" t="inlineStr">
        <is>
          <t>Non</t>
        </is>
      </c>
      <c r="K62" s="26" t="inlineStr">
        <is>
          <t>Colgate 360 Advanced à piles (remplace la ProClinical 150)</t>
        </is>
      </c>
      <c r="L62" s="16" t="n">
        <v>8.84</v>
      </c>
      <c r="M62" s="17" t="inlineStr">
        <is>
          <t>USD</t>
        </is>
      </c>
      <c r="N62" s="18" t="inlineStr">
        <is>
          <t>N/D</t>
        </is>
      </c>
      <c r="O62" s="19" t="inlineStr">
        <is>
          <t>Walmart (US)</t>
        </is>
      </c>
      <c r="P62" s="17" t="inlineStr">
        <is>
          <t>International</t>
        </is>
      </c>
      <c r="Q62" s="36" t="inlineStr">
        <is>
          <t>https://www.walmart.com/ip/Colgate-360-Advanced-Battery-Powered-Toothbrush-w-Cheek-Tongue-cleaner/21949532</t>
        </is>
      </c>
      <c r="R62" s="21" t="n">
        <v>0.55</v>
      </c>
      <c r="S62" s="22">
        <f>IF(L62="","",MAX('Sélection 10'!$B$8,MROUND(ROUND(L62*IF(M62="EUR",'Sélection 10'!$B$5,IF(M62="USD",'Sélection 10'!$B$5/'Sélection 10'!$B$6,1))*(1-R62),0),500)))</f>
        <v/>
      </c>
      <c r="T62" s="34" t="n">
        <v>35</v>
      </c>
    </row>
    <row r="63">
      <c r="A63" s="13" t="inlineStr">
        <is>
          <t>SG-983</t>
        </is>
      </c>
      <c r="B63" s="13" t="inlineStr">
        <is>
          <t>Brosse à dents</t>
        </is>
      </c>
      <c r="C63" s="12" t="inlineStr">
        <is>
          <t>Adulte</t>
        </is>
      </c>
      <c r="D63" s="14" t="inlineStr">
        <is>
          <t>Sonique</t>
        </is>
      </c>
      <c r="E63" s="12" t="inlineStr">
        <is>
          <t>32000</t>
        </is>
      </c>
      <c r="F63" s="12" t="n">
        <v>2</v>
      </c>
      <c r="G63" s="12" t="n">
        <v>25</v>
      </c>
      <c r="H63" s="13" t="inlineStr">
        <is>
          <t>Batterie Li-ion rechargeable</t>
        </is>
      </c>
      <c r="I63" s="12" t="inlineStr">
        <is>
          <t>IPX7</t>
        </is>
      </c>
      <c r="J63" s="12" t="inlineStr">
        <is>
          <t>Non</t>
        </is>
      </c>
      <c r="K63" s="14" t="inlineStr">
        <is>
          <t>Oraimo Magnisonic OPC-ET500N</t>
        </is>
      </c>
      <c r="L63" s="27" t="n">
        <v>12000</v>
      </c>
      <c r="M63" s="28" t="inlineStr">
        <is>
          <t>XOF</t>
        </is>
      </c>
      <c r="N63" s="27" t="n">
        <v>15600</v>
      </c>
      <c r="O63" s="29" t="inlineStr">
        <is>
          <t>Oraimo CI</t>
        </is>
      </c>
      <c r="P63" s="28" t="inlineStr">
        <is>
          <t>CI</t>
        </is>
      </c>
      <c r="Q63" s="33" t="inlineStr">
        <is>
          <t>https://ci.oraimo.com/product/oraimo-magnisonic-electric-toothbrush-opc-et500n</t>
        </is>
      </c>
      <c r="R63" s="21" t="n">
        <v>0.25</v>
      </c>
      <c r="S63" s="22">
        <f>IF(L63="","",MAX('Sélection 10'!$B$8,MROUND(ROUND(L63*IF(M63="EUR",'Sélection 10'!$B$5,IF(M63="USD",'Sélection 10'!$B$5/'Sélection 10'!$B$6,1))*(1-R63),0),500)))</f>
        <v/>
      </c>
      <c r="T63" s="35" t="n">
        <v>36</v>
      </c>
    </row>
    <row r="64">
      <c r="A64" s="25" t="inlineStr">
        <is>
          <t>SG-501</t>
        </is>
      </c>
      <c r="B64" s="25" t="inlineStr">
        <is>
          <t>Brosse à dents</t>
        </is>
      </c>
      <c r="C64" s="24" t="inlineStr">
        <is>
          <t>Adulte</t>
        </is>
      </c>
      <c r="D64" s="26" t="inlineStr">
        <is>
          <t>Sonique</t>
        </is>
      </c>
      <c r="E64" s="24" t="inlineStr">
        <is>
          <t>28000</t>
        </is>
      </c>
      <c r="F64" s="24" t="n">
        <v>2</v>
      </c>
      <c r="G64" s="24" t="n">
        <v>120</v>
      </c>
      <c r="H64" s="25" t="inlineStr">
        <is>
          <t>Pile (1x AAA)</t>
        </is>
      </c>
      <c r="I64" s="24" t="inlineStr">
        <is>
          <t>IPX7</t>
        </is>
      </c>
      <c r="J64" s="24" t="inlineStr">
        <is>
          <t>Non</t>
        </is>
      </c>
      <c r="K64" s="26" t="inlineStr">
        <is>
          <t>Colgate 360 Advanced à piles (remplace la ProClinical 150)</t>
        </is>
      </c>
      <c r="L64" s="16" t="n">
        <v>8.84</v>
      </c>
      <c r="M64" s="17" t="inlineStr">
        <is>
          <t>USD</t>
        </is>
      </c>
      <c r="N64" s="18" t="inlineStr">
        <is>
          <t>N/D</t>
        </is>
      </c>
      <c r="O64" s="19" t="inlineStr">
        <is>
          <t>Walmart (US)</t>
        </is>
      </c>
      <c r="P64" s="17" t="inlineStr">
        <is>
          <t>International</t>
        </is>
      </c>
      <c r="Q64" s="36" t="inlineStr">
        <is>
          <t>https://www.walmart.com/ip/Colgate-360-Advanced-Battery-Powered-Toothbrush-w-Cheek-Tongue-cleaner/21949532</t>
        </is>
      </c>
      <c r="R64" s="21" t="n">
        <v>0.55</v>
      </c>
      <c r="S64" s="22">
        <f>IF(L64="","",MAX('Sélection 10'!$B$8,MROUND(ROUND(L64*IF(M64="EUR",'Sélection 10'!$B$5,IF(M64="USD",'Sélection 10'!$B$5/'Sélection 10'!$B$6,1))*(1-R64),0),500)))</f>
        <v/>
      </c>
      <c r="T64" s="34" t="n">
        <v>38</v>
      </c>
    </row>
    <row r="65">
      <c r="A65" s="13" t="inlineStr">
        <is>
          <t>SG-505</t>
        </is>
      </c>
      <c r="B65" s="13" t="inlineStr">
        <is>
          <t>Brosse à dents</t>
        </is>
      </c>
      <c r="C65" s="12" t="inlineStr">
        <is>
          <t>Adulte</t>
        </is>
      </c>
      <c r="D65" s="14" t="inlineStr">
        <is>
          <t>Sonique</t>
        </is>
      </c>
      <c r="E65" s="12" t="inlineStr">
        <is>
          <t>24000</t>
        </is>
      </c>
      <c r="F65" s="12" t="n">
        <v>2</v>
      </c>
      <c r="G65" s="12" t="n">
        <v>120</v>
      </c>
      <c r="H65" s="13" t="inlineStr">
        <is>
          <t>Pile (1x AAA)</t>
        </is>
      </c>
      <c r="I65" s="12" t="inlineStr">
        <is>
          <t>IPX7</t>
        </is>
      </c>
      <c r="J65" s="12" t="inlineStr">
        <is>
          <t>Non</t>
        </is>
      </c>
      <c r="K65" s="14" t="inlineStr">
        <is>
          <t>Colgate 360 Advanced à piles (remplace la ProClinical 150)</t>
        </is>
      </c>
      <c r="L65" s="16" t="n">
        <v>8.84</v>
      </c>
      <c r="M65" s="17" t="inlineStr">
        <is>
          <t>USD</t>
        </is>
      </c>
      <c r="N65" s="18" t="inlineStr">
        <is>
          <t>N/D</t>
        </is>
      </c>
      <c r="O65" s="19" t="inlineStr">
        <is>
          <t>Walmart (US)</t>
        </is>
      </c>
      <c r="P65" s="17" t="inlineStr">
        <is>
          <t>International</t>
        </is>
      </c>
      <c r="Q65" s="36" t="inlineStr">
        <is>
          <t>https://www.walmart.com/ip/Colgate-360-Advanced-Battery-Powered-Toothbrush-w-Cheek-Tongue-cleaner/21949532</t>
        </is>
      </c>
      <c r="R65" s="21" t="n">
        <v>0.55</v>
      </c>
      <c r="S65" s="22">
        <f>IF(L65="","",MAX('Sélection 10'!$B$8,MROUND(ROUND(L65*IF(M65="EUR",'Sélection 10'!$B$5,IF(M65="USD",'Sélection 10'!$B$5/'Sélection 10'!$B$6,1))*(1-R65),0),500)))</f>
        <v/>
      </c>
      <c r="T65" s="35" t="n">
        <v>38</v>
      </c>
    </row>
    <row r="66">
      <c r="A66" s="25" t="inlineStr">
        <is>
          <t>SG-929</t>
        </is>
      </c>
      <c r="B66" s="25" t="inlineStr">
        <is>
          <t>Brosse à dents</t>
        </is>
      </c>
      <c r="C66" s="24" t="inlineStr">
        <is>
          <t>Adulte</t>
        </is>
      </c>
      <c r="D66" s="26" t="inlineStr">
        <is>
          <t>Sonique</t>
        </is>
      </c>
      <c r="E66" s="24" t="inlineStr">
        <is>
          <t>22000</t>
        </is>
      </c>
      <c r="F66" s="32" t="inlineStr">
        <is>
          <t>N/D</t>
        </is>
      </c>
      <c r="G66" s="24" t="n">
        <v>120</v>
      </c>
      <c r="H66" s="25" t="inlineStr">
        <is>
          <t>Piles (1x AAA brosse + 2x AAA stérilisateur)</t>
        </is>
      </c>
      <c r="I66" s="24" t="inlineStr">
        <is>
          <t>ND</t>
        </is>
      </c>
      <c r="J66" s="24" t="inlineStr">
        <is>
          <t>Non</t>
        </is>
      </c>
      <c r="K66" s="26" t="inlineStr">
        <is>
          <t>Colgate 360 Advanced à piles (remplace la ProClinical 150)</t>
        </is>
      </c>
      <c r="L66" s="16" t="n">
        <v>8.84</v>
      </c>
      <c r="M66" s="17" t="inlineStr">
        <is>
          <t>USD</t>
        </is>
      </c>
      <c r="N66" s="18" t="inlineStr">
        <is>
          <t>N/D</t>
        </is>
      </c>
      <c r="O66" s="19" t="inlineStr">
        <is>
          <t>Walmart (US)</t>
        </is>
      </c>
      <c r="P66" s="17" t="inlineStr">
        <is>
          <t>International</t>
        </is>
      </c>
      <c r="Q66" s="36" t="inlineStr">
        <is>
          <t>https://www.walmart.com/ip/Colgate-360-Advanced-Battery-Powered-Toothbrush-w-Cheek-Tongue-cleaner/21949532</t>
        </is>
      </c>
      <c r="R66" s="21" t="n">
        <v>0.55</v>
      </c>
      <c r="S66" s="22">
        <f>IF(L66="","",MAX('Sélection 10'!$B$8,MROUND(ROUND(L66*IF(M66="EUR",'Sélection 10'!$B$5,IF(M66="USD",'Sélection 10'!$B$5/'Sélection 10'!$B$6,1))*(1-R66),0),500)))</f>
        <v/>
      </c>
      <c r="T66" s="34" t="n">
        <v>39</v>
      </c>
    </row>
    <row r="67">
      <c r="A67" s="13" t="inlineStr">
        <is>
          <t>SG-933</t>
        </is>
      </c>
      <c r="B67" s="13" t="inlineStr">
        <is>
          <t>Brosse à dents</t>
        </is>
      </c>
      <c r="C67" s="12" t="inlineStr">
        <is>
          <t>Adulte</t>
        </is>
      </c>
      <c r="D67" s="14" t="inlineStr">
        <is>
          <t>Sonique</t>
        </is>
      </c>
      <c r="E67" s="12" t="inlineStr">
        <is>
          <t>24000</t>
        </is>
      </c>
      <c r="F67" s="15" t="inlineStr">
        <is>
          <t>N/D</t>
        </is>
      </c>
      <c r="G67" s="12" t="n">
        <v>120</v>
      </c>
      <c r="H67" s="13" t="inlineStr">
        <is>
          <t>Pile (1x AAA)</t>
        </is>
      </c>
      <c r="I67" s="12" t="inlineStr">
        <is>
          <t>IPX7</t>
        </is>
      </c>
      <c r="J67" s="12" t="inlineStr">
        <is>
          <t>Non</t>
        </is>
      </c>
      <c r="K67" s="14" t="inlineStr">
        <is>
          <t>Colgate 360 Advanced à piles (remplace la ProClinical 150)</t>
        </is>
      </c>
      <c r="L67" s="16" t="n">
        <v>8.84</v>
      </c>
      <c r="M67" s="17" t="inlineStr">
        <is>
          <t>USD</t>
        </is>
      </c>
      <c r="N67" s="18" t="inlineStr">
        <is>
          <t>N/D</t>
        </is>
      </c>
      <c r="O67" s="19" t="inlineStr">
        <is>
          <t>Walmart (US)</t>
        </is>
      </c>
      <c r="P67" s="17" t="inlineStr">
        <is>
          <t>International</t>
        </is>
      </c>
      <c r="Q67" s="36" t="inlineStr">
        <is>
          <t>https://www.walmart.com/ip/Colgate-360-Advanced-Battery-Powered-Toothbrush-w-Cheek-Tongue-cleaner/21949532</t>
        </is>
      </c>
      <c r="R67" s="21" t="n">
        <v>0.55</v>
      </c>
      <c r="S67" s="22">
        <f>IF(L67="","",MAX('Sélection 10'!$B$8,MROUND(ROUND(L67*IF(M67="EUR",'Sélection 10'!$B$5,IF(M67="USD",'Sélection 10'!$B$5/'Sélection 10'!$B$6,1))*(1-R67),0),500)))</f>
        <v/>
      </c>
      <c r="T67" s="35" t="n">
        <v>39</v>
      </c>
    </row>
    <row r="68">
      <c r="A68" s="25" t="inlineStr">
        <is>
          <t>SG-928</t>
        </is>
      </c>
      <c r="B68" s="25" t="inlineStr">
        <is>
          <t>Brosse à dents</t>
        </is>
      </c>
      <c r="C68" s="24" t="inlineStr">
        <is>
          <t>Adulte</t>
        </is>
      </c>
      <c r="D68" s="26" t="inlineStr">
        <is>
          <t>Sonique</t>
        </is>
      </c>
      <c r="E68" s="24" t="inlineStr">
        <is>
          <t>24000</t>
        </is>
      </c>
      <c r="F68" s="32" t="inlineStr">
        <is>
          <t>N/D</t>
        </is>
      </c>
      <c r="G68" s="24" t="n">
        <v>120</v>
      </c>
      <c r="H68" s="25" t="inlineStr">
        <is>
          <t>Pile (1x AAA)</t>
        </is>
      </c>
      <c r="I68" s="24" t="inlineStr">
        <is>
          <t>IPX7</t>
        </is>
      </c>
      <c r="J68" s="24" t="inlineStr">
        <is>
          <t>Non</t>
        </is>
      </c>
      <c r="K68" s="26" t="inlineStr">
        <is>
          <t>Colgate 360 Advanced à piles (remplace la ProClinical 150)</t>
        </is>
      </c>
      <c r="L68" s="16" t="n">
        <v>8.84</v>
      </c>
      <c r="M68" s="17" t="inlineStr">
        <is>
          <t>USD</t>
        </is>
      </c>
      <c r="N68" s="18" t="inlineStr">
        <is>
          <t>N/D</t>
        </is>
      </c>
      <c r="O68" s="19" t="inlineStr">
        <is>
          <t>Walmart (US)</t>
        </is>
      </c>
      <c r="P68" s="17" t="inlineStr">
        <is>
          <t>International</t>
        </is>
      </c>
      <c r="Q68" s="36" t="inlineStr">
        <is>
          <t>https://www.walmart.com/ip/Colgate-360-Advanced-Battery-Powered-Toothbrush-w-Cheek-Tongue-cleaner/21949532</t>
        </is>
      </c>
      <c r="R68" s="21" t="n">
        <v>0.55</v>
      </c>
      <c r="S68" s="22">
        <f>IF(L68="","",MAX('Sélection 10'!$B$8,MROUND(ROUND(L68*IF(M68="EUR",'Sélection 10'!$B$5,IF(M68="USD",'Sélection 10'!$B$5/'Sélection 10'!$B$6,1))*(1-R68),0),500)))</f>
        <v/>
      </c>
      <c r="T68" s="34" t="n">
        <v>40</v>
      </c>
    </row>
    <row r="69">
      <c r="A69" s="13" t="inlineStr">
        <is>
          <t>SG-923</t>
        </is>
      </c>
      <c r="B69" s="13" t="inlineStr">
        <is>
          <t>Brosse à dents</t>
        </is>
      </c>
      <c r="C69" s="12" t="inlineStr">
        <is>
          <t>Adulte</t>
        </is>
      </c>
      <c r="D69" s="14" t="inlineStr">
        <is>
          <t>Sonique</t>
        </is>
      </c>
      <c r="E69" s="12" t="inlineStr">
        <is>
          <t>24000</t>
        </is>
      </c>
      <c r="F69" s="15" t="inlineStr">
        <is>
          <t>N/D</t>
        </is>
      </c>
      <c r="G69" s="12" t="n">
        <v>120</v>
      </c>
      <c r="H69" s="13" t="inlineStr">
        <is>
          <t>Pile (1x AAA)</t>
        </is>
      </c>
      <c r="I69" s="12" t="inlineStr">
        <is>
          <t>IPX7</t>
        </is>
      </c>
      <c r="J69" s="12" t="inlineStr">
        <is>
          <t>Non</t>
        </is>
      </c>
      <c r="K69" s="14" t="inlineStr">
        <is>
          <t>Colgate 360 Advanced à piles (remplace la ProClinical 150)</t>
        </is>
      </c>
      <c r="L69" s="16" t="n">
        <v>8.84</v>
      </c>
      <c r="M69" s="17" t="inlineStr">
        <is>
          <t>USD</t>
        </is>
      </c>
      <c r="N69" s="18" t="inlineStr">
        <is>
          <t>N/D</t>
        </is>
      </c>
      <c r="O69" s="19" t="inlineStr">
        <is>
          <t>Walmart (US)</t>
        </is>
      </c>
      <c r="P69" s="17" t="inlineStr">
        <is>
          <t>International</t>
        </is>
      </c>
      <c r="Q69" s="36" t="inlineStr">
        <is>
          <t>https://www.walmart.com/ip/Colgate-360-Advanced-Battery-Powered-Toothbrush-w-Cheek-Tongue-cleaner/21949532</t>
        </is>
      </c>
      <c r="R69" s="21" t="n">
        <v>0.55</v>
      </c>
      <c r="S69" s="22">
        <f>IF(L69="","",MAX('Sélection 10'!$B$8,MROUND(ROUND(L69*IF(M69="EUR",'Sélection 10'!$B$5,IF(M69="USD",'Sélection 10'!$B$5/'Sélection 10'!$B$6,1))*(1-R69),0),500)))</f>
        <v/>
      </c>
      <c r="T69" s="35" t="n">
        <v>40</v>
      </c>
    </row>
    <row r="70">
      <c r="A70" s="25" t="inlineStr">
        <is>
          <t>SG-932</t>
        </is>
      </c>
      <c r="B70" s="25" t="inlineStr">
        <is>
          <t>Brosse à dents</t>
        </is>
      </c>
      <c r="C70" s="24" t="inlineStr">
        <is>
          <t>Adulte</t>
        </is>
      </c>
      <c r="D70" s="26" t="inlineStr">
        <is>
          <t>Sonique</t>
        </is>
      </c>
      <c r="E70" s="24" t="inlineStr">
        <is>
          <t>24000</t>
        </is>
      </c>
      <c r="F70" s="32" t="inlineStr">
        <is>
          <t>N/D</t>
        </is>
      </c>
      <c r="G70" s="24" t="n">
        <v>120</v>
      </c>
      <c r="H70" s="25" t="inlineStr">
        <is>
          <t>Pile (1x AAA)</t>
        </is>
      </c>
      <c r="I70" s="24" t="inlineStr">
        <is>
          <t>IPX7</t>
        </is>
      </c>
      <c r="J70" s="24" t="inlineStr">
        <is>
          <t>Non</t>
        </is>
      </c>
      <c r="K70" s="26" t="inlineStr">
        <is>
          <t>Colgate 360 Advanced à piles (remplace la ProClinical 150)</t>
        </is>
      </c>
      <c r="L70" s="16" t="n">
        <v>8.84</v>
      </c>
      <c r="M70" s="17" t="inlineStr">
        <is>
          <t>USD</t>
        </is>
      </c>
      <c r="N70" s="18" t="inlineStr">
        <is>
          <t>N/D</t>
        </is>
      </c>
      <c r="O70" s="19" t="inlineStr">
        <is>
          <t>Walmart (US)</t>
        </is>
      </c>
      <c r="P70" s="17" t="inlineStr">
        <is>
          <t>International</t>
        </is>
      </c>
      <c r="Q70" s="36" t="inlineStr">
        <is>
          <t>https://www.walmart.com/ip/Colgate-360-Advanced-Battery-Powered-Toothbrush-w-Cheek-Tongue-cleaner/21949532</t>
        </is>
      </c>
      <c r="R70" s="21" t="n">
        <v>0.55</v>
      </c>
      <c r="S70" s="22">
        <f>IF(L70="","",MAX('Sélection 10'!$B$8,MROUND(ROUND(L70*IF(M70="EUR",'Sélection 10'!$B$5,IF(M70="USD",'Sélection 10'!$B$5/'Sélection 10'!$B$6,1))*(1-R70),0),500)))</f>
        <v/>
      </c>
      <c r="T70" s="34" t="n">
        <v>41</v>
      </c>
    </row>
    <row r="71">
      <c r="A71" s="13" t="inlineStr">
        <is>
          <t>SG-956</t>
        </is>
      </c>
      <c r="B71" s="13" t="inlineStr">
        <is>
          <t>Brosse à dents</t>
        </is>
      </c>
      <c r="C71" s="12" t="inlineStr">
        <is>
          <t>Adulte</t>
        </is>
      </c>
      <c r="D71" s="14" t="inlineStr">
        <is>
          <t>Sonique</t>
        </is>
      </c>
      <c r="E71" s="12" t="inlineStr">
        <is>
          <t>28000</t>
        </is>
      </c>
      <c r="F71" s="12" t="n">
        <v>2</v>
      </c>
      <c r="G71" s="12" t="n">
        <v>120</v>
      </c>
      <c r="H71" s="13" t="inlineStr">
        <is>
          <t>Pile (1x AAA)</t>
        </is>
      </c>
      <c r="I71" s="12" t="inlineStr">
        <is>
          <t>IPX7</t>
        </is>
      </c>
      <c r="J71" s="12" t="inlineStr">
        <is>
          <t>Non</t>
        </is>
      </c>
      <c r="K71" s="14" t="inlineStr">
        <is>
          <t>Colgate 360 Advanced à piles (remplace la ProClinical 150)</t>
        </is>
      </c>
      <c r="L71" s="16" t="n">
        <v>8.84</v>
      </c>
      <c r="M71" s="17" t="inlineStr">
        <is>
          <t>USD</t>
        </is>
      </c>
      <c r="N71" s="18" t="inlineStr">
        <is>
          <t>N/D</t>
        </is>
      </c>
      <c r="O71" s="19" t="inlineStr">
        <is>
          <t>Walmart (US)</t>
        </is>
      </c>
      <c r="P71" s="17" t="inlineStr">
        <is>
          <t>International</t>
        </is>
      </c>
      <c r="Q71" s="36" t="inlineStr">
        <is>
          <t>https://www.walmart.com/ip/Colgate-360-Advanced-Battery-Powered-Toothbrush-w-Cheek-Tongue-cleaner/21949532</t>
        </is>
      </c>
      <c r="R71" s="21" t="n">
        <v>0.55</v>
      </c>
      <c r="S71" s="22">
        <f>IF(L71="","",MAX('Sélection 10'!$B$8,MROUND(ROUND(L71*IF(M71="EUR",'Sélection 10'!$B$5,IF(M71="USD",'Sélection 10'!$B$5/'Sélection 10'!$B$6,1))*(1-R71),0),500)))</f>
        <v/>
      </c>
      <c r="T71" s="35" t="n">
        <v>41</v>
      </c>
    </row>
    <row r="72">
      <c r="A72" s="25" t="inlineStr">
        <is>
          <t>SG-522</t>
        </is>
      </c>
      <c r="B72" s="25" t="inlineStr">
        <is>
          <t>Brosse à dents</t>
        </is>
      </c>
      <c r="C72" s="24" t="inlineStr">
        <is>
          <t>Adulte</t>
        </is>
      </c>
      <c r="D72" s="26" t="inlineStr">
        <is>
          <t>Sonique</t>
        </is>
      </c>
      <c r="E72" s="24" t="inlineStr">
        <is>
          <t>28000</t>
        </is>
      </c>
      <c r="F72" s="32" t="inlineStr">
        <is>
          <t>N/D</t>
        </is>
      </c>
      <c r="G72" s="24" t="n">
        <v>120</v>
      </c>
      <c r="H72" s="25" t="inlineStr">
        <is>
          <t>Pile (1x AAA)</t>
        </is>
      </c>
      <c r="I72" s="24" t="inlineStr">
        <is>
          <t>IPX7</t>
        </is>
      </c>
      <c r="J72" s="24" t="inlineStr">
        <is>
          <t>Non</t>
        </is>
      </c>
      <c r="K72" s="26" t="inlineStr">
        <is>
          <t>Colgate 360 Advanced à piles (remplace la ProClinical 150)</t>
        </is>
      </c>
      <c r="L72" s="16" t="n">
        <v>8.84</v>
      </c>
      <c r="M72" s="17" t="inlineStr">
        <is>
          <t>USD</t>
        </is>
      </c>
      <c r="N72" s="18" t="inlineStr">
        <is>
          <t>N/D</t>
        </is>
      </c>
      <c r="O72" s="19" t="inlineStr">
        <is>
          <t>Walmart (US)</t>
        </is>
      </c>
      <c r="P72" s="17" t="inlineStr">
        <is>
          <t>International</t>
        </is>
      </c>
      <c r="Q72" s="36" t="inlineStr">
        <is>
          <t>https://www.walmart.com/ip/Colgate-360-Advanced-Battery-Powered-Toothbrush-w-Cheek-Tongue-cleaner/21949532</t>
        </is>
      </c>
      <c r="R72" s="21" t="n">
        <v>0.55</v>
      </c>
      <c r="S72" s="22">
        <f>IF(L72="","",MAX('Sélection 10'!$B$8,MROUND(ROUND(L72*IF(M72="EUR",'Sélection 10'!$B$5,IF(M72="USD",'Sélection 10'!$B$5/'Sélection 10'!$B$6,1))*(1-R72),0),500)))</f>
        <v/>
      </c>
      <c r="T72" s="34" t="n">
        <v>42</v>
      </c>
    </row>
    <row r="73">
      <c r="A73" s="13" t="inlineStr">
        <is>
          <t>SG-915</t>
        </is>
      </c>
      <c r="B73" s="13" t="inlineStr">
        <is>
          <t>Brosse à dents</t>
        </is>
      </c>
      <c r="C73" s="12" t="inlineStr">
        <is>
          <t>Adulte</t>
        </is>
      </c>
      <c r="D73" s="14" t="inlineStr">
        <is>
          <t>Sonique</t>
        </is>
      </c>
      <c r="E73" s="12" t="inlineStr">
        <is>
          <t>28000</t>
        </is>
      </c>
      <c r="F73" s="15" t="inlineStr">
        <is>
          <t>N/D</t>
        </is>
      </c>
      <c r="G73" s="12" t="n">
        <v>120</v>
      </c>
      <c r="H73" s="13" t="inlineStr">
        <is>
          <t>Pile (1x AAA)</t>
        </is>
      </c>
      <c r="I73" s="12" t="inlineStr">
        <is>
          <t>IPX7</t>
        </is>
      </c>
      <c r="J73" s="12" t="inlineStr">
        <is>
          <t>Non</t>
        </is>
      </c>
      <c r="K73" s="14" t="inlineStr">
        <is>
          <t>Colgate 360 Advanced à piles (remplace la ProClinical 150)</t>
        </is>
      </c>
      <c r="L73" s="16" t="n">
        <v>8.84</v>
      </c>
      <c r="M73" s="17" t="inlineStr">
        <is>
          <t>USD</t>
        </is>
      </c>
      <c r="N73" s="18" t="inlineStr">
        <is>
          <t>N/D</t>
        </is>
      </c>
      <c r="O73" s="19" t="inlineStr">
        <is>
          <t>Walmart (US)</t>
        </is>
      </c>
      <c r="P73" s="17" t="inlineStr">
        <is>
          <t>International</t>
        </is>
      </c>
      <c r="Q73" s="36" t="inlineStr">
        <is>
          <t>https://www.walmart.com/ip/Colgate-360-Advanced-Battery-Powered-Toothbrush-w-Cheek-Tongue-cleaner/21949532</t>
        </is>
      </c>
      <c r="R73" s="21" t="n">
        <v>0.55</v>
      </c>
      <c r="S73" s="22">
        <f>IF(L73="","",MAX('Sélection 10'!$B$8,MROUND(ROUND(L73*IF(M73="EUR",'Sélection 10'!$B$5,IF(M73="USD",'Sélection 10'!$B$5/'Sélection 10'!$B$6,1))*(1-R73),0),500)))</f>
        <v/>
      </c>
      <c r="T73" s="35" t="n">
        <v>42</v>
      </c>
    </row>
    <row r="74">
      <c r="A74" s="25" t="inlineStr">
        <is>
          <t>SG-920</t>
        </is>
      </c>
      <c r="B74" s="25" t="inlineStr">
        <is>
          <t>Brosse à dents</t>
        </is>
      </c>
      <c r="C74" s="24" t="inlineStr">
        <is>
          <t>Adulte</t>
        </is>
      </c>
      <c r="D74" s="26" t="inlineStr">
        <is>
          <t>Sonique</t>
        </is>
      </c>
      <c r="E74" s="24" t="inlineStr">
        <is>
          <t>24000</t>
        </is>
      </c>
      <c r="F74" s="32" t="inlineStr">
        <is>
          <t>N/D</t>
        </is>
      </c>
      <c r="G74" s="24" t="n">
        <v>120</v>
      </c>
      <c r="H74" s="25" t="inlineStr">
        <is>
          <t>Pile (1x AAA)</t>
        </is>
      </c>
      <c r="I74" s="24" t="inlineStr">
        <is>
          <t>IPX7</t>
        </is>
      </c>
      <c r="J74" s="24" t="inlineStr">
        <is>
          <t>Non</t>
        </is>
      </c>
      <c r="K74" s="26" t="inlineStr">
        <is>
          <t>Colgate 360 Advanced à piles (remplace la ProClinical 150)</t>
        </is>
      </c>
      <c r="L74" s="16" t="n">
        <v>8.84</v>
      </c>
      <c r="M74" s="17" t="inlineStr">
        <is>
          <t>USD</t>
        </is>
      </c>
      <c r="N74" s="18" t="inlineStr">
        <is>
          <t>N/D</t>
        </is>
      </c>
      <c r="O74" s="19" t="inlineStr">
        <is>
          <t>Walmart (US)</t>
        </is>
      </c>
      <c r="P74" s="17" t="inlineStr">
        <is>
          <t>International</t>
        </is>
      </c>
      <c r="Q74" s="36" t="inlineStr">
        <is>
          <t>https://www.walmart.com/ip/Colgate-360-Advanced-Battery-Powered-Toothbrush-w-Cheek-Tongue-cleaner/21949532</t>
        </is>
      </c>
      <c r="R74" s="21" t="n">
        <v>0.55</v>
      </c>
      <c r="S74" s="22">
        <f>IF(L74="","",MAX('Sélection 10'!$B$8,MROUND(ROUND(L74*IF(M74="EUR",'Sélection 10'!$B$5,IF(M74="USD",'Sélection 10'!$B$5/'Sélection 10'!$B$6,1))*(1-R74),0),500)))</f>
        <v/>
      </c>
      <c r="T74" s="34" t="n">
        <v>43</v>
      </c>
    </row>
    <row r="75">
      <c r="A75" s="13" t="inlineStr">
        <is>
          <t>SG-963</t>
        </is>
      </c>
      <c r="B75" s="13" t="inlineStr">
        <is>
          <t>Brosse à dents</t>
        </is>
      </c>
      <c r="C75" s="12" t="inlineStr">
        <is>
          <t>Adulte</t>
        </is>
      </c>
      <c r="D75" s="14" t="inlineStr">
        <is>
          <t>Sonique</t>
        </is>
      </c>
      <c r="E75" s="12" t="inlineStr">
        <is>
          <t>20000</t>
        </is>
      </c>
      <c r="F75" s="12" t="n">
        <v>2</v>
      </c>
      <c r="G75" s="12" t="n">
        <v>120</v>
      </c>
      <c r="H75" s="13" t="inlineStr">
        <is>
          <t>Pile (1x AAA)</t>
        </is>
      </c>
      <c r="I75" s="12" t="inlineStr">
        <is>
          <t>IPX7</t>
        </is>
      </c>
      <c r="J75" s="12" t="inlineStr">
        <is>
          <t>Non</t>
        </is>
      </c>
      <c r="K75" s="14" t="inlineStr">
        <is>
          <t>Colgate 360 Advanced à piles (remplace la ProClinical 150)</t>
        </is>
      </c>
      <c r="L75" s="16" t="n">
        <v>8.84</v>
      </c>
      <c r="M75" s="17" t="inlineStr">
        <is>
          <t>USD</t>
        </is>
      </c>
      <c r="N75" s="18" t="inlineStr">
        <is>
          <t>N/D</t>
        </is>
      </c>
      <c r="O75" s="19" t="inlineStr">
        <is>
          <t>Walmart (US)</t>
        </is>
      </c>
      <c r="P75" s="17" t="inlineStr">
        <is>
          <t>International</t>
        </is>
      </c>
      <c r="Q75" s="36" t="inlineStr">
        <is>
          <t>https://www.walmart.com/ip/Colgate-360-Advanced-Battery-Powered-Toothbrush-w-Cheek-Tongue-cleaner/21949532</t>
        </is>
      </c>
      <c r="R75" s="21" t="n">
        <v>0.55</v>
      </c>
      <c r="S75" s="22">
        <f>IF(L75="","",MAX('Sélection 10'!$B$8,MROUND(ROUND(L75*IF(M75="EUR",'Sélection 10'!$B$5,IF(M75="USD",'Sélection 10'!$B$5/'Sélection 10'!$B$6,1))*(1-R75),0),500)))</f>
        <v/>
      </c>
      <c r="T75" s="35" t="n">
        <v>43</v>
      </c>
    </row>
    <row r="76">
      <c r="A76" s="25" t="inlineStr">
        <is>
          <t>SG-912</t>
        </is>
      </c>
      <c r="B76" s="25" t="inlineStr">
        <is>
          <t>Brosse à dents</t>
        </is>
      </c>
      <c r="C76" s="24" t="inlineStr">
        <is>
          <t>Adulte</t>
        </is>
      </c>
      <c r="D76" s="26" t="inlineStr">
        <is>
          <t>Sonique</t>
        </is>
      </c>
      <c r="E76" s="24" t="inlineStr">
        <is>
          <t>24000</t>
        </is>
      </c>
      <c r="F76" s="32" t="inlineStr">
        <is>
          <t>N/D</t>
        </is>
      </c>
      <c r="G76" s="24" t="n">
        <v>120</v>
      </c>
      <c r="H76" s="25" t="inlineStr">
        <is>
          <t>Pile (1x AAA)</t>
        </is>
      </c>
      <c r="I76" s="24" t="inlineStr">
        <is>
          <t>IPX7</t>
        </is>
      </c>
      <c r="J76" s="24" t="inlineStr">
        <is>
          <t>Non</t>
        </is>
      </c>
      <c r="K76" s="26" t="inlineStr">
        <is>
          <t>Colgate 360 Advanced à piles (remplace la ProClinical 150)</t>
        </is>
      </c>
      <c r="L76" s="16" t="n">
        <v>8.84</v>
      </c>
      <c r="M76" s="17" t="inlineStr">
        <is>
          <t>USD</t>
        </is>
      </c>
      <c r="N76" s="18" t="inlineStr">
        <is>
          <t>N/D</t>
        </is>
      </c>
      <c r="O76" s="19" t="inlineStr">
        <is>
          <t>Walmart (US)</t>
        </is>
      </c>
      <c r="P76" s="17" t="inlineStr">
        <is>
          <t>International</t>
        </is>
      </c>
      <c r="Q76" s="36" t="inlineStr">
        <is>
          <t>https://www.walmart.com/ip/Colgate-360-Advanced-Battery-Powered-Toothbrush-w-Cheek-Tongue-cleaner/21949532</t>
        </is>
      </c>
      <c r="R76" s="21" t="n">
        <v>0.55</v>
      </c>
      <c r="S76" s="22">
        <f>IF(L76="","",MAX('Sélection 10'!$B$8,MROUND(ROUND(L76*IF(M76="EUR",'Sélection 10'!$B$5,IF(M76="USD",'Sélection 10'!$B$5/'Sélection 10'!$B$6,1))*(1-R76),0),500)))</f>
        <v/>
      </c>
      <c r="T76" s="34" t="n">
        <v>44</v>
      </c>
    </row>
    <row r="77">
      <c r="A77" s="13" t="inlineStr">
        <is>
          <t>SG-967</t>
        </is>
      </c>
      <c r="B77" s="13" t="inlineStr">
        <is>
          <t>Brosse à dents</t>
        </is>
      </c>
      <c r="C77" s="12" t="inlineStr">
        <is>
          <t>Adulte</t>
        </is>
      </c>
      <c r="D77" s="14" t="inlineStr">
        <is>
          <t>Sonique</t>
        </is>
      </c>
      <c r="E77" s="12" t="inlineStr">
        <is>
          <t>20000</t>
        </is>
      </c>
      <c r="F77" s="15" t="inlineStr">
        <is>
          <t>N/D</t>
        </is>
      </c>
      <c r="G77" s="12" t="n">
        <v>120</v>
      </c>
      <c r="H77" s="13" t="inlineStr">
        <is>
          <t>Pile (1x AAA)</t>
        </is>
      </c>
      <c r="I77" s="12" t="inlineStr">
        <is>
          <t>IPX7</t>
        </is>
      </c>
      <c r="J77" s="12" t="inlineStr">
        <is>
          <t>Non</t>
        </is>
      </c>
      <c r="K77" s="14" t="inlineStr">
        <is>
          <t>Colgate 360 Advanced à piles (remplace la ProClinical 150)</t>
        </is>
      </c>
      <c r="L77" s="16" t="n">
        <v>8.84</v>
      </c>
      <c r="M77" s="17" t="inlineStr">
        <is>
          <t>USD</t>
        </is>
      </c>
      <c r="N77" s="18" t="inlineStr">
        <is>
          <t>N/D</t>
        </is>
      </c>
      <c r="O77" s="19" t="inlineStr">
        <is>
          <t>Walmart (US)</t>
        </is>
      </c>
      <c r="P77" s="17" t="inlineStr">
        <is>
          <t>International</t>
        </is>
      </c>
      <c r="Q77" s="36" t="inlineStr">
        <is>
          <t>https://www.walmart.com/ip/Colgate-360-Advanced-Battery-Powered-Toothbrush-w-Cheek-Tongue-cleaner/21949532</t>
        </is>
      </c>
      <c r="R77" s="21" t="n">
        <v>0.55</v>
      </c>
      <c r="S77" s="22">
        <f>IF(L77="","",MAX('Sélection 10'!$B$8,MROUND(ROUND(L77*IF(M77="EUR",'Sélection 10'!$B$5,IF(M77="USD",'Sélection 10'!$B$5/'Sélection 10'!$B$6,1))*(1-R77),0),500)))</f>
        <v/>
      </c>
      <c r="T77" s="35" t="n">
        <v>44</v>
      </c>
    </row>
    <row r="78">
      <c r="A78" s="25" t="inlineStr">
        <is>
          <t>SG-582</t>
        </is>
      </c>
      <c r="B78" s="25" t="inlineStr">
        <is>
          <t>Brosse à dents</t>
        </is>
      </c>
      <c r="C78" s="24" t="inlineStr">
        <is>
          <t>Adulte</t>
        </is>
      </c>
      <c r="D78" s="26" t="inlineStr">
        <is>
          <t>Sonique</t>
        </is>
      </c>
      <c r="E78" s="24" t="inlineStr">
        <is>
          <t>28000</t>
        </is>
      </c>
      <c r="F78" s="32" t="inlineStr">
        <is>
          <t>N/D</t>
        </is>
      </c>
      <c r="G78" s="24" t="n">
        <v>120</v>
      </c>
      <c r="H78" s="25" t="inlineStr">
        <is>
          <t>Pile (1x AAA)</t>
        </is>
      </c>
      <c r="I78" s="24" t="inlineStr">
        <is>
          <t>IPX7</t>
        </is>
      </c>
      <c r="J78" s="24" t="inlineStr">
        <is>
          <t>Non</t>
        </is>
      </c>
      <c r="K78" s="26" t="inlineStr">
        <is>
          <t>Colgate 360 Advanced à piles (remplace la ProClinical 150)</t>
        </is>
      </c>
      <c r="L78" s="16" t="n">
        <v>8.84</v>
      </c>
      <c r="M78" s="17" t="inlineStr">
        <is>
          <t>USD</t>
        </is>
      </c>
      <c r="N78" s="18" t="inlineStr">
        <is>
          <t>N/D</t>
        </is>
      </c>
      <c r="O78" s="19" t="inlineStr">
        <is>
          <t>Walmart (US)</t>
        </is>
      </c>
      <c r="P78" s="17" t="inlineStr">
        <is>
          <t>International</t>
        </is>
      </c>
      <c r="Q78" s="36" t="inlineStr">
        <is>
          <t>https://www.walmart.com/ip/Colgate-360-Advanced-Battery-Powered-Toothbrush-w-Cheek-Tongue-cleaner/21949532</t>
        </is>
      </c>
      <c r="R78" s="21" t="n">
        <v>0.55</v>
      </c>
      <c r="S78" s="22">
        <f>IF(L78="","",MAX('Sélection 10'!$B$8,MROUND(ROUND(L78*IF(M78="EUR",'Sélection 10'!$B$5,IF(M78="USD",'Sélection 10'!$B$5/'Sélection 10'!$B$6,1))*(1-R78),0),500)))</f>
        <v/>
      </c>
      <c r="T78" s="34" t="n">
        <v>45</v>
      </c>
    </row>
    <row r="79">
      <c r="A79" s="13" t="inlineStr">
        <is>
          <t>SG-2007</t>
        </is>
      </c>
      <c r="B79" s="13" t="inlineStr">
        <is>
          <t>Brosse à dents</t>
        </is>
      </c>
      <c r="C79" s="12" t="inlineStr">
        <is>
          <t>Adulte</t>
        </is>
      </c>
      <c r="D79" s="14" t="inlineStr">
        <is>
          <t>Sonique</t>
        </is>
      </c>
      <c r="E79" s="12" t="inlineStr">
        <is>
          <t>24000</t>
        </is>
      </c>
      <c r="F79" s="12" t="n">
        <v>2</v>
      </c>
      <c r="G79" s="12" t="n">
        <v>120</v>
      </c>
      <c r="H79" s="13" t="inlineStr">
        <is>
          <t>Pile (1x AAA)</t>
        </is>
      </c>
      <c r="I79" s="12" t="inlineStr">
        <is>
          <t>IPX7</t>
        </is>
      </c>
      <c r="J79" s="12" t="inlineStr">
        <is>
          <t>Non</t>
        </is>
      </c>
      <c r="K79" s="14" t="inlineStr">
        <is>
          <t>Colgate 360 Advanced à piles (remplace la ProClinical 150)</t>
        </is>
      </c>
      <c r="L79" s="16" t="n">
        <v>8.84</v>
      </c>
      <c r="M79" s="17" t="inlineStr">
        <is>
          <t>USD</t>
        </is>
      </c>
      <c r="N79" s="18" t="inlineStr">
        <is>
          <t>N/D</t>
        </is>
      </c>
      <c r="O79" s="19" t="inlineStr">
        <is>
          <t>Walmart (US)</t>
        </is>
      </c>
      <c r="P79" s="17" t="inlineStr">
        <is>
          <t>International</t>
        </is>
      </c>
      <c r="Q79" s="36" t="inlineStr">
        <is>
          <t>https://www.walmart.com/ip/Colgate-360-Advanced-Battery-Powered-Toothbrush-w-Cheek-Tongue-cleaner/21949532</t>
        </is>
      </c>
      <c r="R79" s="21" t="n">
        <v>0.55</v>
      </c>
      <c r="S79" s="22">
        <f>IF(L79="","",MAX('Sélection 10'!$B$8,MROUND(ROUND(L79*IF(M79="EUR",'Sélection 10'!$B$5,IF(M79="USD",'Sélection 10'!$B$5/'Sélection 10'!$B$6,1))*(1-R79),0),500)))</f>
        <v/>
      </c>
      <c r="T79" s="35" t="n">
        <v>45</v>
      </c>
    </row>
    <row r="80">
      <c r="A80" s="25" t="inlineStr">
        <is>
          <t>SG-557A</t>
        </is>
      </c>
      <c r="B80" s="25" t="inlineStr">
        <is>
          <t>Brosse à dents</t>
        </is>
      </c>
      <c r="C80" s="24" t="inlineStr">
        <is>
          <t>Adulte</t>
        </is>
      </c>
      <c r="D80" s="26" t="inlineStr">
        <is>
          <t>Sonique</t>
        </is>
      </c>
      <c r="E80" s="24" t="inlineStr">
        <is>
          <t>18000</t>
        </is>
      </c>
      <c r="F80" s="32" t="inlineStr">
        <is>
          <t>N/D</t>
        </is>
      </c>
      <c r="G80" s="24" t="n">
        <v>120</v>
      </c>
      <c r="H80" s="25" t="inlineStr">
        <is>
          <t>Pile (1x AAA)</t>
        </is>
      </c>
      <c r="I80" s="24" t="inlineStr">
        <is>
          <t>IPX7</t>
        </is>
      </c>
      <c r="J80" s="24" t="inlineStr">
        <is>
          <t>Non</t>
        </is>
      </c>
      <c r="K80" s="26" t="inlineStr">
        <is>
          <t>Colgate 360 Advanced à piles (remplace la ProClinical 150)</t>
        </is>
      </c>
      <c r="L80" s="16" t="n">
        <v>8.84</v>
      </c>
      <c r="M80" s="17" t="inlineStr">
        <is>
          <t>USD</t>
        </is>
      </c>
      <c r="N80" s="18" t="inlineStr">
        <is>
          <t>N/D</t>
        </is>
      </c>
      <c r="O80" s="19" t="inlineStr">
        <is>
          <t>Walmart (US)</t>
        </is>
      </c>
      <c r="P80" s="17" t="inlineStr">
        <is>
          <t>International</t>
        </is>
      </c>
      <c r="Q80" s="36" t="inlineStr">
        <is>
          <t>https://www.walmart.com/ip/Colgate-360-Advanced-Battery-Powered-Toothbrush-w-Cheek-Tongue-cleaner/21949532</t>
        </is>
      </c>
      <c r="R80" s="21" t="n">
        <v>0.55</v>
      </c>
      <c r="S80" s="22">
        <f>IF(L80="","",MAX('Sélection 10'!$B$8,MROUND(ROUND(L80*IF(M80="EUR",'Sélection 10'!$B$5,IF(M80="USD",'Sélection 10'!$B$5/'Sélection 10'!$B$6,1))*(1-R80),0),500)))</f>
        <v/>
      </c>
      <c r="T80" s="34" t="n">
        <v>46</v>
      </c>
    </row>
    <row r="81">
      <c r="A81" s="13" t="inlineStr">
        <is>
          <t>SG-557B</t>
        </is>
      </c>
      <c r="B81" s="13" t="inlineStr">
        <is>
          <t>Brosse à dents</t>
        </is>
      </c>
      <c r="C81" s="12" t="inlineStr">
        <is>
          <t>Adulte</t>
        </is>
      </c>
      <c r="D81" s="14" t="inlineStr">
        <is>
          <t>Sonique</t>
        </is>
      </c>
      <c r="E81" s="12" t="inlineStr">
        <is>
          <t>18000</t>
        </is>
      </c>
      <c r="F81" s="12" t="n">
        <v>2</v>
      </c>
      <c r="G81" s="12" t="n">
        <v>120</v>
      </c>
      <c r="H81" s="13" t="inlineStr">
        <is>
          <t>Pile (1x AAA)</t>
        </is>
      </c>
      <c r="I81" s="12" t="inlineStr">
        <is>
          <t>IPX7</t>
        </is>
      </c>
      <c r="J81" s="12" t="inlineStr">
        <is>
          <t>Non</t>
        </is>
      </c>
      <c r="K81" s="14" t="inlineStr">
        <is>
          <t>Colgate 360 Advanced à piles (remplace la ProClinical 150)</t>
        </is>
      </c>
      <c r="L81" s="16" t="n">
        <v>8.84</v>
      </c>
      <c r="M81" s="17" t="inlineStr">
        <is>
          <t>USD</t>
        </is>
      </c>
      <c r="N81" s="18" t="inlineStr">
        <is>
          <t>N/D</t>
        </is>
      </c>
      <c r="O81" s="19" t="inlineStr">
        <is>
          <t>Walmart (US)</t>
        </is>
      </c>
      <c r="P81" s="17" t="inlineStr">
        <is>
          <t>International</t>
        </is>
      </c>
      <c r="Q81" s="36" t="inlineStr">
        <is>
          <t>https://www.walmart.com/ip/Colgate-360-Advanced-Battery-Powered-Toothbrush-w-Cheek-Tongue-cleaner/21949532</t>
        </is>
      </c>
      <c r="R81" s="21" t="n">
        <v>0.55</v>
      </c>
      <c r="S81" s="22">
        <f>IF(L81="","",MAX('Sélection 10'!$B$8,MROUND(ROUND(L81*IF(M81="EUR",'Sélection 10'!$B$5,IF(M81="USD",'Sélection 10'!$B$5/'Sélection 10'!$B$6,1))*(1-R81),0),500)))</f>
        <v/>
      </c>
      <c r="T81" s="35" t="n">
        <v>46</v>
      </c>
    </row>
    <row r="82">
      <c r="A82" s="25" t="inlineStr">
        <is>
          <t>SG-523</t>
        </is>
      </c>
      <c r="B82" s="25" t="inlineStr">
        <is>
          <t>Brosse à dents</t>
        </is>
      </c>
      <c r="C82" s="24" t="inlineStr">
        <is>
          <t>Adulte</t>
        </is>
      </c>
      <c r="D82" s="26" t="inlineStr">
        <is>
          <t>Sonique</t>
        </is>
      </c>
      <c r="E82" s="24" t="inlineStr">
        <is>
          <t>18000</t>
        </is>
      </c>
      <c r="F82" s="24" t="n">
        <v>2</v>
      </c>
      <c r="G82" s="24" t="n">
        <v>120</v>
      </c>
      <c r="H82" s="25" t="inlineStr">
        <is>
          <t>Pile (1x AAA)</t>
        </is>
      </c>
      <c r="I82" s="24" t="inlineStr">
        <is>
          <t>IPX7</t>
        </is>
      </c>
      <c r="J82" s="24" t="inlineStr">
        <is>
          <t>Non</t>
        </is>
      </c>
      <c r="K82" s="26" t="inlineStr">
        <is>
          <t>Colgate 360 Advanced à piles (remplace la ProClinical 150)</t>
        </is>
      </c>
      <c r="L82" s="16" t="n">
        <v>8.84</v>
      </c>
      <c r="M82" s="17" t="inlineStr">
        <is>
          <t>USD</t>
        </is>
      </c>
      <c r="N82" s="18" t="inlineStr">
        <is>
          <t>N/D</t>
        </is>
      </c>
      <c r="O82" s="19" t="inlineStr">
        <is>
          <t>Walmart (US)</t>
        </is>
      </c>
      <c r="P82" s="17" t="inlineStr">
        <is>
          <t>International</t>
        </is>
      </c>
      <c r="Q82" s="36" t="inlineStr">
        <is>
          <t>https://www.walmart.com/ip/Colgate-360-Advanced-Battery-Powered-Toothbrush-w-Cheek-Tongue-cleaner/21949532</t>
        </is>
      </c>
      <c r="R82" s="21" t="n">
        <v>0.55</v>
      </c>
      <c r="S82" s="22">
        <f>IF(L82="","",MAX('Sélection 10'!$B$8,MROUND(ROUND(L82*IF(M82="EUR",'Sélection 10'!$B$5,IF(M82="USD",'Sélection 10'!$B$5/'Sélection 10'!$B$6,1))*(1-R82),0),500)))</f>
        <v/>
      </c>
      <c r="T82" s="34" t="n">
        <v>47</v>
      </c>
    </row>
    <row r="83">
      <c r="A83" s="13" t="inlineStr">
        <is>
          <t>SG-526</t>
        </is>
      </c>
      <c r="B83" s="13" t="inlineStr">
        <is>
          <t>Brosse à dents</t>
        </is>
      </c>
      <c r="C83" s="12" t="inlineStr">
        <is>
          <t>Adulte</t>
        </is>
      </c>
      <c r="D83" s="14" t="inlineStr">
        <is>
          <t>Sonique</t>
        </is>
      </c>
      <c r="E83" s="12" t="inlineStr">
        <is>
          <t>18000</t>
        </is>
      </c>
      <c r="F83" s="15" t="inlineStr">
        <is>
          <t>N/D</t>
        </is>
      </c>
      <c r="G83" s="12" t="n">
        <v>120</v>
      </c>
      <c r="H83" s="13" t="inlineStr">
        <is>
          <t>Pile (1x AAA)</t>
        </is>
      </c>
      <c r="I83" s="12" t="inlineStr">
        <is>
          <t>IPX7</t>
        </is>
      </c>
      <c r="J83" s="12" t="inlineStr">
        <is>
          <t>Non</t>
        </is>
      </c>
      <c r="K83" s="14" t="inlineStr">
        <is>
          <t>Colgate 360 Advanced à piles (remplace la ProClinical 150)</t>
        </is>
      </c>
      <c r="L83" s="16" t="n">
        <v>8.84</v>
      </c>
      <c r="M83" s="17" t="inlineStr">
        <is>
          <t>USD</t>
        </is>
      </c>
      <c r="N83" s="18" t="inlineStr">
        <is>
          <t>N/D</t>
        </is>
      </c>
      <c r="O83" s="19" t="inlineStr">
        <is>
          <t>Walmart (US)</t>
        </is>
      </c>
      <c r="P83" s="17" t="inlineStr">
        <is>
          <t>International</t>
        </is>
      </c>
      <c r="Q83" s="36" t="inlineStr">
        <is>
          <t>https://www.walmart.com/ip/Colgate-360-Advanced-Battery-Powered-Toothbrush-w-Cheek-Tongue-cleaner/21949532</t>
        </is>
      </c>
      <c r="R83" s="21" t="n">
        <v>0.55</v>
      </c>
      <c r="S83" s="22">
        <f>IF(L83="","",MAX('Sélection 10'!$B$8,MROUND(ROUND(L83*IF(M83="EUR",'Sélection 10'!$B$5,IF(M83="USD",'Sélection 10'!$B$5/'Sélection 10'!$B$6,1))*(1-R83),0),500)))</f>
        <v/>
      </c>
      <c r="T83" s="35" t="n">
        <v>47</v>
      </c>
    </row>
    <row r="84">
      <c r="A84" s="25" t="inlineStr">
        <is>
          <t>SG-981</t>
        </is>
      </c>
      <c r="B84" s="25" t="inlineStr">
        <is>
          <t>Brosse à dents</t>
        </is>
      </c>
      <c r="C84" s="24" t="inlineStr">
        <is>
          <t>Adulte</t>
        </is>
      </c>
      <c r="D84" s="26" t="inlineStr">
        <is>
          <t>Sonique</t>
        </is>
      </c>
      <c r="E84" s="24" t="inlineStr">
        <is>
          <t>28000</t>
        </is>
      </c>
      <c r="F84" s="24" t="n">
        <v>2</v>
      </c>
      <c r="G84" s="24" t="n">
        <v>100</v>
      </c>
      <c r="H84" s="25" t="inlineStr">
        <is>
          <t>Pile (1x AAA)</t>
        </is>
      </c>
      <c r="I84" s="24" t="inlineStr">
        <is>
          <t>IPX7</t>
        </is>
      </c>
      <c r="J84" s="24" t="inlineStr">
        <is>
          <t>Non</t>
        </is>
      </c>
      <c r="K84" s="26" t="inlineStr">
        <is>
          <t>Colgate 360 Advanced à piles (remplace la ProClinical 150)</t>
        </is>
      </c>
      <c r="L84" s="16" t="n">
        <v>8.84</v>
      </c>
      <c r="M84" s="17" t="inlineStr">
        <is>
          <t>USD</t>
        </is>
      </c>
      <c r="N84" s="18" t="inlineStr">
        <is>
          <t>N/D</t>
        </is>
      </c>
      <c r="O84" s="19" t="inlineStr">
        <is>
          <t>Walmart (US)</t>
        </is>
      </c>
      <c r="P84" s="17" t="inlineStr">
        <is>
          <t>International</t>
        </is>
      </c>
      <c r="Q84" s="36" t="inlineStr">
        <is>
          <t>https://www.walmart.com/ip/Colgate-360-Advanced-Battery-Powered-Toothbrush-w-Cheek-Tongue-cleaner/21949532</t>
        </is>
      </c>
      <c r="R84" s="21" t="n">
        <v>0.55</v>
      </c>
      <c r="S84" s="22">
        <f>IF(L84="","",MAX('Sélection 10'!$B$8,MROUND(ROUND(L84*IF(M84="EUR",'Sélection 10'!$B$5,IF(M84="USD",'Sélection 10'!$B$5/'Sélection 10'!$B$6,1))*(1-R84),0),500)))</f>
        <v/>
      </c>
      <c r="T84" s="34" t="n">
        <v>48</v>
      </c>
    </row>
    <row r="85">
      <c r="A85" s="13" t="inlineStr">
        <is>
          <t>SG-2102</t>
        </is>
      </c>
      <c r="B85" s="13" t="inlineStr">
        <is>
          <t>Brosse à dents</t>
        </is>
      </c>
      <c r="C85" s="12" t="inlineStr">
        <is>
          <t>Adulte</t>
        </is>
      </c>
      <c r="D85" s="14" t="inlineStr">
        <is>
          <t>Sonique</t>
        </is>
      </c>
      <c r="E85" s="12" t="inlineStr">
        <is>
          <t>28000</t>
        </is>
      </c>
      <c r="F85" s="12" t="n">
        <v>2</v>
      </c>
      <c r="G85" s="12" t="n">
        <v>120</v>
      </c>
      <c r="H85" s="13" t="inlineStr">
        <is>
          <t>Pile (1x AAA)</t>
        </is>
      </c>
      <c r="I85" s="12" t="inlineStr">
        <is>
          <t>IPX7</t>
        </is>
      </c>
      <c r="J85" s="12" t="inlineStr">
        <is>
          <t>Non</t>
        </is>
      </c>
      <c r="K85" s="14" t="inlineStr">
        <is>
          <t>Colgate 360 Advanced à piles (remplace la ProClinical 150)</t>
        </is>
      </c>
      <c r="L85" s="16" t="n">
        <v>8.84</v>
      </c>
      <c r="M85" s="17" t="inlineStr">
        <is>
          <t>USD</t>
        </is>
      </c>
      <c r="N85" s="18" t="inlineStr">
        <is>
          <t>N/D</t>
        </is>
      </c>
      <c r="O85" s="19" t="inlineStr">
        <is>
          <t>Walmart (US)</t>
        </is>
      </c>
      <c r="P85" s="17" t="inlineStr">
        <is>
          <t>International</t>
        </is>
      </c>
      <c r="Q85" s="36" t="inlineStr">
        <is>
          <t>https://www.walmart.com/ip/Colgate-360-Advanced-Battery-Powered-Toothbrush-w-Cheek-Tongue-cleaner/21949532</t>
        </is>
      </c>
      <c r="R85" s="21" t="n">
        <v>0.55</v>
      </c>
      <c r="S85" s="22">
        <f>IF(L85="","",MAX('Sélection 10'!$B$8,MROUND(ROUND(L85*IF(M85="EUR",'Sélection 10'!$B$5,IF(M85="USD",'Sélection 10'!$B$5/'Sélection 10'!$B$6,1))*(1-R85),0),500)))</f>
        <v/>
      </c>
      <c r="T85" s="35" t="n">
        <v>48</v>
      </c>
    </row>
    <row r="86">
      <c r="A86" s="25" t="inlineStr">
        <is>
          <t>SG-926</t>
        </is>
      </c>
      <c r="B86" s="25" t="inlineStr">
        <is>
          <t>Brosse à dents</t>
        </is>
      </c>
      <c r="C86" s="24" t="inlineStr">
        <is>
          <t>Adulte</t>
        </is>
      </c>
      <c r="D86" s="26" t="inlineStr">
        <is>
          <t>Sonique</t>
        </is>
      </c>
      <c r="E86" s="24" t="inlineStr">
        <is>
          <t>28000</t>
        </is>
      </c>
      <c r="F86" s="24" t="n">
        <v>2</v>
      </c>
      <c r="G86" s="24" t="n">
        <v>45</v>
      </c>
      <c r="H86" s="25" t="inlineStr">
        <is>
          <t>Batterie Ni-MH rechargeable</t>
        </is>
      </c>
      <c r="I86" s="24" t="inlineStr">
        <is>
          <t>IPX7</t>
        </is>
      </c>
      <c r="J86" s="24" t="inlineStr">
        <is>
          <t>Non</t>
        </is>
      </c>
      <c r="K86" s="26" t="inlineStr">
        <is>
          <t>Generic Adultes, poils DuPont, portable, longue autonomie, IPX6</t>
        </is>
      </c>
      <c r="L86" s="27" t="n">
        <v>2177</v>
      </c>
      <c r="M86" s="28" t="inlineStr">
        <is>
          <t>XOF</t>
        </is>
      </c>
      <c r="N86" s="27" t="n">
        <v>3514</v>
      </c>
      <c r="O86" s="29" t="inlineStr">
        <is>
          <t>Jumia CI</t>
        </is>
      </c>
      <c r="P86" s="28" t="inlineStr">
        <is>
          <t>CI</t>
        </is>
      </c>
      <c r="Q86" s="33" t="inlineStr">
        <is>
          <t>https://www.jumia.ci/generic-brosse-a-dents-electrique-pour-adultes-poils-doux-dupont-portable-longue-autonomie-etancheite-ipx6-soin-buccal-intelligent-et-efficace.-32104864.html</t>
        </is>
      </c>
      <c r="R86" s="21" t="n">
        <v>0</v>
      </c>
      <c r="S86" s="22">
        <f>IF(L86="","",MAX('Sélection 10'!$B$8,MROUND(ROUND(L86*IF(M86="EUR",'Sélection 10'!$B$5,IF(M86="USD",'Sélection 10'!$B$5/'Sélection 10'!$B$6,1))*(1-R86),0),500)))</f>
        <v/>
      </c>
      <c r="T86" s="34" t="n">
        <v>49</v>
      </c>
    </row>
    <row r="87">
      <c r="A87" s="13" t="inlineStr">
        <is>
          <t>SG-957</t>
        </is>
      </c>
      <c r="B87" s="13" t="inlineStr">
        <is>
          <t>Brosse à dents</t>
        </is>
      </c>
      <c r="C87" s="12" t="inlineStr">
        <is>
          <t>Adulte</t>
        </is>
      </c>
      <c r="D87" s="14" t="inlineStr">
        <is>
          <t>Sonique</t>
        </is>
      </c>
      <c r="E87" s="12" t="inlineStr">
        <is>
          <t>28000</t>
        </is>
      </c>
      <c r="F87" s="12" t="n">
        <v>2</v>
      </c>
      <c r="G87" s="12" t="n">
        <v>45</v>
      </c>
      <c r="H87" s="13" t="inlineStr">
        <is>
          <t>Batterie Ni-MH rechargeable</t>
        </is>
      </c>
      <c r="I87" s="12" t="inlineStr">
        <is>
          <t>IPX7</t>
        </is>
      </c>
      <c r="J87" s="12" t="inlineStr">
        <is>
          <t>Non</t>
        </is>
      </c>
      <c r="K87" s="14" t="inlineStr">
        <is>
          <t>Generic Adultes, poils DuPont, portable, longue autonomie, IPX6</t>
        </is>
      </c>
      <c r="L87" s="27" t="n">
        <v>2177</v>
      </c>
      <c r="M87" s="28" t="inlineStr">
        <is>
          <t>XOF</t>
        </is>
      </c>
      <c r="N87" s="27" t="n">
        <v>3514</v>
      </c>
      <c r="O87" s="29" t="inlineStr">
        <is>
          <t>Jumia CI</t>
        </is>
      </c>
      <c r="P87" s="28" t="inlineStr">
        <is>
          <t>CI</t>
        </is>
      </c>
      <c r="Q87" s="33" t="inlineStr">
        <is>
          <t>https://www.jumia.ci/generic-brosse-a-dents-electrique-pour-adultes-poils-doux-dupont-portable-longue-autonomie-etancheite-ipx6-soin-buccal-intelligent-et-efficace.-32104864.html</t>
        </is>
      </c>
      <c r="R87" s="21" t="n">
        <v>0</v>
      </c>
      <c r="S87" s="22">
        <f>IF(L87="","",MAX('Sélection 10'!$B$8,MROUND(ROUND(L87*IF(M87="EUR",'Sélection 10'!$B$5,IF(M87="USD",'Sélection 10'!$B$5/'Sélection 10'!$B$6,1))*(1-R87),0),500)))</f>
        <v/>
      </c>
      <c r="T87" s="35" t="n">
        <v>49</v>
      </c>
    </row>
    <row r="88">
      <c r="A88" s="25" t="inlineStr">
        <is>
          <t>SG-2772</t>
        </is>
      </c>
      <c r="B88" s="25" t="inlineStr">
        <is>
          <t>Brosse à dents</t>
        </is>
      </c>
      <c r="C88" s="24" t="inlineStr">
        <is>
          <t>Enfant</t>
        </is>
      </c>
      <c r="D88" s="26" t="inlineStr">
        <is>
          <t>Sonique</t>
        </is>
      </c>
      <c r="E88" s="24" t="inlineStr">
        <is>
          <t>32000 à 40000</t>
        </is>
      </c>
      <c r="F88" s="24" t="n">
        <v>3</v>
      </c>
      <c r="G88" s="24" t="n">
        <v>21</v>
      </c>
      <c r="H88" s="25" t="inlineStr">
        <is>
          <t>Batterie Li-ion rechargeable</t>
        </is>
      </c>
      <c r="I88" s="24" t="inlineStr">
        <is>
          <t>IPX7</t>
        </is>
      </c>
      <c r="J88" s="24" t="inlineStr">
        <is>
          <t>Oui</t>
        </is>
      </c>
      <c r="K88" s="26" t="inlineStr">
        <is>
          <t>Oraimo SmartDent C2</t>
        </is>
      </c>
      <c r="L88" s="27" t="n">
        <v>8500</v>
      </c>
      <c r="M88" s="28" t="inlineStr">
        <is>
          <t>XOF</t>
        </is>
      </c>
      <c r="N88" s="27" t="n">
        <v>12000</v>
      </c>
      <c r="O88" s="29" t="inlineStr">
        <is>
          <t>Oraimo CI</t>
        </is>
      </c>
      <c r="P88" s="28" t="inlineStr">
        <is>
          <t>CI</t>
        </is>
      </c>
      <c r="Q88" s="33" t="inlineStr">
        <is>
          <t>https://ci.oraimo.com/product/oraimo-smartdent-c2-powerful-sonic-cleaning-electric-toothbrush?ean=4895180779541</t>
        </is>
      </c>
      <c r="R88" s="21" t="n">
        <v>0.25</v>
      </c>
      <c r="S88" s="22">
        <f>IF(L88="","",MAX('Sélection 10'!$B$8,MROUND(ROUND(L88*IF(M88="EUR",'Sélection 10'!$B$5,IF(M88="USD",'Sélection 10'!$B$5/'Sélection 10'!$B$6,1))*(1-R88),0),500)))</f>
        <v/>
      </c>
      <c r="T88" s="34" t="n">
        <v>51</v>
      </c>
    </row>
    <row r="89">
      <c r="A89" s="13" t="inlineStr">
        <is>
          <t>SG-2118</t>
        </is>
      </c>
      <c r="B89" s="13" t="inlineStr">
        <is>
          <t>Brosse à dents</t>
        </is>
      </c>
      <c r="C89" s="12" t="inlineStr">
        <is>
          <t>Enfant</t>
        </is>
      </c>
      <c r="D89" s="14" t="inlineStr">
        <is>
          <t>Sonique</t>
        </is>
      </c>
      <c r="E89" s="12" t="inlineStr">
        <is>
          <t>30000</t>
        </is>
      </c>
      <c r="F89" s="12" t="n">
        <v>3</v>
      </c>
      <c r="G89" s="12" t="n">
        <v>45</v>
      </c>
      <c r="H89" s="13" t="inlineStr">
        <is>
          <t>Batterie Li-ion rechargeable</t>
        </is>
      </c>
      <c r="I89" s="12" t="inlineStr">
        <is>
          <t>IPX6</t>
        </is>
      </c>
      <c r="J89" s="12" t="inlineStr">
        <is>
          <t>Oui</t>
        </is>
      </c>
      <c r="K89" s="14" t="inlineStr">
        <is>
          <t>Oraimo SmartDent C2</t>
        </is>
      </c>
      <c r="L89" s="27" t="n">
        <v>8500</v>
      </c>
      <c r="M89" s="28" t="inlineStr">
        <is>
          <t>XOF</t>
        </is>
      </c>
      <c r="N89" s="27" t="n">
        <v>12000</v>
      </c>
      <c r="O89" s="29" t="inlineStr">
        <is>
          <t>Oraimo CI</t>
        </is>
      </c>
      <c r="P89" s="28" t="inlineStr">
        <is>
          <t>CI</t>
        </is>
      </c>
      <c r="Q89" s="33" t="inlineStr">
        <is>
          <t>https://ci.oraimo.com/product/oraimo-smartdent-c2-powerful-sonic-cleaning-electric-toothbrush?ean=4895180779541</t>
        </is>
      </c>
      <c r="R89" s="21" t="n">
        <v>0.25</v>
      </c>
      <c r="S89" s="22">
        <f>IF(L89="","",MAX('Sélection 10'!$B$8,MROUND(ROUND(L89*IF(M89="EUR",'Sélection 10'!$B$5,IF(M89="USD",'Sélection 10'!$B$5/'Sélection 10'!$B$6,1))*(1-R89),0),500)))</f>
        <v/>
      </c>
      <c r="T89" s="35" t="n">
        <v>51</v>
      </c>
    </row>
    <row r="90">
      <c r="A90" s="25" t="inlineStr">
        <is>
          <t>SG-2731</t>
        </is>
      </c>
      <c r="B90" s="25" t="inlineStr">
        <is>
          <t>Brosse à dents</t>
        </is>
      </c>
      <c r="C90" s="24" t="inlineStr">
        <is>
          <t>Enfant</t>
        </is>
      </c>
      <c r="D90" s="26" t="inlineStr">
        <is>
          <t>Sonique</t>
        </is>
      </c>
      <c r="E90" s="24" t="inlineStr">
        <is>
          <t>35000</t>
        </is>
      </c>
      <c r="F90" s="24" t="n">
        <v>2</v>
      </c>
      <c r="G90" s="24" t="n">
        <v>21</v>
      </c>
      <c r="H90" s="25" t="inlineStr">
        <is>
          <t>Batterie Li-ion rechargeable</t>
        </is>
      </c>
      <c r="I90" s="24" t="inlineStr">
        <is>
          <t>IPX7</t>
        </is>
      </c>
      <c r="J90" s="24" t="inlineStr">
        <is>
          <t>Non</t>
        </is>
      </c>
      <c r="K90" s="26" t="inlineStr">
        <is>
          <t>Oraimo SmartDent C2</t>
        </is>
      </c>
      <c r="L90" s="27" t="n">
        <v>8500</v>
      </c>
      <c r="M90" s="28" t="inlineStr">
        <is>
          <t>XOF</t>
        </is>
      </c>
      <c r="N90" s="27" t="n">
        <v>12000</v>
      </c>
      <c r="O90" s="29" t="inlineStr">
        <is>
          <t>Oraimo CI</t>
        </is>
      </c>
      <c r="P90" s="28" t="inlineStr">
        <is>
          <t>CI</t>
        </is>
      </c>
      <c r="Q90" s="33" t="inlineStr">
        <is>
          <t>https://ci.oraimo.com/product/oraimo-smartdent-c2-powerful-sonic-cleaning-electric-toothbrush?ean=4895180779541</t>
        </is>
      </c>
      <c r="R90" s="21" t="n">
        <v>0.25</v>
      </c>
      <c r="S90" s="22">
        <f>IF(L90="","",MAX('Sélection 10'!$B$8,MROUND(ROUND(L90*IF(M90="EUR",'Sélection 10'!$B$5,IF(M90="USD",'Sélection 10'!$B$5/'Sélection 10'!$B$6,1))*(1-R90),0),500)))</f>
        <v/>
      </c>
      <c r="T90" s="34" t="n">
        <v>52</v>
      </c>
    </row>
    <row r="91">
      <c r="A91" s="13" t="inlineStr">
        <is>
          <t>SG-2159</t>
        </is>
      </c>
      <c r="B91" s="13" t="inlineStr">
        <is>
          <t>Brosse à dents</t>
        </is>
      </c>
      <c r="C91" s="12" t="inlineStr">
        <is>
          <t>Enfant</t>
        </is>
      </c>
      <c r="D91" s="14" t="inlineStr">
        <is>
          <t>Sonique</t>
        </is>
      </c>
      <c r="E91" s="12" t="inlineStr">
        <is>
          <t>24000</t>
        </is>
      </c>
      <c r="F91" s="12" t="n">
        <v>3</v>
      </c>
      <c r="G91" s="12" t="n">
        <v>60</v>
      </c>
      <c r="H91" s="13" t="inlineStr">
        <is>
          <t>Batterie Li-ion rechargeable</t>
        </is>
      </c>
      <c r="I91" s="12" t="inlineStr">
        <is>
          <t>IPX7</t>
        </is>
      </c>
      <c r="J91" s="12" t="inlineStr">
        <is>
          <t>Non</t>
        </is>
      </c>
      <c r="K91" s="14" t="inlineStr">
        <is>
          <t>Oraimo SmartDent C2</t>
        </is>
      </c>
      <c r="L91" s="27" t="n">
        <v>8500</v>
      </c>
      <c r="M91" s="28" t="inlineStr">
        <is>
          <t>XOF</t>
        </is>
      </c>
      <c r="N91" s="27" t="n">
        <v>12000</v>
      </c>
      <c r="O91" s="29" t="inlineStr">
        <is>
          <t>Oraimo CI</t>
        </is>
      </c>
      <c r="P91" s="28" t="inlineStr">
        <is>
          <t>CI</t>
        </is>
      </c>
      <c r="Q91" s="33" t="inlineStr">
        <is>
          <t>https://ci.oraimo.com/product/oraimo-smartdent-c2-powerful-sonic-cleaning-electric-toothbrush?ean=4895180779541</t>
        </is>
      </c>
      <c r="R91" s="21" t="n">
        <v>0.25</v>
      </c>
      <c r="S91" s="22">
        <f>IF(L91="","",MAX('Sélection 10'!$B$8,MROUND(ROUND(L91*IF(M91="EUR",'Sélection 10'!$B$5,IF(M91="USD",'Sélection 10'!$B$5/'Sélection 10'!$B$6,1))*(1-R91),0),500)))</f>
        <v/>
      </c>
      <c r="T91" s="35" t="n">
        <v>52</v>
      </c>
    </row>
    <row r="92">
      <c r="A92" s="25" t="inlineStr">
        <is>
          <t>SG-2139</t>
        </is>
      </c>
      <c r="B92" s="25" t="inlineStr">
        <is>
          <t>Brosse à dents</t>
        </is>
      </c>
      <c r="C92" s="24" t="inlineStr">
        <is>
          <t>Enfant</t>
        </is>
      </c>
      <c r="D92" s="26" t="inlineStr">
        <is>
          <t>Sonique</t>
        </is>
      </c>
      <c r="E92" s="24" t="inlineStr">
        <is>
          <t>24000</t>
        </is>
      </c>
      <c r="F92" s="24" t="n">
        <v>3</v>
      </c>
      <c r="G92" s="24" t="n">
        <v>60</v>
      </c>
      <c r="H92" s="25" t="inlineStr">
        <is>
          <t>Batterie Li-ion rechargeable</t>
        </is>
      </c>
      <c r="I92" s="24" t="inlineStr">
        <is>
          <t>IPX7</t>
        </is>
      </c>
      <c r="J92" s="24" t="inlineStr">
        <is>
          <t>Non</t>
        </is>
      </c>
      <c r="K92" s="26" t="inlineStr">
        <is>
          <t>Oraimo SmartDent C2</t>
        </is>
      </c>
      <c r="L92" s="27" t="n">
        <v>8500</v>
      </c>
      <c r="M92" s="28" t="inlineStr">
        <is>
          <t>XOF</t>
        </is>
      </c>
      <c r="N92" s="27" t="n">
        <v>12000</v>
      </c>
      <c r="O92" s="29" t="inlineStr">
        <is>
          <t>Oraimo CI</t>
        </is>
      </c>
      <c r="P92" s="28" t="inlineStr">
        <is>
          <t>CI</t>
        </is>
      </c>
      <c r="Q92" s="33" t="inlineStr">
        <is>
          <t>https://ci.oraimo.com/product/oraimo-smartdent-c2-powerful-sonic-cleaning-electric-toothbrush?ean=4895180779541</t>
        </is>
      </c>
      <c r="R92" s="21" t="n">
        <v>0.25</v>
      </c>
      <c r="S92" s="22">
        <f>IF(L92="","",MAX('Sélection 10'!$B$8,MROUND(ROUND(L92*IF(M92="EUR",'Sélection 10'!$B$5,IF(M92="USD",'Sélection 10'!$B$5/'Sélection 10'!$B$6,1))*(1-R92),0),500)))</f>
        <v/>
      </c>
      <c r="T92" s="34" t="n">
        <v>53</v>
      </c>
    </row>
    <row r="93">
      <c r="A93" s="13" t="inlineStr">
        <is>
          <t>SG-2732</t>
        </is>
      </c>
      <c r="B93" s="13" t="inlineStr">
        <is>
          <t>Brosse à dents</t>
        </is>
      </c>
      <c r="C93" s="12" t="inlineStr">
        <is>
          <t>Enfant</t>
        </is>
      </c>
      <c r="D93" s="14" t="inlineStr">
        <is>
          <t>Sonique</t>
        </is>
      </c>
      <c r="E93" s="12" t="inlineStr">
        <is>
          <t>35000</t>
        </is>
      </c>
      <c r="F93" s="12" t="n">
        <v>3</v>
      </c>
      <c r="G93" s="12" t="n">
        <v>21</v>
      </c>
      <c r="H93" s="13" t="inlineStr">
        <is>
          <t>Batterie Li-ion rechargeable</t>
        </is>
      </c>
      <c r="I93" s="12" t="inlineStr">
        <is>
          <t>IPX7</t>
        </is>
      </c>
      <c r="J93" s="12" t="inlineStr">
        <is>
          <t>Non</t>
        </is>
      </c>
      <c r="K93" s="14" t="inlineStr">
        <is>
          <t>Oraimo SmartDent C2</t>
        </is>
      </c>
      <c r="L93" s="27" t="n">
        <v>8500</v>
      </c>
      <c r="M93" s="28" t="inlineStr">
        <is>
          <t>XOF</t>
        </is>
      </c>
      <c r="N93" s="27" t="n">
        <v>12000</v>
      </c>
      <c r="O93" s="29" t="inlineStr">
        <is>
          <t>Oraimo CI</t>
        </is>
      </c>
      <c r="P93" s="28" t="inlineStr">
        <is>
          <t>CI</t>
        </is>
      </c>
      <c r="Q93" s="33" t="inlineStr">
        <is>
          <t>https://ci.oraimo.com/product/oraimo-smartdent-c2-powerful-sonic-cleaning-electric-toothbrush?ean=4895180779541</t>
        </is>
      </c>
      <c r="R93" s="21" t="n">
        <v>0.25</v>
      </c>
      <c r="S93" s="22">
        <f>IF(L93="","",MAX('Sélection 10'!$B$8,MROUND(ROUND(L93*IF(M93="EUR",'Sélection 10'!$B$5,IF(M93="USD",'Sélection 10'!$B$5/'Sélection 10'!$B$6,1))*(1-R93),0),500)))</f>
        <v/>
      </c>
      <c r="T93" s="35" t="n">
        <v>53</v>
      </c>
    </row>
    <row r="94">
      <c r="A94" s="25" t="inlineStr">
        <is>
          <t>SG-902</t>
        </is>
      </c>
      <c r="B94" s="25" t="inlineStr">
        <is>
          <t>Brosse à dents</t>
        </is>
      </c>
      <c r="C94" s="24" t="inlineStr">
        <is>
          <t>Enfant</t>
        </is>
      </c>
      <c r="D94" s="26" t="inlineStr">
        <is>
          <t>Sonique</t>
        </is>
      </c>
      <c r="E94" s="24" t="inlineStr">
        <is>
          <t>17000</t>
        </is>
      </c>
      <c r="F94" s="32" t="inlineStr">
        <is>
          <t>N/D</t>
        </is>
      </c>
      <c r="G94" s="24" t="n">
        <v>120</v>
      </c>
      <c r="H94" s="25" t="inlineStr">
        <is>
          <t>Pile (1x AAA)</t>
        </is>
      </c>
      <c r="I94" s="24" t="inlineStr">
        <is>
          <t>IPX7</t>
        </is>
      </c>
      <c r="J94" s="24" t="inlineStr">
        <is>
          <t>Non</t>
        </is>
      </c>
      <c r="K94" s="26" t="inlineStr">
        <is>
          <t>Oral-B Kids Battery Disney (Frozen / Princess)</t>
        </is>
      </c>
      <c r="L94" s="16" t="n">
        <v>7.97</v>
      </c>
      <c r="M94" s="17" t="inlineStr">
        <is>
          <t>USD</t>
        </is>
      </c>
      <c r="N94" s="18" t="inlineStr">
        <is>
          <t>N/D</t>
        </is>
      </c>
      <c r="O94" s="19" t="inlineStr">
        <is>
          <t>Walmart (US)</t>
        </is>
      </c>
      <c r="P94" s="17" t="inlineStr">
        <is>
          <t>International</t>
        </is>
      </c>
      <c r="Q94" s="36" t="inlineStr">
        <is>
          <t>https://www.walmart.com/ip/Oral-B-Kid-s-Battery-Toothbrush-featuring-Disney-Princess-for-Kids-3/562547696</t>
        </is>
      </c>
      <c r="R94" s="21" t="n">
        <v>0.55</v>
      </c>
      <c r="S94" s="22">
        <f>IF(L94="","",MAX('Sélection 10'!$B$8,MROUND(ROUND(L94*IF(M94="EUR",'Sélection 10'!$B$5,IF(M94="USD",'Sélection 10'!$B$5/'Sélection 10'!$B$6,1))*(1-R94),0),500)))</f>
        <v/>
      </c>
      <c r="T94" s="34" t="n">
        <v>54</v>
      </c>
    </row>
    <row r="95">
      <c r="A95" s="13" t="inlineStr">
        <is>
          <t>SG-513</t>
        </is>
      </c>
      <c r="B95" s="13" t="inlineStr">
        <is>
          <t>Brosse à dents</t>
        </is>
      </c>
      <c r="C95" s="12" t="inlineStr">
        <is>
          <t>Enfant</t>
        </is>
      </c>
      <c r="D95" s="14" t="inlineStr">
        <is>
          <t>Sonique</t>
        </is>
      </c>
      <c r="E95" s="12" t="inlineStr">
        <is>
          <t>17000</t>
        </is>
      </c>
      <c r="F95" s="15" t="inlineStr">
        <is>
          <t>N/D</t>
        </is>
      </c>
      <c r="G95" s="12" t="n">
        <v>150</v>
      </c>
      <c r="H95" s="13" t="inlineStr">
        <is>
          <t>Pile (1x AAA)</t>
        </is>
      </c>
      <c r="I95" s="12" t="inlineStr">
        <is>
          <t>IPX7</t>
        </is>
      </c>
      <c r="J95" s="12" t="inlineStr">
        <is>
          <t>Non</t>
        </is>
      </c>
      <c r="K95" s="14" t="inlineStr">
        <is>
          <t>Oral-B Kids Battery Disney (Frozen / Princess)</t>
        </is>
      </c>
      <c r="L95" s="16" t="n">
        <v>7.97</v>
      </c>
      <c r="M95" s="17" t="inlineStr">
        <is>
          <t>USD</t>
        </is>
      </c>
      <c r="N95" s="18" t="inlineStr">
        <is>
          <t>N/D</t>
        </is>
      </c>
      <c r="O95" s="19" t="inlineStr">
        <is>
          <t>Walmart (US)</t>
        </is>
      </c>
      <c r="P95" s="17" t="inlineStr">
        <is>
          <t>International</t>
        </is>
      </c>
      <c r="Q95" s="36" t="inlineStr">
        <is>
          <t>https://www.walmart.com/ip/Oral-B-Kid-s-Battery-Toothbrush-featuring-Disney-Princess-for-Kids-3/562547696</t>
        </is>
      </c>
      <c r="R95" s="21" t="n">
        <v>0.55</v>
      </c>
      <c r="S95" s="22">
        <f>IF(L95="","",MAX('Sélection 10'!$B$8,MROUND(ROUND(L95*IF(M95="EUR",'Sélection 10'!$B$5,IF(M95="USD",'Sélection 10'!$B$5/'Sélection 10'!$B$6,1))*(1-R95),0),500)))</f>
        <v/>
      </c>
      <c r="T95" s="35" t="n">
        <v>54</v>
      </c>
    </row>
    <row r="96">
      <c r="A96" s="25" t="inlineStr">
        <is>
          <t>SG-2113</t>
        </is>
      </c>
      <c r="B96" s="25" t="inlineStr">
        <is>
          <t>Brosse à dents</t>
        </is>
      </c>
      <c r="C96" s="24" t="inlineStr">
        <is>
          <t>Enfant</t>
        </is>
      </c>
      <c r="D96" s="26" t="inlineStr">
        <is>
          <t>Sonique</t>
        </is>
      </c>
      <c r="E96" s="24" t="inlineStr">
        <is>
          <t>16000</t>
        </is>
      </c>
      <c r="F96" s="32" t="inlineStr">
        <is>
          <t>N/D</t>
        </is>
      </c>
      <c r="G96" s="24" t="n">
        <v>120</v>
      </c>
      <c r="H96" s="25" t="inlineStr">
        <is>
          <t>Pile (1x AAA)</t>
        </is>
      </c>
      <c r="I96" s="24" t="inlineStr">
        <is>
          <t>IPX7</t>
        </is>
      </c>
      <c r="J96" s="24" t="inlineStr">
        <is>
          <t>Non</t>
        </is>
      </c>
      <c r="K96" s="26" t="inlineStr">
        <is>
          <t>Oral-B Kids Battery Disney (Frozen / Princess)</t>
        </is>
      </c>
      <c r="L96" s="16" t="n">
        <v>7.97</v>
      </c>
      <c r="M96" s="17" t="inlineStr">
        <is>
          <t>USD</t>
        </is>
      </c>
      <c r="N96" s="18" t="inlineStr">
        <is>
          <t>N/D</t>
        </is>
      </c>
      <c r="O96" s="19" t="inlineStr">
        <is>
          <t>Walmart (US)</t>
        </is>
      </c>
      <c r="P96" s="17" t="inlineStr">
        <is>
          <t>International</t>
        </is>
      </c>
      <c r="Q96" s="36" t="inlineStr">
        <is>
          <t>https://www.walmart.com/ip/Oral-B-Kid-s-Battery-Toothbrush-featuring-Disney-Princess-for-Kids-3/562547696</t>
        </is>
      </c>
      <c r="R96" s="21" t="n">
        <v>0.55</v>
      </c>
      <c r="S96" s="22">
        <f>IF(L96="","",MAX('Sélection 10'!$B$8,MROUND(ROUND(L96*IF(M96="EUR",'Sélection 10'!$B$5,IF(M96="USD",'Sélection 10'!$B$5/'Sélection 10'!$B$6,1))*(1-R96),0),500)))</f>
        <v/>
      </c>
      <c r="T96" s="34" t="n">
        <v>55</v>
      </c>
    </row>
    <row r="97">
      <c r="A97" s="13" t="inlineStr">
        <is>
          <t>SG-976</t>
        </is>
      </c>
      <c r="B97" s="13" t="inlineStr">
        <is>
          <t>Brosse à dents</t>
        </is>
      </c>
      <c r="C97" s="12" t="inlineStr">
        <is>
          <t>Enfant</t>
        </is>
      </c>
      <c r="D97" s="14" t="inlineStr">
        <is>
          <t>Sonique</t>
        </is>
      </c>
      <c r="E97" s="12" t="inlineStr">
        <is>
          <t>16000</t>
        </is>
      </c>
      <c r="F97" s="15" t="inlineStr">
        <is>
          <t>N/D</t>
        </is>
      </c>
      <c r="G97" s="12" t="n">
        <v>120</v>
      </c>
      <c r="H97" s="13" t="inlineStr">
        <is>
          <t>Pile (1x AAA)</t>
        </is>
      </c>
      <c r="I97" s="12" t="inlineStr">
        <is>
          <t>IPX7</t>
        </is>
      </c>
      <c r="J97" s="12" t="inlineStr">
        <is>
          <t>Non</t>
        </is>
      </c>
      <c r="K97" s="14" t="inlineStr">
        <is>
          <t>Oral-B Kids Battery Disney (Frozen / Princess)</t>
        </is>
      </c>
      <c r="L97" s="16" t="n">
        <v>7.97</v>
      </c>
      <c r="M97" s="17" t="inlineStr">
        <is>
          <t>USD</t>
        </is>
      </c>
      <c r="N97" s="18" t="inlineStr">
        <is>
          <t>N/D</t>
        </is>
      </c>
      <c r="O97" s="19" t="inlineStr">
        <is>
          <t>Walmart (US)</t>
        </is>
      </c>
      <c r="P97" s="17" t="inlineStr">
        <is>
          <t>International</t>
        </is>
      </c>
      <c r="Q97" s="36" t="inlineStr">
        <is>
          <t>https://www.walmart.com/ip/Oral-B-Kid-s-Battery-Toothbrush-featuring-Disney-Princess-for-Kids-3/562547696</t>
        </is>
      </c>
      <c r="R97" s="21" t="n">
        <v>0.55</v>
      </c>
      <c r="S97" s="22">
        <f>IF(L97="","",MAX('Sélection 10'!$B$8,MROUND(ROUND(L97*IF(M97="EUR",'Sélection 10'!$B$5,IF(M97="USD",'Sélection 10'!$B$5/'Sélection 10'!$B$6,1))*(1-R97),0),500)))</f>
        <v/>
      </c>
      <c r="T97" s="35" t="n">
        <v>55</v>
      </c>
    </row>
    <row r="98">
      <c r="A98" s="25" t="inlineStr">
        <is>
          <t>SG-977</t>
        </is>
      </c>
      <c r="B98" s="25" t="inlineStr">
        <is>
          <t>Brosse à dents</t>
        </is>
      </c>
      <c r="C98" s="24" t="inlineStr">
        <is>
          <t>Enfant</t>
        </is>
      </c>
      <c r="D98" s="26" t="inlineStr">
        <is>
          <t>Sonique</t>
        </is>
      </c>
      <c r="E98" s="24" t="inlineStr">
        <is>
          <t>24000</t>
        </is>
      </c>
      <c r="F98" s="32" t="inlineStr">
        <is>
          <t>N/D</t>
        </is>
      </c>
      <c r="G98" s="24" t="n">
        <v>150</v>
      </c>
      <c r="H98" s="25" t="inlineStr">
        <is>
          <t>Pile (1x AAA)</t>
        </is>
      </c>
      <c r="I98" s="24" t="inlineStr">
        <is>
          <t>IPX7</t>
        </is>
      </c>
      <c r="J98" s="24" t="inlineStr">
        <is>
          <t>Non</t>
        </is>
      </c>
      <c r="K98" s="26" t="inlineStr">
        <is>
          <t>Oral-B Kids Battery Disney (Frozen / Princess)</t>
        </is>
      </c>
      <c r="L98" s="16" t="n">
        <v>7.97</v>
      </c>
      <c r="M98" s="17" t="inlineStr">
        <is>
          <t>USD</t>
        </is>
      </c>
      <c r="N98" s="18" t="inlineStr">
        <is>
          <t>N/D</t>
        </is>
      </c>
      <c r="O98" s="19" t="inlineStr">
        <is>
          <t>Walmart (US)</t>
        </is>
      </c>
      <c r="P98" s="17" t="inlineStr">
        <is>
          <t>International</t>
        </is>
      </c>
      <c r="Q98" s="36" t="inlineStr">
        <is>
          <t>https://www.walmart.com/ip/Oral-B-Kid-s-Battery-Toothbrush-featuring-Disney-Princess-for-Kids-3/562547696</t>
        </is>
      </c>
      <c r="R98" s="21" t="n">
        <v>0.55</v>
      </c>
      <c r="S98" s="22">
        <f>IF(L98="","",MAX('Sélection 10'!$B$8,MROUND(ROUND(L98*IF(M98="EUR",'Sélection 10'!$B$5,IF(M98="USD",'Sélection 10'!$B$5/'Sélection 10'!$B$6,1))*(1-R98),0),500)))</f>
        <v/>
      </c>
      <c r="T98" s="34" t="n">
        <v>56</v>
      </c>
    </row>
    <row r="99">
      <c r="A99" s="13" t="inlineStr">
        <is>
          <t>SG-918</t>
        </is>
      </c>
      <c r="B99" s="13" t="inlineStr">
        <is>
          <t>Brosse à dents</t>
        </is>
      </c>
      <c r="C99" s="12" t="inlineStr">
        <is>
          <t>Enfant</t>
        </is>
      </c>
      <c r="D99" s="14" t="inlineStr">
        <is>
          <t>Sonique</t>
        </is>
      </c>
      <c r="E99" s="12" t="inlineStr">
        <is>
          <t>17000</t>
        </is>
      </c>
      <c r="F99" s="12" t="n">
        <v>2</v>
      </c>
      <c r="G99" s="12" t="n">
        <v>120</v>
      </c>
      <c r="H99" s="13" t="inlineStr">
        <is>
          <t>Pile (1x AAA)</t>
        </is>
      </c>
      <c r="I99" s="12" t="inlineStr">
        <is>
          <t>IPX7</t>
        </is>
      </c>
      <c r="J99" s="12" t="inlineStr">
        <is>
          <t>Non</t>
        </is>
      </c>
      <c r="K99" s="14" t="inlineStr">
        <is>
          <t>Oral-B Kids Battery Disney (Frozen / Princess)</t>
        </is>
      </c>
      <c r="L99" s="16" t="n">
        <v>7.97</v>
      </c>
      <c r="M99" s="17" t="inlineStr">
        <is>
          <t>USD</t>
        </is>
      </c>
      <c r="N99" s="18" t="inlineStr">
        <is>
          <t>N/D</t>
        </is>
      </c>
      <c r="O99" s="19" t="inlineStr">
        <is>
          <t>Walmart (US)</t>
        </is>
      </c>
      <c r="P99" s="17" t="inlineStr">
        <is>
          <t>International</t>
        </is>
      </c>
      <c r="Q99" s="36" t="inlineStr">
        <is>
          <t>https://www.walmart.com/ip/Oral-B-Kid-s-Battery-Toothbrush-featuring-Disney-Princess-for-Kids-3/562547696</t>
        </is>
      </c>
      <c r="R99" s="21" t="n">
        <v>0.55</v>
      </c>
      <c r="S99" s="22">
        <f>IF(L99="","",MAX('Sélection 10'!$B$8,MROUND(ROUND(L99*IF(M99="EUR",'Sélection 10'!$B$5,IF(M99="USD",'Sélection 10'!$B$5/'Sélection 10'!$B$6,1))*(1-R99),0),500)))</f>
        <v/>
      </c>
      <c r="T99" s="35" t="n">
        <v>56</v>
      </c>
    </row>
    <row r="100">
      <c r="A100" s="25" t="inlineStr">
        <is>
          <t>SG-2107</t>
        </is>
      </c>
      <c r="B100" s="25" t="inlineStr">
        <is>
          <t>Brosse à dents</t>
        </is>
      </c>
      <c r="C100" s="24" t="inlineStr">
        <is>
          <t>Enfant</t>
        </is>
      </c>
      <c r="D100" s="26" t="inlineStr">
        <is>
          <t>Sonique</t>
        </is>
      </c>
      <c r="E100" s="24" t="inlineStr">
        <is>
          <t>17000</t>
        </is>
      </c>
      <c r="F100" s="32" t="inlineStr">
        <is>
          <t>N/D</t>
        </is>
      </c>
      <c r="G100" s="24" t="n">
        <v>120</v>
      </c>
      <c r="H100" s="25" t="inlineStr">
        <is>
          <t>Pile (1x AAA)</t>
        </is>
      </c>
      <c r="I100" s="24" t="inlineStr">
        <is>
          <t>IPX7</t>
        </is>
      </c>
      <c r="J100" s="24" t="inlineStr">
        <is>
          <t>Non</t>
        </is>
      </c>
      <c r="K100" s="26" t="inlineStr">
        <is>
          <t>Oral-B Kids Battery Disney (Frozen / Princess)</t>
        </is>
      </c>
      <c r="L100" s="16" t="n">
        <v>7.97</v>
      </c>
      <c r="M100" s="17" t="inlineStr">
        <is>
          <t>USD</t>
        </is>
      </c>
      <c r="N100" s="18" t="inlineStr">
        <is>
          <t>N/D</t>
        </is>
      </c>
      <c r="O100" s="19" t="inlineStr">
        <is>
          <t>Walmart (US)</t>
        </is>
      </c>
      <c r="P100" s="17" t="inlineStr">
        <is>
          <t>International</t>
        </is>
      </c>
      <c r="Q100" s="36" t="inlineStr">
        <is>
          <t>https://www.walmart.com/ip/Oral-B-Kid-s-Battery-Toothbrush-featuring-Disney-Princess-for-Kids-3/562547696</t>
        </is>
      </c>
      <c r="R100" s="21" t="n">
        <v>0.55</v>
      </c>
      <c r="S100" s="22">
        <f>IF(L100="","",MAX('Sélection 10'!$B$8,MROUND(ROUND(L100*IF(M100="EUR",'Sélection 10'!$B$5,IF(M100="USD",'Sélection 10'!$B$5/'Sélection 10'!$B$6,1))*(1-R100),0),500)))</f>
        <v/>
      </c>
      <c r="T100" s="34" t="n">
        <v>57</v>
      </c>
    </row>
    <row r="101">
      <c r="A101" s="13" t="inlineStr">
        <is>
          <t>SG-921</t>
        </is>
      </c>
      <c r="B101" s="13" t="inlineStr">
        <is>
          <t>Brosse à dents</t>
        </is>
      </c>
      <c r="C101" s="12" t="inlineStr">
        <is>
          <t>Enfant</t>
        </is>
      </c>
      <c r="D101" s="14" t="inlineStr">
        <is>
          <t>Sonique</t>
        </is>
      </c>
      <c r="E101" s="12" t="inlineStr">
        <is>
          <t>22000</t>
        </is>
      </c>
      <c r="F101" s="15" t="inlineStr">
        <is>
          <t>N/D</t>
        </is>
      </c>
      <c r="G101" s="12" t="n">
        <v>60</v>
      </c>
      <c r="H101" s="13" t="inlineStr">
        <is>
          <t>Piles (2x AAA)</t>
        </is>
      </c>
      <c r="I101" s="12" t="inlineStr">
        <is>
          <t>IPX5</t>
        </is>
      </c>
      <c r="J101" s="12" t="inlineStr">
        <is>
          <t>Non</t>
        </is>
      </c>
      <c r="K101" s="14" t="inlineStr">
        <is>
          <t>Oral-B Kids Battery Disney (Frozen / Princess)</t>
        </is>
      </c>
      <c r="L101" s="16" t="n">
        <v>7.97</v>
      </c>
      <c r="M101" s="17" t="inlineStr">
        <is>
          <t>USD</t>
        </is>
      </c>
      <c r="N101" s="18" t="inlineStr">
        <is>
          <t>N/D</t>
        </is>
      </c>
      <c r="O101" s="19" t="inlineStr">
        <is>
          <t>Walmart (US)</t>
        </is>
      </c>
      <c r="P101" s="17" t="inlineStr">
        <is>
          <t>International</t>
        </is>
      </c>
      <c r="Q101" s="36" t="inlineStr">
        <is>
          <t>https://www.walmart.com/ip/Oral-B-Kid-s-Battery-Toothbrush-featuring-Disney-Princess-for-Kids-3/562547696</t>
        </is>
      </c>
      <c r="R101" s="21" t="n">
        <v>0.55</v>
      </c>
      <c r="S101" s="22">
        <f>IF(L101="","",MAX('Sélection 10'!$B$8,MROUND(ROUND(L101*IF(M101="EUR",'Sélection 10'!$B$5,IF(M101="USD",'Sélection 10'!$B$5/'Sélection 10'!$B$6,1))*(1-R101),0),500)))</f>
        <v/>
      </c>
      <c r="T101" s="35" t="n">
        <v>57</v>
      </c>
    </row>
    <row r="102">
      <c r="A102" s="25" t="inlineStr">
        <is>
          <t>SG-961</t>
        </is>
      </c>
      <c r="B102" s="25" t="inlineStr">
        <is>
          <t>Brosse à dents</t>
        </is>
      </c>
      <c r="C102" s="24" t="inlineStr">
        <is>
          <t>Enfant</t>
        </is>
      </c>
      <c r="D102" s="26" t="inlineStr">
        <is>
          <t>Sonique</t>
        </is>
      </c>
      <c r="E102" s="24" t="inlineStr">
        <is>
          <t>24000</t>
        </is>
      </c>
      <c r="F102" s="32" t="inlineStr">
        <is>
          <t>N/D</t>
        </is>
      </c>
      <c r="G102" s="24" t="n">
        <v>210</v>
      </c>
      <c r="H102" s="25" t="inlineStr">
        <is>
          <t>Pile (1x AA)</t>
        </is>
      </c>
      <c r="I102" s="24" t="inlineStr">
        <is>
          <t>IPX7</t>
        </is>
      </c>
      <c r="J102" s="24" t="inlineStr">
        <is>
          <t>Non</t>
        </is>
      </c>
      <c r="K102" s="26" t="inlineStr">
        <is>
          <t>Oral-B Kids Battery Disney (Frozen / Princess)</t>
        </is>
      </c>
      <c r="L102" s="16" t="n">
        <v>7.97</v>
      </c>
      <c r="M102" s="17" t="inlineStr">
        <is>
          <t>USD</t>
        </is>
      </c>
      <c r="N102" s="18" t="inlineStr">
        <is>
          <t>N/D</t>
        </is>
      </c>
      <c r="O102" s="19" t="inlineStr">
        <is>
          <t>Walmart (US)</t>
        </is>
      </c>
      <c r="P102" s="17" t="inlineStr">
        <is>
          <t>International</t>
        </is>
      </c>
      <c r="Q102" s="36" t="inlineStr">
        <is>
          <t>https://www.walmart.com/ip/Oral-B-Kid-s-Battery-Toothbrush-featuring-Disney-Princess-for-Kids-3/562547696</t>
        </is>
      </c>
      <c r="R102" s="21" t="n">
        <v>0.55</v>
      </c>
      <c r="S102" s="22">
        <f>IF(L102="","",MAX('Sélection 10'!$B$8,MROUND(ROUND(L102*IF(M102="EUR",'Sélection 10'!$B$5,IF(M102="USD",'Sélection 10'!$B$5/'Sélection 10'!$B$6,1))*(1-R102),0),500)))</f>
        <v/>
      </c>
      <c r="T102" s="34" t="n">
        <v>58</v>
      </c>
    </row>
    <row r="103">
      <c r="A103" s="13" t="inlineStr">
        <is>
          <t>SG-919</t>
        </is>
      </c>
      <c r="B103" s="13" t="inlineStr">
        <is>
          <t>Brosse à dents</t>
        </is>
      </c>
      <c r="C103" s="12" t="inlineStr">
        <is>
          <t>Enfant</t>
        </is>
      </c>
      <c r="D103" s="14" t="inlineStr">
        <is>
          <t>Sonique</t>
        </is>
      </c>
      <c r="E103" s="12" t="inlineStr">
        <is>
          <t>18000</t>
        </is>
      </c>
      <c r="F103" s="15" t="inlineStr">
        <is>
          <t>N/D</t>
        </is>
      </c>
      <c r="G103" s="12" t="n">
        <v>60</v>
      </c>
      <c r="H103" s="13" t="inlineStr">
        <is>
          <t>Pile (1x AA)</t>
        </is>
      </c>
      <c r="I103" s="12" t="inlineStr">
        <is>
          <t>IPX6</t>
        </is>
      </c>
      <c r="J103" s="12" t="inlineStr">
        <is>
          <t>Non</t>
        </is>
      </c>
      <c r="K103" s="14" t="inlineStr">
        <is>
          <t>Oral-B Kids Battery Disney (Frozen / Princess)</t>
        </is>
      </c>
      <c r="L103" s="16" t="n">
        <v>7.97</v>
      </c>
      <c r="M103" s="17" t="inlineStr">
        <is>
          <t>USD</t>
        </is>
      </c>
      <c r="N103" s="18" t="inlineStr">
        <is>
          <t>N/D</t>
        </is>
      </c>
      <c r="O103" s="19" t="inlineStr">
        <is>
          <t>Walmart (US)</t>
        </is>
      </c>
      <c r="P103" s="17" t="inlineStr">
        <is>
          <t>International</t>
        </is>
      </c>
      <c r="Q103" s="36" t="inlineStr">
        <is>
          <t>https://www.walmart.com/ip/Oral-B-Kid-s-Battery-Toothbrush-featuring-Disney-Princess-for-Kids-3/562547696</t>
        </is>
      </c>
      <c r="R103" s="21" t="n">
        <v>0.55</v>
      </c>
      <c r="S103" s="22">
        <f>IF(L103="","",MAX('Sélection 10'!$B$8,MROUND(ROUND(L103*IF(M103="EUR",'Sélection 10'!$B$5,IF(M103="USD",'Sélection 10'!$B$5/'Sélection 10'!$B$6,1))*(1-R103),0),500)))</f>
        <v/>
      </c>
      <c r="T103" s="35" t="n">
        <v>58</v>
      </c>
    </row>
    <row r="104">
      <c r="A104" s="25" t="inlineStr">
        <is>
          <t>SG-2001</t>
        </is>
      </c>
      <c r="B104" s="25" t="inlineStr">
        <is>
          <t>Brosse à dents</t>
        </is>
      </c>
      <c r="C104" s="24" t="inlineStr">
        <is>
          <t>Enfant</t>
        </is>
      </c>
      <c r="D104" s="26" t="inlineStr">
        <is>
          <t>Sonique</t>
        </is>
      </c>
      <c r="E104" s="24" t="inlineStr">
        <is>
          <t>38000</t>
        </is>
      </c>
      <c r="F104" s="24" t="n">
        <v>3</v>
      </c>
      <c r="G104" s="24" t="n">
        <v>21</v>
      </c>
      <c r="H104" s="25" t="inlineStr">
        <is>
          <t>Batterie Ni-MH rechargeable</t>
        </is>
      </c>
      <c r="I104" s="24" t="inlineStr">
        <is>
          <t>IPX7</t>
        </is>
      </c>
      <c r="J104" s="24" t="inlineStr">
        <is>
          <t>Non</t>
        </is>
      </c>
      <c r="K104" s="26" t="inlineStr">
        <is>
          <t>Oraimo SmartDent C2</t>
        </is>
      </c>
      <c r="L104" s="27" t="n">
        <v>8500</v>
      </c>
      <c r="M104" s="28" t="inlineStr">
        <is>
          <t>XOF</t>
        </is>
      </c>
      <c r="N104" s="27" t="n">
        <v>12000</v>
      </c>
      <c r="O104" s="29" t="inlineStr">
        <is>
          <t>Oraimo CI</t>
        </is>
      </c>
      <c r="P104" s="28" t="inlineStr">
        <is>
          <t>CI</t>
        </is>
      </c>
      <c r="Q104" s="33" t="inlineStr">
        <is>
          <t>https://ci.oraimo.com/product/oraimo-smartdent-c2-powerful-sonic-cleaning-electric-toothbrush?ean=4895180779541</t>
        </is>
      </c>
      <c r="R104" s="21" t="n">
        <v>0.25</v>
      </c>
      <c r="S104" s="22">
        <f>IF(L104="","",MAX('Sélection 10'!$B$8,MROUND(ROUND(L104*IF(M104="EUR",'Sélection 10'!$B$5,IF(M104="USD",'Sélection 10'!$B$5/'Sélection 10'!$B$6,1))*(1-R104),0),500)))</f>
        <v/>
      </c>
      <c r="T104" s="34" t="n">
        <v>59</v>
      </c>
    </row>
    <row r="105">
      <c r="A105" s="13" t="inlineStr">
        <is>
          <t>SG-2008</t>
        </is>
      </c>
      <c r="B105" s="13" t="inlineStr">
        <is>
          <t>Brosse à dents</t>
        </is>
      </c>
      <c r="C105" s="12" t="inlineStr">
        <is>
          <t>Enfant</t>
        </is>
      </c>
      <c r="D105" s="14" t="inlineStr">
        <is>
          <t>Sonique</t>
        </is>
      </c>
      <c r="E105" s="12" t="inlineStr">
        <is>
          <t>35000</t>
        </is>
      </c>
      <c r="F105" s="12" t="n">
        <v>3</v>
      </c>
      <c r="G105" s="12" t="n">
        <v>25</v>
      </c>
      <c r="H105" s="13" t="inlineStr">
        <is>
          <t>Batterie Li-ion rechargeable</t>
        </is>
      </c>
      <c r="I105" s="12" t="inlineStr">
        <is>
          <t>IPX7</t>
        </is>
      </c>
      <c r="J105" s="12" t="inlineStr">
        <is>
          <t>Non</t>
        </is>
      </c>
      <c r="K105" s="14" t="inlineStr">
        <is>
          <t>Oraimo SmartDent C2</t>
        </is>
      </c>
      <c r="L105" s="27" t="n">
        <v>8500</v>
      </c>
      <c r="M105" s="28" t="inlineStr">
        <is>
          <t>XOF</t>
        </is>
      </c>
      <c r="N105" s="27" t="n">
        <v>12000</v>
      </c>
      <c r="O105" s="29" t="inlineStr">
        <is>
          <t>Oraimo CI</t>
        </is>
      </c>
      <c r="P105" s="28" t="inlineStr">
        <is>
          <t>CI</t>
        </is>
      </c>
      <c r="Q105" s="33" t="inlineStr">
        <is>
          <t>https://ci.oraimo.com/product/oraimo-smartdent-c2-powerful-sonic-cleaning-electric-toothbrush?ean=4895180779541</t>
        </is>
      </c>
      <c r="R105" s="21" t="n">
        <v>0.25</v>
      </c>
      <c r="S105" s="22">
        <f>IF(L105="","",MAX('Sélection 10'!$B$8,MROUND(ROUND(L105*IF(M105="EUR",'Sélection 10'!$B$5,IF(M105="USD",'Sélection 10'!$B$5/'Sélection 10'!$B$6,1))*(1-R105),0),500)))</f>
        <v/>
      </c>
      <c r="T105" s="35" t="n">
        <v>59</v>
      </c>
    </row>
    <row r="106">
      <c r="A106" s="25" t="inlineStr">
        <is>
          <t>SG-567</t>
        </is>
      </c>
      <c r="B106" s="25" t="inlineStr">
        <is>
          <t>Brosse à dents</t>
        </is>
      </c>
      <c r="C106" s="24" t="inlineStr">
        <is>
          <t>Enfant</t>
        </is>
      </c>
      <c r="D106" s="26" t="inlineStr">
        <is>
          <t>Sonique</t>
        </is>
      </c>
      <c r="E106" s="24" t="inlineStr">
        <is>
          <t>31000</t>
        </is>
      </c>
      <c r="F106" s="24" t="n">
        <v>2</v>
      </c>
      <c r="G106" s="32" t="inlineStr">
        <is>
          <t>N/D</t>
        </is>
      </c>
      <c r="H106" s="25" t="inlineStr">
        <is>
          <t>Batterie Li-ion rechargeable</t>
        </is>
      </c>
      <c r="I106" s="24" t="inlineStr">
        <is>
          <t>IPX7</t>
        </is>
      </c>
      <c r="J106" s="24" t="inlineStr">
        <is>
          <t>Non</t>
        </is>
      </c>
      <c r="K106" s="26" t="inlineStr">
        <is>
          <t>Oraimo SmartDent C2</t>
        </is>
      </c>
      <c r="L106" s="27" t="n">
        <v>8500</v>
      </c>
      <c r="M106" s="28" t="inlineStr">
        <is>
          <t>XOF</t>
        </is>
      </c>
      <c r="N106" s="27" t="n">
        <v>12000</v>
      </c>
      <c r="O106" s="29" t="inlineStr">
        <is>
          <t>Oraimo CI</t>
        </is>
      </c>
      <c r="P106" s="28" t="inlineStr">
        <is>
          <t>CI</t>
        </is>
      </c>
      <c r="Q106" s="33" t="inlineStr">
        <is>
          <t>https://ci.oraimo.com/product/oraimo-smartdent-c2-powerful-sonic-cleaning-electric-toothbrush?ean=4895180779541</t>
        </is>
      </c>
      <c r="R106" s="21" t="n">
        <v>0.25</v>
      </c>
      <c r="S106" s="22">
        <f>IF(L106="","",MAX('Sélection 10'!$B$8,MROUND(ROUND(L106*IF(M106="EUR",'Sélection 10'!$B$5,IF(M106="USD",'Sélection 10'!$B$5/'Sélection 10'!$B$6,1))*(1-R106),0),500)))</f>
        <v/>
      </c>
      <c r="T106" s="34" t="n">
        <v>60</v>
      </c>
    </row>
    <row r="107">
      <c r="A107" s="13" t="inlineStr">
        <is>
          <t>SG-2711</t>
        </is>
      </c>
      <c r="B107" s="13" t="inlineStr">
        <is>
          <t>Brosse à dents</t>
        </is>
      </c>
      <c r="C107" s="12" t="inlineStr">
        <is>
          <t>Enfant</t>
        </is>
      </c>
      <c r="D107" s="14" t="inlineStr">
        <is>
          <t>Sonique</t>
        </is>
      </c>
      <c r="E107" s="12" t="inlineStr">
        <is>
          <t>31000</t>
        </is>
      </c>
      <c r="F107" s="12" t="n">
        <v>2</v>
      </c>
      <c r="G107" s="15" t="inlineStr">
        <is>
          <t>N/D</t>
        </is>
      </c>
      <c r="H107" s="13" t="inlineStr">
        <is>
          <t>Batterie Li-ion rechargeable</t>
        </is>
      </c>
      <c r="I107" s="12" t="inlineStr">
        <is>
          <t>IPX7</t>
        </is>
      </c>
      <c r="J107" s="12" t="inlineStr">
        <is>
          <t>Non</t>
        </is>
      </c>
      <c r="K107" s="14" t="inlineStr">
        <is>
          <t>Oraimo SmartDent C2</t>
        </is>
      </c>
      <c r="L107" s="27" t="n">
        <v>8500</v>
      </c>
      <c r="M107" s="28" t="inlineStr">
        <is>
          <t>XOF</t>
        </is>
      </c>
      <c r="N107" s="27" t="n">
        <v>12000</v>
      </c>
      <c r="O107" s="29" t="inlineStr">
        <is>
          <t>Oraimo CI</t>
        </is>
      </c>
      <c r="P107" s="28" t="inlineStr">
        <is>
          <t>CI</t>
        </is>
      </c>
      <c r="Q107" s="33" t="inlineStr">
        <is>
          <t>https://ci.oraimo.com/product/oraimo-smartdent-c2-powerful-sonic-cleaning-electric-toothbrush?ean=4895180779541</t>
        </is>
      </c>
      <c r="R107" s="21" t="n">
        <v>0.25</v>
      </c>
      <c r="S107" s="22">
        <f>IF(L107="","",MAX('Sélection 10'!$B$8,MROUND(ROUND(L107*IF(M107="EUR",'Sélection 10'!$B$5,IF(M107="USD",'Sélection 10'!$B$5/'Sélection 10'!$B$6,1))*(1-R107),0),500)))</f>
        <v/>
      </c>
      <c r="T107" s="35" t="n">
        <v>60</v>
      </c>
    </row>
    <row r="108">
      <c r="A108" s="25" t="inlineStr">
        <is>
          <t>SG-2607</t>
        </is>
      </c>
      <c r="B108" s="25" t="inlineStr">
        <is>
          <t>Brosse à dents</t>
        </is>
      </c>
      <c r="C108" s="24" t="inlineStr">
        <is>
          <t>Adulte</t>
        </is>
      </c>
      <c r="D108" s="26" t="inlineStr">
        <is>
          <t>Rotative / oscillante</t>
        </is>
      </c>
      <c r="E108" s="24" t="inlineStr">
        <is>
          <t>8000</t>
        </is>
      </c>
      <c r="F108" s="24" t="n">
        <v>5</v>
      </c>
      <c r="G108" s="24" t="n">
        <v>21</v>
      </c>
      <c r="H108" s="25" t="inlineStr">
        <is>
          <t>Batterie Li-ion rechargeable</t>
        </is>
      </c>
      <c r="I108" s="24" t="inlineStr">
        <is>
          <t>IPX7</t>
        </is>
      </c>
      <c r="J108" s="24" t="inlineStr">
        <is>
          <t>Non</t>
        </is>
      </c>
      <c r="K108" s="26" t="inlineStr">
        <is>
          <t>Xiaomi Oscillation Electric Toothbrush BHR9809GL</t>
        </is>
      </c>
      <c r="L108" s="27" t="n">
        <v>20000</v>
      </c>
      <c r="M108" s="28" t="inlineStr">
        <is>
          <t>XOF</t>
        </is>
      </c>
      <c r="N108" s="27" t="n">
        <v>30000</v>
      </c>
      <c r="O108" s="29" t="inlineStr">
        <is>
          <t>EAS CI</t>
        </is>
      </c>
      <c r="P108" s="28" t="inlineStr">
        <is>
          <t>CI</t>
        </is>
      </c>
      <c r="Q108" s="33" t="inlineStr">
        <is>
          <t>https://www.eas.ci/product/brosse-a-dents-electrique-oscillante-xiaomi-bhr9809gl-bleu/</t>
        </is>
      </c>
      <c r="R108" s="21" t="n">
        <v>0.3</v>
      </c>
      <c r="S108" s="22">
        <f>IF(L108="","",MAX('Sélection 10'!$B$8,MROUND(ROUND(L108*IF(M108="EUR",'Sélection 10'!$B$5,IF(M108="USD",'Sélection 10'!$B$5/'Sélection 10'!$B$6,1))*(1-R108),0),500)))</f>
        <v/>
      </c>
      <c r="T108" s="34" t="n">
        <v>62</v>
      </c>
    </row>
    <row r="109">
      <c r="A109" s="13" t="inlineStr">
        <is>
          <t>SG-2606</t>
        </is>
      </c>
      <c r="B109" s="13" t="inlineStr">
        <is>
          <t>Brosse à dents</t>
        </is>
      </c>
      <c r="C109" s="12" t="inlineStr">
        <is>
          <t>Adulte</t>
        </is>
      </c>
      <c r="D109" s="14" t="inlineStr">
        <is>
          <t>Rotative / oscillante</t>
        </is>
      </c>
      <c r="E109" s="12" t="inlineStr">
        <is>
          <t>6000</t>
        </is>
      </c>
      <c r="F109" s="15" t="inlineStr">
        <is>
          <t>N/D</t>
        </is>
      </c>
      <c r="G109" s="12" t="n">
        <v>60</v>
      </c>
      <c r="H109" s="13" t="inlineStr">
        <is>
          <t>Piles (2x AA)</t>
        </is>
      </c>
      <c r="I109" s="12" t="inlineStr">
        <is>
          <t>IPX6</t>
        </is>
      </c>
      <c r="J109" s="12" t="inlineStr">
        <is>
          <t>Non</t>
        </is>
      </c>
      <c r="K109" s="14" t="inlineStr">
        <is>
          <t>Colgate 360 Advanced à piles (remplace la ProClinical 150)</t>
        </is>
      </c>
      <c r="L109" s="16" t="n">
        <v>8.84</v>
      </c>
      <c r="M109" s="17" t="inlineStr">
        <is>
          <t>USD</t>
        </is>
      </c>
      <c r="N109" s="18" t="inlineStr">
        <is>
          <t>N/D</t>
        </is>
      </c>
      <c r="O109" s="19" t="inlineStr">
        <is>
          <t>Walmart (US)</t>
        </is>
      </c>
      <c r="P109" s="17" t="inlineStr">
        <is>
          <t>International</t>
        </is>
      </c>
      <c r="Q109" s="36" t="inlineStr">
        <is>
          <t>https://www.walmart.com/ip/Colgate-360-Advanced-Battery-Powered-Toothbrush-w-Cheek-Tongue-cleaner/21949532</t>
        </is>
      </c>
      <c r="R109" s="21" t="n">
        <v>0.55</v>
      </c>
      <c r="S109" s="22">
        <f>IF(L109="","",MAX('Sélection 10'!$B$8,MROUND(ROUND(L109*IF(M109="EUR",'Sélection 10'!$B$5,IF(M109="USD",'Sélection 10'!$B$5/'Sélection 10'!$B$6,1))*(1-R109),0),500)))</f>
        <v/>
      </c>
      <c r="T109" s="35" t="n">
        <v>62</v>
      </c>
    </row>
    <row r="110">
      <c r="A110" s="25" t="inlineStr">
        <is>
          <t>SG-2603</t>
        </is>
      </c>
      <c r="B110" s="25" t="inlineStr">
        <is>
          <t>Brosse à dents</t>
        </is>
      </c>
      <c r="C110" s="24" t="inlineStr">
        <is>
          <t>Adulte</t>
        </is>
      </c>
      <c r="D110" s="26" t="inlineStr">
        <is>
          <t>Rotative / oscillante</t>
        </is>
      </c>
      <c r="E110" s="24" t="inlineStr">
        <is>
          <t>8000</t>
        </is>
      </c>
      <c r="F110" s="24" t="n">
        <v>5</v>
      </c>
      <c r="G110" s="24" t="n">
        <v>30</v>
      </c>
      <c r="H110" s="25" t="inlineStr">
        <is>
          <t>Batterie Li-ion rechargeable</t>
        </is>
      </c>
      <c r="I110" s="24" t="inlineStr">
        <is>
          <t>IPX6</t>
        </is>
      </c>
      <c r="J110" s="24" t="inlineStr">
        <is>
          <t>Non</t>
        </is>
      </c>
      <c r="K110" s="26" t="inlineStr">
        <is>
          <t>Xiaomi Oscillation Electric Toothbrush BHR9809GL</t>
        </is>
      </c>
      <c r="L110" s="27" t="n">
        <v>20000</v>
      </c>
      <c r="M110" s="28" t="inlineStr">
        <is>
          <t>XOF</t>
        </is>
      </c>
      <c r="N110" s="27" t="n">
        <v>30000</v>
      </c>
      <c r="O110" s="29" t="inlineStr">
        <is>
          <t>EAS CI</t>
        </is>
      </c>
      <c r="P110" s="28" t="inlineStr">
        <is>
          <t>CI</t>
        </is>
      </c>
      <c r="Q110" s="33" t="inlineStr">
        <is>
          <t>https://www.eas.ci/product/brosse-a-dents-electrique-oscillante-xiaomi-bhr9809gl-bleu/</t>
        </is>
      </c>
      <c r="R110" s="21" t="n">
        <v>0.3</v>
      </c>
      <c r="S110" s="22">
        <f>IF(L110="","",MAX('Sélection 10'!$B$8,MROUND(ROUND(L110*IF(M110="EUR",'Sélection 10'!$B$5,IF(M110="USD",'Sélection 10'!$B$5/'Sélection 10'!$B$6,1))*(1-R110),0),500)))</f>
        <v/>
      </c>
      <c r="T110" s="34" t="n">
        <v>63</v>
      </c>
    </row>
    <row r="111">
      <c r="A111" s="13" t="inlineStr">
        <is>
          <t>SG-930</t>
        </is>
      </c>
      <c r="B111" s="13" t="inlineStr">
        <is>
          <t>Brosse à dents</t>
        </is>
      </c>
      <c r="C111" s="12" t="inlineStr">
        <is>
          <t>Enfant</t>
        </is>
      </c>
      <c r="D111" s="14" t="inlineStr">
        <is>
          <t>Rotative / oscillante</t>
        </is>
      </c>
      <c r="E111" s="12" t="inlineStr">
        <is>
          <t>16000</t>
        </is>
      </c>
      <c r="F111" s="15" t="inlineStr">
        <is>
          <t>N/D</t>
        </is>
      </c>
      <c r="G111" s="12" t="n">
        <v>60</v>
      </c>
      <c r="H111" s="13" t="inlineStr">
        <is>
          <t>Piles (2x AAA)</t>
        </is>
      </c>
      <c r="I111" s="12" t="inlineStr">
        <is>
          <t>IPX6</t>
        </is>
      </c>
      <c r="J111" s="12" t="inlineStr">
        <is>
          <t>Non</t>
        </is>
      </c>
      <c r="K111" s="14" t="inlineStr">
        <is>
          <t>Oral-B Kids Battery Disney (Frozen / Princess)</t>
        </is>
      </c>
      <c r="L111" s="16" t="n">
        <v>7.97</v>
      </c>
      <c r="M111" s="17" t="inlineStr">
        <is>
          <t>USD</t>
        </is>
      </c>
      <c r="N111" s="18" t="inlineStr">
        <is>
          <t>N/D</t>
        </is>
      </c>
      <c r="O111" s="19" t="inlineStr">
        <is>
          <t>Walmart (US)</t>
        </is>
      </c>
      <c r="P111" s="17" t="inlineStr">
        <is>
          <t>International</t>
        </is>
      </c>
      <c r="Q111" s="36" t="inlineStr">
        <is>
          <t>https://www.walmart.com/ip/Oral-B-Kid-s-Battery-Toothbrush-featuring-Disney-Princess-for-Kids-3/562547696</t>
        </is>
      </c>
      <c r="R111" s="21" t="n">
        <v>0.55</v>
      </c>
      <c r="S111" s="22">
        <f>IF(L111="","",MAX('Sélection 10'!$B$8,MROUND(ROUND(L111*IF(M111="EUR",'Sélection 10'!$B$5,IF(M111="USD",'Sélection 10'!$B$5/'Sélection 10'!$B$6,1))*(1-R111),0),500)))</f>
        <v/>
      </c>
      <c r="T111" s="35" t="n">
        <v>64</v>
      </c>
    </row>
    <row r="112">
      <c r="A112" s="25" t="inlineStr">
        <is>
          <t>SG-533</t>
        </is>
      </c>
      <c r="B112" s="25" t="inlineStr">
        <is>
          <t>Brosse à dents</t>
        </is>
      </c>
      <c r="C112" s="24" t="inlineStr">
        <is>
          <t>Adulte</t>
        </is>
      </c>
      <c r="D112" s="26" t="inlineStr">
        <is>
          <t>Rotative / oscillante</t>
        </is>
      </c>
      <c r="E112" s="24" t="inlineStr">
        <is>
          <t>9000</t>
        </is>
      </c>
      <c r="F112" s="32" t="inlineStr">
        <is>
          <t>N/D</t>
        </is>
      </c>
      <c r="G112" s="24" t="n">
        <v>75</v>
      </c>
      <c r="H112" s="25" t="inlineStr">
        <is>
          <t>Piles (2x AA)</t>
        </is>
      </c>
      <c r="I112" s="24" t="inlineStr">
        <is>
          <t>IPX6</t>
        </is>
      </c>
      <c r="J112" s="24" t="inlineStr">
        <is>
          <t>Non</t>
        </is>
      </c>
      <c r="K112" s="26" t="inlineStr">
        <is>
          <t>Colgate 360 Advanced à piles (remplace la ProClinical 150)</t>
        </is>
      </c>
      <c r="L112" s="16" t="n">
        <v>8.84</v>
      </c>
      <c r="M112" s="17" t="inlineStr">
        <is>
          <t>USD</t>
        </is>
      </c>
      <c r="N112" s="18" t="inlineStr">
        <is>
          <t>N/D</t>
        </is>
      </c>
      <c r="O112" s="19" t="inlineStr">
        <is>
          <t>Walmart (US)</t>
        </is>
      </c>
      <c r="P112" s="17" t="inlineStr">
        <is>
          <t>International</t>
        </is>
      </c>
      <c r="Q112" s="36" t="inlineStr">
        <is>
          <t>https://www.walmart.com/ip/Colgate-360-Advanced-Battery-Powered-Toothbrush-w-Cheek-Tongue-cleaner/21949532</t>
        </is>
      </c>
      <c r="R112" s="21" t="n">
        <v>0.55</v>
      </c>
      <c r="S112" s="22">
        <f>IF(L112="","",MAX('Sélection 10'!$B$8,MROUND(ROUND(L112*IF(M112="EUR",'Sélection 10'!$B$5,IF(M112="USD",'Sélection 10'!$B$5/'Sélection 10'!$B$6,1))*(1-R112),0),500)))</f>
        <v/>
      </c>
      <c r="T112" s="34" t="n">
        <v>64</v>
      </c>
    </row>
    <row r="113">
      <c r="A113" s="13" t="inlineStr">
        <is>
          <t>SG-587</t>
        </is>
      </c>
      <c r="B113" s="13" t="inlineStr">
        <is>
          <t>Brosse à dents</t>
        </is>
      </c>
      <c r="C113" s="12" t="inlineStr">
        <is>
          <t>Enfant</t>
        </is>
      </c>
      <c r="D113" s="14" t="inlineStr">
        <is>
          <t>Rotative / oscillante</t>
        </is>
      </c>
      <c r="E113" s="12" t="inlineStr">
        <is>
          <t>16000</t>
        </is>
      </c>
      <c r="F113" s="15" t="inlineStr">
        <is>
          <t>N/D</t>
        </is>
      </c>
      <c r="G113" s="12" t="n">
        <v>40</v>
      </c>
      <c r="H113" s="13" t="inlineStr">
        <is>
          <t>Piles (2x AAA)</t>
        </is>
      </c>
      <c r="I113" s="12" t="inlineStr">
        <is>
          <t>IPX6</t>
        </is>
      </c>
      <c r="J113" s="12" t="inlineStr">
        <is>
          <t>Non</t>
        </is>
      </c>
      <c r="K113" s="14" t="inlineStr">
        <is>
          <t>Oral-B Kids Battery Disney (Frozen / Princess)</t>
        </is>
      </c>
      <c r="L113" s="16" t="n">
        <v>7.97</v>
      </c>
      <c r="M113" s="17" t="inlineStr">
        <is>
          <t>USD</t>
        </is>
      </c>
      <c r="N113" s="18" t="inlineStr">
        <is>
          <t>N/D</t>
        </is>
      </c>
      <c r="O113" s="19" t="inlineStr">
        <is>
          <t>Walmart (US)</t>
        </is>
      </c>
      <c r="P113" s="17" t="inlineStr">
        <is>
          <t>International</t>
        </is>
      </c>
      <c r="Q113" s="36" t="inlineStr">
        <is>
          <t>https://www.walmart.com/ip/Oral-B-Kid-s-Battery-Toothbrush-featuring-Disney-Princess-for-Kids-3/562547696</t>
        </is>
      </c>
      <c r="R113" s="21" t="n">
        <v>0.55</v>
      </c>
      <c r="S113" s="22">
        <f>IF(L113="","",MAX('Sélection 10'!$B$8,MROUND(ROUND(L113*IF(M113="EUR",'Sélection 10'!$B$5,IF(M113="USD",'Sélection 10'!$B$5/'Sélection 10'!$B$6,1))*(1-R113),0),500)))</f>
        <v/>
      </c>
      <c r="T113" s="35" t="n">
        <v>65</v>
      </c>
    </row>
    <row r="114">
      <c r="A114" s="25" t="inlineStr">
        <is>
          <t>SG-2602</t>
        </is>
      </c>
      <c r="B114" s="25" t="inlineStr">
        <is>
          <t>Brosse à dents</t>
        </is>
      </c>
      <c r="C114" s="24" t="inlineStr">
        <is>
          <t>Enfant</t>
        </is>
      </c>
      <c r="D114" s="26" t="inlineStr">
        <is>
          <t>Rotative / oscillante</t>
        </is>
      </c>
      <c r="E114" s="24" t="inlineStr">
        <is>
          <t>16000</t>
        </is>
      </c>
      <c r="F114" s="32" t="inlineStr">
        <is>
          <t>N/D</t>
        </is>
      </c>
      <c r="G114" s="24" t="n">
        <v>40</v>
      </c>
      <c r="H114" s="25" t="inlineStr">
        <is>
          <t>Piles (2x AAA)</t>
        </is>
      </c>
      <c r="I114" s="24" t="inlineStr">
        <is>
          <t>IPX6</t>
        </is>
      </c>
      <c r="J114" s="24" t="inlineStr">
        <is>
          <t>Non</t>
        </is>
      </c>
      <c r="K114" s="26" t="inlineStr">
        <is>
          <t>Oral-B Kids Battery Disney (Frozen / Princess)</t>
        </is>
      </c>
      <c r="L114" s="16" t="n">
        <v>7.97</v>
      </c>
      <c r="M114" s="17" t="inlineStr">
        <is>
          <t>USD</t>
        </is>
      </c>
      <c r="N114" s="18" t="inlineStr">
        <is>
          <t>N/D</t>
        </is>
      </c>
      <c r="O114" s="19" t="inlineStr">
        <is>
          <t>Walmart (US)</t>
        </is>
      </c>
      <c r="P114" s="17" t="inlineStr">
        <is>
          <t>International</t>
        </is>
      </c>
      <c r="Q114" s="36" t="inlineStr">
        <is>
          <t>https://www.walmart.com/ip/Oral-B-Kid-s-Battery-Toothbrush-featuring-Disney-Princess-for-Kids-3/562547696</t>
        </is>
      </c>
      <c r="R114" s="21" t="n">
        <v>0.55</v>
      </c>
      <c r="S114" s="22">
        <f>IF(L114="","",MAX('Sélection 10'!$B$8,MROUND(ROUND(L114*IF(M114="EUR",'Sélection 10'!$B$5,IF(M114="USD",'Sélection 10'!$B$5/'Sélection 10'!$B$6,1))*(1-R114),0),500)))</f>
        <v/>
      </c>
      <c r="T114" s="34" t="n">
        <v>65</v>
      </c>
    </row>
    <row r="115">
      <c r="A115" s="13" t="inlineStr">
        <is>
          <t>SG-2004</t>
        </is>
      </c>
      <c r="B115" s="13" t="inlineStr">
        <is>
          <t>Brosse à dents</t>
        </is>
      </c>
      <c r="C115" s="12" t="inlineStr">
        <is>
          <t>Adulte</t>
        </is>
      </c>
      <c r="D115" s="14" t="inlineStr">
        <is>
          <t>Rotative / oscillante</t>
        </is>
      </c>
      <c r="E115" s="12" t="inlineStr">
        <is>
          <t>6000</t>
        </is>
      </c>
      <c r="F115" s="15" t="inlineStr">
        <is>
          <t>N/D</t>
        </is>
      </c>
      <c r="G115" s="12" t="n">
        <v>75</v>
      </c>
      <c r="H115" s="13" t="inlineStr">
        <is>
          <t>Piles (2x AA)</t>
        </is>
      </c>
      <c r="I115" s="12" t="inlineStr">
        <is>
          <t>IPX6</t>
        </is>
      </c>
      <c r="J115" s="12" t="inlineStr">
        <is>
          <t>Non</t>
        </is>
      </c>
      <c r="K115" s="14" t="inlineStr">
        <is>
          <t>Colgate 360 Advanced à piles (remplace la ProClinical 150)</t>
        </is>
      </c>
      <c r="L115" s="16" t="n">
        <v>8.84</v>
      </c>
      <c r="M115" s="17" t="inlineStr">
        <is>
          <t>USD</t>
        </is>
      </c>
      <c r="N115" s="18" t="inlineStr">
        <is>
          <t>N/D</t>
        </is>
      </c>
      <c r="O115" s="19" t="inlineStr">
        <is>
          <t>Walmart (US)</t>
        </is>
      </c>
      <c r="P115" s="17" t="inlineStr">
        <is>
          <t>International</t>
        </is>
      </c>
      <c r="Q115" s="36" t="inlineStr">
        <is>
          <t>https://www.walmart.com/ip/Colgate-360-Advanced-Battery-Powered-Toothbrush-w-Cheek-Tongue-cleaner/21949532</t>
        </is>
      </c>
      <c r="R115" s="21" t="n">
        <v>0.55</v>
      </c>
      <c r="S115" s="22">
        <f>IF(L115="","",MAX('Sélection 10'!$B$8,MROUND(ROUND(L115*IF(M115="EUR",'Sélection 10'!$B$5,IF(M115="USD",'Sélection 10'!$B$5/'Sélection 10'!$B$6,1))*(1-R115),0),500)))</f>
        <v/>
      </c>
      <c r="T115" s="35" t="n">
        <v>66</v>
      </c>
    </row>
    <row r="116">
      <c r="A116" s="25" t="inlineStr">
        <is>
          <t>SG-913B</t>
        </is>
      </c>
      <c r="B116" s="25" t="inlineStr">
        <is>
          <t>Brosse à dents</t>
        </is>
      </c>
      <c r="C116" s="24" t="inlineStr">
        <is>
          <t>Adulte</t>
        </is>
      </c>
      <c r="D116" s="26" t="inlineStr">
        <is>
          <t>Rotative / oscillante</t>
        </is>
      </c>
      <c r="E116" s="24" t="inlineStr">
        <is>
          <t>8800</t>
        </is>
      </c>
      <c r="F116" s="24" t="n">
        <v>4</v>
      </c>
      <c r="G116" s="24" t="n">
        <v>21</v>
      </c>
      <c r="H116" s="25" t="inlineStr">
        <is>
          <t>Batterie Li-ion rechargeable</t>
        </is>
      </c>
      <c r="I116" s="24" t="inlineStr">
        <is>
          <t>IPX6</t>
        </is>
      </c>
      <c r="J116" s="24" t="inlineStr">
        <is>
          <t>Non</t>
        </is>
      </c>
      <c r="K116" s="26" t="inlineStr">
        <is>
          <t>Xiaomi Oscillation Electric Toothbrush BHR9809GL</t>
        </is>
      </c>
      <c r="L116" s="27" t="n">
        <v>20000</v>
      </c>
      <c r="M116" s="28" t="inlineStr">
        <is>
          <t>XOF</t>
        </is>
      </c>
      <c r="N116" s="27" t="n">
        <v>30000</v>
      </c>
      <c r="O116" s="29" t="inlineStr">
        <is>
          <t>EAS CI</t>
        </is>
      </c>
      <c r="P116" s="28" t="inlineStr">
        <is>
          <t>CI</t>
        </is>
      </c>
      <c r="Q116" s="33" t="inlineStr">
        <is>
          <t>https://www.eas.ci/product/brosse-a-dents-electrique-oscillante-xiaomi-bhr9809gl-bleu/</t>
        </is>
      </c>
      <c r="R116" s="21" t="n">
        <v>0.3</v>
      </c>
      <c r="S116" s="22">
        <f>IF(L116="","",MAX('Sélection 10'!$B$8,MROUND(ROUND(L116*IF(M116="EUR",'Sélection 10'!$B$5,IF(M116="USD",'Sélection 10'!$B$5/'Sélection 10'!$B$6,1))*(1-R116),0),500)))</f>
        <v/>
      </c>
      <c r="T116" s="34" t="n">
        <v>66</v>
      </c>
    </row>
    <row r="117">
      <c r="A117" s="13" t="inlineStr">
        <is>
          <t>SG-913A</t>
        </is>
      </c>
      <c r="B117" s="13" t="inlineStr">
        <is>
          <t>Brosse à dents</t>
        </is>
      </c>
      <c r="C117" s="12" t="inlineStr">
        <is>
          <t>Adulte</t>
        </is>
      </c>
      <c r="D117" s="14" t="inlineStr">
        <is>
          <t>Rotative / oscillante</t>
        </is>
      </c>
      <c r="E117" s="12" t="inlineStr">
        <is>
          <t>8800</t>
        </is>
      </c>
      <c r="F117" s="12" t="n">
        <v>4</v>
      </c>
      <c r="G117" s="12" t="n">
        <v>21</v>
      </c>
      <c r="H117" s="13" t="inlineStr">
        <is>
          <t>Batterie Li-ion rechargeable</t>
        </is>
      </c>
      <c r="I117" s="12" t="inlineStr">
        <is>
          <t>IPX6</t>
        </is>
      </c>
      <c r="J117" s="12" t="inlineStr">
        <is>
          <t>Non</t>
        </is>
      </c>
      <c r="K117" s="14" t="inlineStr">
        <is>
          <t>Xiaomi Oscillation Electric Toothbrush BHR9809GL</t>
        </is>
      </c>
      <c r="L117" s="27" t="n">
        <v>20000</v>
      </c>
      <c r="M117" s="28" t="inlineStr">
        <is>
          <t>XOF</t>
        </is>
      </c>
      <c r="N117" s="27" t="n">
        <v>30000</v>
      </c>
      <c r="O117" s="29" t="inlineStr">
        <is>
          <t>EAS CI</t>
        </is>
      </c>
      <c r="P117" s="28" t="inlineStr">
        <is>
          <t>CI</t>
        </is>
      </c>
      <c r="Q117" s="33" t="inlineStr">
        <is>
          <t>https://www.eas.ci/product/brosse-a-dents-electrique-oscillante-xiaomi-bhr9809gl-bleu/</t>
        </is>
      </c>
      <c r="R117" s="21" t="n">
        <v>0.3</v>
      </c>
      <c r="S117" s="22">
        <f>IF(L117="","",MAX('Sélection 10'!$B$8,MROUND(ROUND(L117*IF(M117="EUR",'Sélection 10'!$B$5,IF(M117="USD",'Sélection 10'!$B$5/'Sélection 10'!$B$6,1))*(1-R117),0),500)))</f>
        <v/>
      </c>
      <c r="T117" s="35" t="n">
        <v>67</v>
      </c>
    </row>
    <row r="118">
      <c r="A118" s="25" t="inlineStr">
        <is>
          <t>SG-8026</t>
        </is>
      </c>
      <c r="B118" s="25" t="inlineStr">
        <is>
          <t>Hydropulseur</t>
        </is>
      </c>
      <c r="C118" s="24" t="inlineStr">
        <is>
          <t>Adulte</t>
        </is>
      </c>
      <c r="D118" s="26" t="inlineStr">
        <is>
          <t>Portable (sans fil)</t>
        </is>
      </c>
      <c r="E118" s="24" t="inlineStr">
        <is>
          <t>réservoir 350 mL</t>
        </is>
      </c>
      <c r="F118" s="24" t="n">
        <v>4</v>
      </c>
      <c r="G118" s="32" t="inlineStr">
        <is>
          <t>N/D</t>
        </is>
      </c>
      <c r="H118" s="25" t="inlineStr">
        <is>
          <t>Type-C</t>
        </is>
      </c>
      <c r="I118" s="24" t="inlineStr">
        <is>
          <t>IPX7</t>
        </is>
      </c>
      <c r="J118" s="32" t="inlineStr">
        <is>
          <t>N/D</t>
        </is>
      </c>
      <c r="K118" s="26" t="inlineStr">
        <is>
          <t>Generic Kit brosse à dents + nettoyeur dentaire intégrés</t>
        </is>
      </c>
      <c r="L118" s="27" t="n">
        <v>6930</v>
      </c>
      <c r="M118" s="28" t="inlineStr">
        <is>
          <t>XOF</t>
        </is>
      </c>
      <c r="N118" s="27" t="n">
        <v>13041</v>
      </c>
      <c r="O118" s="29" t="inlineStr">
        <is>
          <t>Jumia CI</t>
        </is>
      </c>
      <c r="P118" s="28" t="inlineStr">
        <is>
          <t>CI</t>
        </is>
      </c>
      <c r="Q118" s="33" t="inlineStr">
        <is>
          <t>https://www.jumia.ci/generic-kit-de-nettoyage-dentaire-brosse-a-dents-et-nettoyeur-dentaire-integres-32120678.html</t>
        </is>
      </c>
      <c r="R118" s="21" t="n">
        <v>0</v>
      </c>
      <c r="S118" s="22">
        <f>IF(L118="","",MAX('Sélection 10'!$B$8,MROUND(ROUND(L118*IF(M118="EUR",'Sélection 10'!$B$5,IF(M118="USD",'Sélection 10'!$B$5/'Sélection 10'!$B$6,1))*(1-R118),0),500)))</f>
        <v/>
      </c>
      <c r="T118" s="34" t="n">
        <v>6</v>
      </c>
    </row>
    <row r="119">
      <c r="A119" s="13" t="inlineStr">
        <is>
          <t>SG-8020</t>
        </is>
      </c>
      <c r="B119" s="13" t="inlineStr">
        <is>
          <t>Hydropulseur</t>
        </is>
      </c>
      <c r="C119" s="12" t="inlineStr">
        <is>
          <t>Adulte</t>
        </is>
      </c>
      <c r="D119" s="14" t="inlineStr">
        <is>
          <t>Sur socle (plan de travail)</t>
        </is>
      </c>
      <c r="E119" s="12" t="inlineStr">
        <is>
          <t>réservoir 500 mL</t>
        </is>
      </c>
      <c r="F119" s="12" t="n">
        <v>4</v>
      </c>
      <c r="G119" s="15" t="inlineStr">
        <is>
          <t>N/D</t>
        </is>
      </c>
      <c r="H119" s="13" t="inlineStr">
        <is>
          <t>USB</t>
        </is>
      </c>
      <c r="I119" s="12" t="inlineStr">
        <is>
          <t>IPX7</t>
        </is>
      </c>
      <c r="J119" s="15" t="inlineStr">
        <is>
          <t>N/D</t>
        </is>
      </c>
      <c r="K119" s="14" t="inlineStr">
        <is>
          <t>Generic Kit brosse à dents + nettoyeur dentaire intégrés</t>
        </is>
      </c>
      <c r="L119" s="27" t="n">
        <v>6930</v>
      </c>
      <c r="M119" s="28" t="inlineStr">
        <is>
          <t>XOF</t>
        </is>
      </c>
      <c r="N119" s="27" t="n">
        <v>13041</v>
      </c>
      <c r="O119" s="29" t="inlineStr">
        <is>
          <t>Jumia CI</t>
        </is>
      </c>
      <c r="P119" s="28" t="inlineStr">
        <is>
          <t>CI</t>
        </is>
      </c>
      <c r="Q119" s="33" t="inlineStr">
        <is>
          <t>https://www.jumia.ci/generic-kit-de-nettoyage-dentaire-brosse-a-dents-et-nettoyeur-dentaire-integres-32120678.html</t>
        </is>
      </c>
      <c r="R119" s="21" t="n">
        <v>0</v>
      </c>
      <c r="S119" s="22">
        <f>IF(L119="","",MAX('Sélection 10'!$B$8,MROUND(ROUND(L119*IF(M119="EUR",'Sélection 10'!$B$5,IF(M119="USD",'Sélection 10'!$B$5/'Sélection 10'!$B$6,1))*(1-R119),0),500)))</f>
        <v/>
      </c>
      <c r="T119" s="35" t="n">
        <v>95</v>
      </c>
    </row>
    <row r="120">
      <c r="A120" s="25" t="inlineStr">
        <is>
          <t>SG-8023</t>
        </is>
      </c>
      <c r="B120" s="25" t="inlineStr">
        <is>
          <t>Hydropulseur</t>
        </is>
      </c>
      <c r="C120" s="24" t="inlineStr">
        <is>
          <t>Adulte</t>
        </is>
      </c>
      <c r="D120" s="26" t="inlineStr">
        <is>
          <t>Portable (sans fil)</t>
        </is>
      </c>
      <c r="E120" s="24" t="inlineStr">
        <is>
          <t>réservoir 350 mL</t>
        </is>
      </c>
      <c r="F120" s="24" t="n">
        <v>4</v>
      </c>
      <c r="G120" s="32" t="inlineStr">
        <is>
          <t>N/D</t>
        </is>
      </c>
      <c r="H120" s="25" t="inlineStr">
        <is>
          <t>Type-C</t>
        </is>
      </c>
      <c r="I120" s="24" t="inlineStr">
        <is>
          <t>IPX7</t>
        </is>
      </c>
      <c r="J120" s="32" t="inlineStr">
        <is>
          <t>N/D</t>
        </is>
      </c>
      <c r="K120" s="26" t="inlineStr">
        <is>
          <t>Generic Kit brosse à dents + nettoyeur dentaire intégrés</t>
        </is>
      </c>
      <c r="L120" s="27" t="n">
        <v>6930</v>
      </c>
      <c r="M120" s="28" t="inlineStr">
        <is>
          <t>XOF</t>
        </is>
      </c>
      <c r="N120" s="27" t="n">
        <v>13041</v>
      </c>
      <c r="O120" s="29" t="inlineStr">
        <is>
          <t>Jumia CI</t>
        </is>
      </c>
      <c r="P120" s="28" t="inlineStr">
        <is>
          <t>CI</t>
        </is>
      </c>
      <c r="Q120" s="33" t="inlineStr">
        <is>
          <t>https://www.jumia.ci/generic-kit-de-nettoyage-dentaire-brosse-a-dents-et-nettoyeur-dentaire-integres-32120678.html</t>
        </is>
      </c>
      <c r="R120" s="21" t="n">
        <v>0</v>
      </c>
      <c r="S120" s="22">
        <f>IF(L120="","",MAX('Sélection 10'!$B$8,MROUND(ROUND(L120*IF(M120="EUR",'Sélection 10'!$B$5,IF(M120="USD",'Sélection 10'!$B$5/'Sélection 10'!$B$6,1))*(1-R120),0),500)))</f>
        <v/>
      </c>
      <c r="T120" s="34" t="n">
        <v>95</v>
      </c>
    </row>
    <row r="121">
      <c r="A121" s="13" t="inlineStr">
        <is>
          <t>SG-8003</t>
        </is>
      </c>
      <c r="B121" s="13" t="inlineStr">
        <is>
          <t>Hydropulseur</t>
        </is>
      </c>
      <c r="C121" s="12" t="inlineStr">
        <is>
          <t>Adulte</t>
        </is>
      </c>
      <c r="D121" s="14" t="inlineStr">
        <is>
          <t>Portable pliable (voyage)</t>
        </is>
      </c>
      <c r="E121" s="12" t="inlineStr">
        <is>
          <t>réservoir 175 mL</t>
        </is>
      </c>
      <c r="F121" s="12" t="n">
        <v>3</v>
      </c>
      <c r="G121" s="15" t="inlineStr">
        <is>
          <t>N/D</t>
        </is>
      </c>
      <c r="H121" s="13" t="inlineStr">
        <is>
          <t>Magnétique</t>
        </is>
      </c>
      <c r="I121" s="12" t="inlineStr">
        <is>
          <t>IPX7</t>
        </is>
      </c>
      <c r="J121" s="15" t="inlineStr">
        <is>
          <t>N/D</t>
        </is>
      </c>
      <c r="K121" s="14" t="inlineStr">
        <is>
          <t>Generic Kit brosse à dents + nettoyeur dentaire intégrés</t>
        </is>
      </c>
      <c r="L121" s="27" t="n">
        <v>6930</v>
      </c>
      <c r="M121" s="28" t="inlineStr">
        <is>
          <t>XOF</t>
        </is>
      </c>
      <c r="N121" s="27" t="n">
        <v>13041</v>
      </c>
      <c r="O121" s="29" t="inlineStr">
        <is>
          <t>Jumia CI</t>
        </is>
      </c>
      <c r="P121" s="28" t="inlineStr">
        <is>
          <t>CI</t>
        </is>
      </c>
      <c r="Q121" s="33" t="inlineStr">
        <is>
          <t>https://www.jumia.ci/generic-kit-de-nettoyage-dentaire-brosse-a-dents-et-nettoyeur-dentaire-integres-32120678.html</t>
        </is>
      </c>
      <c r="R121" s="21" t="n">
        <v>0</v>
      </c>
      <c r="S121" s="22">
        <f>IF(L121="","",MAX('Sélection 10'!$B$8,MROUND(ROUND(L121*IF(M121="EUR",'Sélection 10'!$B$5,IF(M121="USD",'Sélection 10'!$B$5/'Sélection 10'!$B$6,1))*(1-R121),0),500)))</f>
        <v/>
      </c>
      <c r="T121" s="35" t="n">
        <v>96</v>
      </c>
    </row>
    <row r="122">
      <c r="A122" s="25" t="inlineStr">
        <is>
          <t>SG-8019</t>
        </is>
      </c>
      <c r="B122" s="25" t="inlineStr">
        <is>
          <t>Hydropulseur</t>
        </is>
      </c>
      <c r="C122" s="24" t="inlineStr">
        <is>
          <t>Adulte</t>
        </is>
      </c>
      <c r="D122" s="26" t="inlineStr">
        <is>
          <t>Portable (sans fil)</t>
        </is>
      </c>
      <c r="E122" s="24" t="inlineStr">
        <is>
          <t>réservoir 290 mL</t>
        </is>
      </c>
      <c r="F122" s="24" t="n">
        <v>5</v>
      </c>
      <c r="G122" s="32" t="inlineStr">
        <is>
          <t>N/D</t>
        </is>
      </c>
      <c r="H122" s="25" t="inlineStr">
        <is>
          <t>USB (port DC)</t>
        </is>
      </c>
      <c r="I122" s="24" t="inlineStr">
        <is>
          <t>IPX7</t>
        </is>
      </c>
      <c r="J122" s="32" t="inlineStr">
        <is>
          <t>N/D</t>
        </is>
      </c>
      <c r="K122" s="26" t="inlineStr">
        <is>
          <t>Generic Kit brosse à dents + nettoyeur dentaire intégrés</t>
        </is>
      </c>
      <c r="L122" s="27" t="n">
        <v>6930</v>
      </c>
      <c r="M122" s="28" t="inlineStr">
        <is>
          <t>XOF</t>
        </is>
      </c>
      <c r="N122" s="27" t="n">
        <v>13041</v>
      </c>
      <c r="O122" s="29" t="inlineStr">
        <is>
          <t>Jumia CI</t>
        </is>
      </c>
      <c r="P122" s="28" t="inlineStr">
        <is>
          <t>CI</t>
        </is>
      </c>
      <c r="Q122" s="33" t="inlineStr">
        <is>
          <t>https://www.jumia.ci/generic-kit-de-nettoyage-dentaire-brosse-a-dents-et-nettoyeur-dentaire-integres-32120678.html</t>
        </is>
      </c>
      <c r="R122" s="21" t="n">
        <v>0</v>
      </c>
      <c r="S122" s="22">
        <f>IF(L122="","",MAX('Sélection 10'!$B$8,MROUND(ROUND(L122*IF(M122="EUR",'Sélection 10'!$B$5,IF(M122="USD",'Sélection 10'!$B$5/'Sélection 10'!$B$6,1))*(1-R122),0),500)))</f>
        <v/>
      </c>
      <c r="T122" s="34" t="n">
        <v>96</v>
      </c>
    </row>
    <row r="123">
      <c r="A123" s="13" t="inlineStr">
        <is>
          <t>SG-833</t>
        </is>
      </c>
      <c r="B123" s="13" t="inlineStr">
        <is>
          <t>Hydropulseur</t>
        </is>
      </c>
      <c r="C123" s="12" t="inlineStr">
        <is>
          <t>Adulte</t>
        </is>
      </c>
      <c r="D123" s="14" t="inlineStr">
        <is>
          <t>Portable (sans fil)</t>
        </is>
      </c>
      <c r="E123" s="12" t="inlineStr">
        <is>
          <t>réservoir 260 mL</t>
        </is>
      </c>
      <c r="F123" s="12" t="n">
        <v>3</v>
      </c>
      <c r="G123" s="15" t="inlineStr">
        <is>
          <t>N/D</t>
        </is>
      </c>
      <c r="H123" s="13" t="inlineStr">
        <is>
          <t>USB (port DC)</t>
        </is>
      </c>
      <c r="I123" s="12" t="inlineStr">
        <is>
          <t>IPX7</t>
        </is>
      </c>
      <c r="J123" s="15" t="inlineStr">
        <is>
          <t>N/D</t>
        </is>
      </c>
      <c r="K123" s="14" t="inlineStr">
        <is>
          <t>Generic Kit brosse à dents + nettoyeur dentaire intégrés</t>
        </is>
      </c>
      <c r="L123" s="27" t="n">
        <v>6930</v>
      </c>
      <c r="M123" s="28" t="inlineStr">
        <is>
          <t>XOF</t>
        </is>
      </c>
      <c r="N123" s="27" t="n">
        <v>13041</v>
      </c>
      <c r="O123" s="29" t="inlineStr">
        <is>
          <t>Jumia CI</t>
        </is>
      </c>
      <c r="P123" s="28" t="inlineStr">
        <is>
          <t>CI</t>
        </is>
      </c>
      <c r="Q123" s="33" t="inlineStr">
        <is>
          <t>https://www.jumia.ci/generic-kit-de-nettoyage-dentaire-brosse-a-dents-et-nettoyeur-dentaire-integres-32120678.html</t>
        </is>
      </c>
      <c r="R123" s="21" t="n">
        <v>0</v>
      </c>
      <c r="S123" s="22">
        <f>IF(L123="","",MAX('Sélection 10'!$B$8,MROUND(ROUND(L123*IF(M123="EUR",'Sélection 10'!$B$5,IF(M123="USD",'Sélection 10'!$B$5/'Sélection 10'!$B$6,1))*(1-R123),0),500)))</f>
        <v/>
      </c>
      <c r="T123" s="35" t="n">
        <v>97</v>
      </c>
    </row>
    <row r="124">
      <c r="A124" s="25" t="inlineStr">
        <is>
          <t>SG-8001</t>
        </is>
      </c>
      <c r="B124" s="25" t="inlineStr">
        <is>
          <t>Hydropulseur</t>
        </is>
      </c>
      <c r="C124" s="24" t="inlineStr">
        <is>
          <t>Adulte</t>
        </is>
      </c>
      <c r="D124" s="26" t="inlineStr">
        <is>
          <t>Portable (sans fil)</t>
        </is>
      </c>
      <c r="E124" s="24" t="inlineStr">
        <is>
          <t>réservoir 180 mL</t>
        </is>
      </c>
      <c r="F124" s="24" t="n">
        <v>3</v>
      </c>
      <c r="G124" s="32" t="inlineStr">
        <is>
          <t>N/D</t>
        </is>
      </c>
      <c r="H124" s="25" t="inlineStr">
        <is>
          <t>USB (port DC)</t>
        </is>
      </c>
      <c r="I124" s="24" t="inlineStr">
        <is>
          <t>IPX7</t>
        </is>
      </c>
      <c r="J124" s="32" t="inlineStr">
        <is>
          <t>N/D</t>
        </is>
      </c>
      <c r="K124" s="26" t="inlineStr">
        <is>
          <t>Generic Kit brosse à dents + nettoyeur dentaire intégrés</t>
        </is>
      </c>
      <c r="L124" s="27" t="n">
        <v>6930</v>
      </c>
      <c r="M124" s="28" t="inlineStr">
        <is>
          <t>XOF</t>
        </is>
      </c>
      <c r="N124" s="27" t="n">
        <v>13041</v>
      </c>
      <c r="O124" s="29" t="inlineStr">
        <is>
          <t>Jumia CI</t>
        </is>
      </c>
      <c r="P124" s="28" t="inlineStr">
        <is>
          <t>CI</t>
        </is>
      </c>
      <c r="Q124" s="33" t="inlineStr">
        <is>
          <t>https://www.jumia.ci/generic-kit-de-nettoyage-dentaire-brosse-a-dents-et-nettoyeur-dentaire-integres-32120678.html</t>
        </is>
      </c>
      <c r="R124" s="21" t="n">
        <v>0</v>
      </c>
      <c r="S124" s="22">
        <f>IF(L124="","",MAX('Sélection 10'!$B$8,MROUND(ROUND(L124*IF(M124="EUR",'Sélection 10'!$B$5,IF(M124="USD",'Sélection 10'!$B$5/'Sélection 10'!$B$6,1))*(1-R124),0),500)))</f>
        <v/>
      </c>
      <c r="T124" s="34" t="n">
        <v>97</v>
      </c>
    </row>
    <row r="125">
      <c r="A125" s="13" t="inlineStr">
        <is>
          <t>SG-8009</t>
        </is>
      </c>
      <c r="B125" s="13" t="inlineStr">
        <is>
          <t>Hydropulseur</t>
        </is>
      </c>
      <c r="C125" s="12" t="inlineStr">
        <is>
          <t>Adulte</t>
        </is>
      </c>
      <c r="D125" s="14" t="inlineStr">
        <is>
          <t>Portable (sans fil)</t>
        </is>
      </c>
      <c r="E125" s="12" t="inlineStr">
        <is>
          <t>réservoir 230 mL</t>
        </is>
      </c>
      <c r="F125" s="12" t="n">
        <v>3</v>
      </c>
      <c r="G125" s="15" t="inlineStr">
        <is>
          <t>N/D</t>
        </is>
      </c>
      <c r="H125" s="13" t="inlineStr">
        <is>
          <t>USB</t>
        </is>
      </c>
      <c r="I125" s="12" t="inlineStr">
        <is>
          <t>IPX7</t>
        </is>
      </c>
      <c r="J125" s="15" t="inlineStr">
        <is>
          <t>N/D</t>
        </is>
      </c>
      <c r="K125" s="14" t="inlineStr">
        <is>
          <t>Generic Kit brosse à dents + nettoyeur dentaire intégrés</t>
        </is>
      </c>
      <c r="L125" s="27" t="n">
        <v>6930</v>
      </c>
      <c r="M125" s="28" t="inlineStr">
        <is>
          <t>XOF</t>
        </is>
      </c>
      <c r="N125" s="27" t="n">
        <v>13041</v>
      </c>
      <c r="O125" s="29" t="inlineStr">
        <is>
          <t>Jumia CI</t>
        </is>
      </c>
      <c r="P125" s="28" t="inlineStr">
        <is>
          <t>CI</t>
        </is>
      </c>
      <c r="Q125" s="33" t="inlineStr">
        <is>
          <t>https://www.jumia.ci/generic-kit-de-nettoyage-dentaire-brosse-a-dents-et-nettoyeur-dentaire-integres-32120678.html</t>
        </is>
      </c>
      <c r="R125" s="21" t="n">
        <v>0</v>
      </c>
      <c r="S125" s="22">
        <f>IF(L125="","",MAX('Sélection 10'!$B$8,MROUND(ROUND(L125*IF(M125="EUR",'Sélection 10'!$B$5,IF(M125="USD",'Sélection 10'!$B$5/'Sélection 10'!$B$6,1))*(1-R125),0),500)))</f>
        <v/>
      </c>
      <c r="T125" s="35" t="n">
        <v>98</v>
      </c>
    </row>
    <row r="126">
      <c r="A126" s="25" t="inlineStr">
        <is>
          <t>SG-8002</t>
        </is>
      </c>
      <c r="B126" s="25" t="inlineStr">
        <is>
          <t>Hydropulseur</t>
        </is>
      </c>
      <c r="C126" s="24" t="inlineStr">
        <is>
          <t>Adulte</t>
        </is>
      </c>
      <c r="D126" s="26" t="inlineStr">
        <is>
          <t>Portable pliable (voyage)</t>
        </is>
      </c>
      <c r="E126" s="24" t="inlineStr">
        <is>
          <t>réservoir 170 mL</t>
        </is>
      </c>
      <c r="F126" s="24" t="n">
        <v>3</v>
      </c>
      <c r="G126" s="32" t="inlineStr">
        <is>
          <t>N/D</t>
        </is>
      </c>
      <c r="H126" s="25" t="inlineStr">
        <is>
          <t>Magnétique</t>
        </is>
      </c>
      <c r="I126" s="24" t="inlineStr">
        <is>
          <t>IPX7</t>
        </is>
      </c>
      <c r="J126" s="32" t="inlineStr">
        <is>
          <t>N/D</t>
        </is>
      </c>
      <c r="K126" s="26" t="inlineStr">
        <is>
          <t>Generic Kit brosse à dents + nettoyeur dentaire intégrés</t>
        </is>
      </c>
      <c r="L126" s="27" t="n">
        <v>6930</v>
      </c>
      <c r="M126" s="28" t="inlineStr">
        <is>
          <t>XOF</t>
        </is>
      </c>
      <c r="N126" s="27" t="n">
        <v>13041</v>
      </c>
      <c r="O126" s="29" t="inlineStr">
        <is>
          <t>Jumia CI</t>
        </is>
      </c>
      <c r="P126" s="28" t="inlineStr">
        <is>
          <t>CI</t>
        </is>
      </c>
      <c r="Q126" s="33" t="inlineStr">
        <is>
          <t>https://www.jumia.ci/generic-kit-de-nettoyage-dentaire-brosse-a-dents-et-nettoyeur-dentaire-integres-32120678.html</t>
        </is>
      </c>
      <c r="R126" s="21" t="n">
        <v>0</v>
      </c>
      <c r="S126" s="22">
        <f>IF(L126="","",MAX('Sélection 10'!$B$8,MROUND(ROUND(L126*IF(M126="EUR",'Sélection 10'!$B$5,IF(M126="USD",'Sélection 10'!$B$5/'Sélection 10'!$B$6,1))*(1-R126),0),500)))</f>
        <v/>
      </c>
      <c r="T126" s="34" t="n">
        <v>98</v>
      </c>
    </row>
    <row r="127">
      <c r="A127" s="13" t="inlineStr">
        <is>
          <t>SG-831</t>
        </is>
      </c>
      <c r="B127" s="13" t="inlineStr">
        <is>
          <t>Hydropulseur</t>
        </is>
      </c>
      <c r="C127" s="12" t="inlineStr">
        <is>
          <t>Adulte</t>
        </is>
      </c>
      <c r="D127" s="14" t="inlineStr">
        <is>
          <t>Portable pliable (voyage)</t>
        </is>
      </c>
      <c r="E127" s="12" t="inlineStr">
        <is>
          <t>réservoir 190 mL</t>
        </is>
      </c>
      <c r="F127" s="12" t="n">
        <v>3</v>
      </c>
      <c r="G127" s="15" t="inlineStr">
        <is>
          <t>N/D</t>
        </is>
      </c>
      <c r="H127" s="13" t="inlineStr">
        <is>
          <t>USB</t>
        </is>
      </c>
      <c r="I127" s="12" t="inlineStr">
        <is>
          <t>IPX7</t>
        </is>
      </c>
      <c r="J127" s="15" t="inlineStr">
        <is>
          <t>N/D</t>
        </is>
      </c>
      <c r="K127" s="14" t="inlineStr">
        <is>
          <t>Generic Kit brosse à dents + nettoyeur dentaire intégrés</t>
        </is>
      </c>
      <c r="L127" s="27" t="n">
        <v>6930</v>
      </c>
      <c r="M127" s="28" t="inlineStr">
        <is>
          <t>XOF</t>
        </is>
      </c>
      <c r="N127" s="27" t="n">
        <v>13041</v>
      </c>
      <c r="O127" s="29" t="inlineStr">
        <is>
          <t>Jumia CI</t>
        </is>
      </c>
      <c r="P127" s="28" t="inlineStr">
        <is>
          <t>CI</t>
        </is>
      </c>
      <c r="Q127" s="33" t="inlineStr">
        <is>
          <t>https://www.jumia.ci/generic-kit-de-nettoyage-dentaire-brosse-a-dents-et-nettoyeur-dentaire-integres-32120678.html</t>
        </is>
      </c>
      <c r="R127" s="21" t="n">
        <v>0</v>
      </c>
      <c r="S127" s="22">
        <f>IF(L127="","",MAX('Sélection 10'!$B$8,MROUND(ROUND(L127*IF(M127="EUR",'Sélection 10'!$B$5,IF(M127="USD",'Sélection 10'!$B$5/'Sélection 10'!$B$6,1))*(1-R127),0),500)))</f>
        <v/>
      </c>
      <c r="T127" s="35" t="n">
        <v>99</v>
      </c>
    </row>
    <row r="128">
      <c r="A128" s="25" t="inlineStr">
        <is>
          <t>SG-8010</t>
        </is>
      </c>
      <c r="B128" s="25" t="inlineStr">
        <is>
          <t>Hydropulseur</t>
        </is>
      </c>
      <c r="C128" s="24" t="inlineStr">
        <is>
          <t>Adulte</t>
        </is>
      </c>
      <c r="D128" s="26" t="inlineStr">
        <is>
          <t>Sur socle (plan de travail)</t>
        </is>
      </c>
      <c r="E128" s="24" t="inlineStr">
        <is>
          <t>réservoir 400 mL</t>
        </is>
      </c>
      <c r="F128" s="24" t="n">
        <v>5</v>
      </c>
      <c r="G128" s="32" t="inlineStr">
        <is>
          <t>N/D</t>
        </is>
      </c>
      <c r="H128" s="25" t="inlineStr">
        <is>
          <t>USB</t>
        </is>
      </c>
      <c r="I128" s="24" t="inlineStr">
        <is>
          <t>IPX7</t>
        </is>
      </c>
      <c r="J128" s="32" t="inlineStr">
        <is>
          <t>N/D</t>
        </is>
      </c>
      <c r="K128" s="26" t="inlineStr">
        <is>
          <t>Generic Kit brosse à dents + nettoyeur dentaire intégrés</t>
        </is>
      </c>
      <c r="L128" s="27" t="n">
        <v>6930</v>
      </c>
      <c r="M128" s="28" t="inlineStr">
        <is>
          <t>XOF</t>
        </is>
      </c>
      <c r="N128" s="27" t="n">
        <v>13041</v>
      </c>
      <c r="O128" s="29" t="inlineStr">
        <is>
          <t>Jumia CI</t>
        </is>
      </c>
      <c r="P128" s="28" t="inlineStr">
        <is>
          <t>CI</t>
        </is>
      </c>
      <c r="Q128" s="33" t="inlineStr">
        <is>
          <t>https://www.jumia.ci/generic-kit-de-nettoyage-dentaire-brosse-a-dents-et-nettoyeur-dentaire-integres-32120678.html</t>
        </is>
      </c>
      <c r="R128" s="21" t="n">
        <v>0</v>
      </c>
      <c r="S128" s="22">
        <f>IF(L128="","",MAX('Sélection 10'!$B$8,MROUND(ROUND(L128*IF(M128="EUR",'Sélection 10'!$B$5,IF(M128="USD",'Sélection 10'!$B$5/'Sélection 10'!$B$6,1))*(1-R128),0),500)))</f>
        <v/>
      </c>
      <c r="T128" s="34" t="n">
        <v>99</v>
      </c>
    </row>
    <row r="129">
      <c r="A129" s="13" t="inlineStr">
        <is>
          <t>SG-B027</t>
        </is>
      </c>
      <c r="B129" s="13" t="inlineStr">
        <is>
          <t>Tête de brosse</t>
        </is>
      </c>
      <c r="C129" s="15" t="inlineStr">
        <is>
          <t>N/D</t>
        </is>
      </c>
      <c r="D129" s="14" t="inlineStr">
        <is>
          <t>Tête sans ancrage (sans métal)</t>
        </is>
      </c>
      <c r="E129" s="15" t="inlineStr">
        <is>
          <t>N/D</t>
        </is>
      </c>
      <c r="F129" s="15" t="inlineStr">
        <is>
          <t>N/D</t>
        </is>
      </c>
      <c r="G129" s="15" t="inlineStr">
        <is>
          <t>N/D</t>
        </is>
      </c>
      <c r="H129" s="37" t="inlineStr">
        <is>
          <t>N/D</t>
        </is>
      </c>
      <c r="I129" s="15" t="inlineStr">
        <is>
          <t>N/D</t>
        </is>
      </c>
      <c r="J129" s="15" t="inlineStr">
        <is>
          <t>N/D</t>
        </is>
      </c>
      <c r="K129" s="14" t="inlineStr">
        <is>
          <t>Decakila Têtes de rechange KMTB008W (pack de 2)</t>
        </is>
      </c>
      <c r="L129" s="27" t="n">
        <v>1450</v>
      </c>
      <c r="M129" s="28" t="inlineStr">
        <is>
          <t>XOF</t>
        </is>
      </c>
      <c r="N129" s="31" t="inlineStr">
        <is>
          <t>N/D</t>
        </is>
      </c>
      <c r="O129" s="29" t="inlineStr">
        <is>
          <t>Djokstore CI</t>
        </is>
      </c>
      <c r="P129" s="28" t="inlineStr">
        <is>
          <t>CI</t>
        </is>
      </c>
      <c r="Q129" s="33" t="inlineStr">
        <is>
          <t>https://djokstore.ci/collections/brosse-a-dent/products/tetes-de-rechange-brosse-a-dents-electrique-decakila-kmtb008w</t>
        </is>
      </c>
      <c r="R129" s="21" t="n">
        <v>0</v>
      </c>
      <c r="S129" s="22">
        <f>IF(L129="","",MAX('Sélection 10'!$B$8,MROUND(ROUND(L129*IF(M129="EUR",'Sélection 10'!$B$5,IF(M129="USD",'Sélection 10'!$B$5/'Sélection 10'!$B$6,1))*(1-R129),0),500)))</f>
        <v/>
      </c>
      <c r="T129" s="35" t="n">
        <v>23</v>
      </c>
    </row>
    <row r="130">
      <c r="A130" s="25" t="inlineStr">
        <is>
          <t>SG-B008</t>
        </is>
      </c>
      <c r="B130" s="25" t="inlineStr">
        <is>
          <t>Tête de brosse</t>
        </is>
      </c>
      <c r="C130" s="32" t="inlineStr">
        <is>
          <t>N/D</t>
        </is>
      </c>
      <c r="D130" s="26" t="inlineStr">
        <is>
          <t>Tête sans ancrage (sans métal)</t>
        </is>
      </c>
      <c r="E130" s="32" t="inlineStr">
        <is>
          <t>N/D</t>
        </is>
      </c>
      <c r="F130" s="32" t="inlineStr">
        <is>
          <t>N/D</t>
        </is>
      </c>
      <c r="G130" s="32" t="inlineStr">
        <is>
          <t>N/D</t>
        </is>
      </c>
      <c r="H130" s="38" t="inlineStr">
        <is>
          <t>N/D</t>
        </is>
      </c>
      <c r="I130" s="32" t="inlineStr">
        <is>
          <t>N/D</t>
        </is>
      </c>
      <c r="J130" s="32" t="inlineStr">
        <is>
          <t>N/D</t>
        </is>
      </c>
      <c r="K130" s="26" t="inlineStr">
        <is>
          <t>Decakila Têtes de rechange KMTB008W (pack de 2)</t>
        </is>
      </c>
      <c r="L130" s="27" t="n">
        <v>1450</v>
      </c>
      <c r="M130" s="28" t="inlineStr">
        <is>
          <t>XOF</t>
        </is>
      </c>
      <c r="N130" s="31" t="inlineStr">
        <is>
          <t>N/D</t>
        </is>
      </c>
      <c r="O130" s="29" t="inlineStr">
        <is>
          <t>Djokstore CI</t>
        </is>
      </c>
      <c r="P130" s="28" t="inlineStr">
        <is>
          <t>CI</t>
        </is>
      </c>
      <c r="Q130" s="33" t="inlineStr">
        <is>
          <t>https://djokstore.ci/collections/brosse-a-dent/products/tetes-de-rechange-brosse-a-dents-electrique-decakila-kmtb008w</t>
        </is>
      </c>
      <c r="R130" s="21" t="n">
        <v>0</v>
      </c>
      <c r="S130" s="22">
        <f>IF(L130="","",MAX('Sélection 10'!$B$8,MROUND(ROUND(L130*IF(M130="EUR",'Sélection 10'!$B$5,IF(M130="USD",'Sélection 10'!$B$5/'Sélection 10'!$B$6,1))*(1-R130),0),500)))</f>
        <v/>
      </c>
      <c r="T130" s="34" t="n">
        <v>23</v>
      </c>
    </row>
    <row r="131">
      <c r="A131" s="13" t="inlineStr">
        <is>
          <t>SG-C021</t>
        </is>
      </c>
      <c r="B131" s="13" t="inlineStr">
        <is>
          <t>Tête de brosse</t>
        </is>
      </c>
      <c r="C131" s="15" t="inlineStr">
        <is>
          <t>N/D</t>
        </is>
      </c>
      <c r="D131" s="14" t="inlineStr">
        <is>
          <t>Tête sans ancrage (sans métal)</t>
        </is>
      </c>
      <c r="E131" s="15" t="inlineStr">
        <is>
          <t>N/D</t>
        </is>
      </c>
      <c r="F131" s="15" t="inlineStr">
        <is>
          <t>N/D</t>
        </is>
      </c>
      <c r="G131" s="15" t="inlineStr">
        <is>
          <t>N/D</t>
        </is>
      </c>
      <c r="H131" s="37" t="inlineStr">
        <is>
          <t>N/D</t>
        </is>
      </c>
      <c r="I131" s="15" t="inlineStr">
        <is>
          <t>N/D</t>
        </is>
      </c>
      <c r="J131" s="15" t="inlineStr">
        <is>
          <t>N/D</t>
        </is>
      </c>
      <c r="K131" s="14" t="inlineStr">
        <is>
          <t>Decakila Têtes de rechange KMTB008W (pack de 2)</t>
        </is>
      </c>
      <c r="L131" s="27" t="n">
        <v>1450</v>
      </c>
      <c r="M131" s="28" t="inlineStr">
        <is>
          <t>XOF</t>
        </is>
      </c>
      <c r="N131" s="31" t="inlineStr">
        <is>
          <t>N/D</t>
        </is>
      </c>
      <c r="O131" s="29" t="inlineStr">
        <is>
          <t>Djokstore CI</t>
        </is>
      </c>
      <c r="P131" s="28" t="inlineStr">
        <is>
          <t>CI</t>
        </is>
      </c>
      <c r="Q131" s="33" t="inlineStr">
        <is>
          <t>https://djokstore.ci/collections/brosse-a-dent/products/tetes-de-rechange-brosse-a-dents-electrique-decakila-kmtb008w</t>
        </is>
      </c>
      <c r="R131" s="21" t="n">
        <v>0</v>
      </c>
      <c r="S131" s="22">
        <f>IF(L131="","",MAX('Sélection 10'!$B$8,MROUND(ROUND(L131*IF(M131="EUR",'Sélection 10'!$B$5,IF(M131="USD",'Sélection 10'!$B$5/'Sélection 10'!$B$6,1))*(1-R131),0),500)))</f>
        <v/>
      </c>
      <c r="T131" s="35" t="n">
        <v>23</v>
      </c>
    </row>
    <row r="132">
      <c r="A132" s="25" t="inlineStr">
        <is>
          <t>SG-C107</t>
        </is>
      </c>
      <c r="B132" s="25" t="inlineStr">
        <is>
          <t>Tête de brosse</t>
        </is>
      </c>
      <c r="C132" s="32" t="inlineStr">
        <is>
          <t>N/D</t>
        </is>
      </c>
      <c r="D132" s="26" t="inlineStr">
        <is>
          <t>Tête sans ancrage (sans métal)</t>
        </is>
      </c>
      <c r="E132" s="32" t="inlineStr">
        <is>
          <t>N/D</t>
        </is>
      </c>
      <c r="F132" s="32" t="inlineStr">
        <is>
          <t>N/D</t>
        </is>
      </c>
      <c r="G132" s="32" t="inlineStr">
        <is>
          <t>N/D</t>
        </is>
      </c>
      <c r="H132" s="38" t="inlineStr">
        <is>
          <t>N/D</t>
        </is>
      </c>
      <c r="I132" s="32" t="inlineStr">
        <is>
          <t>N/D</t>
        </is>
      </c>
      <c r="J132" s="32" t="inlineStr">
        <is>
          <t>N/D</t>
        </is>
      </c>
      <c r="K132" s="26" t="inlineStr">
        <is>
          <t>Decakila Têtes de rechange KMTB008W (pack de 2)</t>
        </is>
      </c>
      <c r="L132" s="27" t="n">
        <v>1450</v>
      </c>
      <c r="M132" s="28" t="inlineStr">
        <is>
          <t>XOF</t>
        </is>
      </c>
      <c r="N132" s="31" t="inlineStr">
        <is>
          <t>N/D</t>
        </is>
      </c>
      <c r="O132" s="29" t="inlineStr">
        <is>
          <t>Djokstore CI</t>
        </is>
      </c>
      <c r="P132" s="28" t="inlineStr">
        <is>
          <t>CI</t>
        </is>
      </c>
      <c r="Q132" s="33" t="inlineStr">
        <is>
          <t>https://djokstore.ci/collections/brosse-a-dent/products/tetes-de-rechange-brosse-a-dents-electrique-decakila-kmtb008w</t>
        </is>
      </c>
      <c r="R132" s="21" t="n">
        <v>0</v>
      </c>
      <c r="S132" s="22">
        <f>IF(L132="","",MAX('Sélection 10'!$B$8,MROUND(ROUND(L132*IF(M132="EUR",'Sélection 10'!$B$5,IF(M132="USD",'Sélection 10'!$B$5/'Sélection 10'!$B$6,1))*(1-R132),0),500)))</f>
        <v/>
      </c>
      <c r="T132" s="34" t="n">
        <v>23</v>
      </c>
    </row>
    <row r="133">
      <c r="A133" s="13" t="inlineStr">
        <is>
          <t>SG-092</t>
        </is>
      </c>
      <c r="B133" s="13" t="inlineStr">
        <is>
          <t>Tête de brosse</t>
        </is>
      </c>
      <c r="C133" s="15" t="inlineStr">
        <is>
          <t>N/D</t>
        </is>
      </c>
      <c r="D133" s="14" t="inlineStr">
        <is>
          <t>Tête de polissage avec gratte-langue</t>
        </is>
      </c>
      <c r="E133" s="15" t="inlineStr">
        <is>
          <t>N/D</t>
        </is>
      </c>
      <c r="F133" s="15" t="inlineStr">
        <is>
          <t>N/D</t>
        </is>
      </c>
      <c r="G133" s="15" t="inlineStr">
        <is>
          <t>N/D</t>
        </is>
      </c>
      <c r="H133" s="37" t="inlineStr">
        <is>
          <t>N/D</t>
        </is>
      </c>
      <c r="I133" s="15" t="inlineStr">
        <is>
          <t>N/D</t>
        </is>
      </c>
      <c r="J133" s="15" t="inlineStr">
        <is>
          <t>N/D</t>
        </is>
      </c>
      <c r="K133" s="14" t="inlineStr">
        <is>
          <t>Decakila Têtes de rechange KMTB008W (pack de 2)</t>
        </is>
      </c>
      <c r="L133" s="27" t="n">
        <v>1450</v>
      </c>
      <c r="M133" s="28" t="inlineStr">
        <is>
          <t>XOF</t>
        </is>
      </c>
      <c r="N133" s="31" t="inlineStr">
        <is>
          <t>N/D</t>
        </is>
      </c>
      <c r="O133" s="29" t="inlineStr">
        <is>
          <t>Djokstore CI</t>
        </is>
      </c>
      <c r="P133" s="28" t="inlineStr">
        <is>
          <t>CI</t>
        </is>
      </c>
      <c r="Q133" s="33" t="inlineStr">
        <is>
          <t>https://djokstore.ci/collections/brosse-a-dent/products/tetes-de-rechange-brosse-a-dents-electrique-decakila-kmtb008w</t>
        </is>
      </c>
      <c r="R133" s="21" t="n">
        <v>0</v>
      </c>
      <c r="S133" s="22">
        <f>IF(L133="","",MAX('Sélection 10'!$B$8,MROUND(ROUND(L133*IF(M133="EUR",'Sélection 10'!$B$5,IF(M133="USD",'Sélection 10'!$B$5/'Sélection 10'!$B$6,1))*(1-R133),0),500)))</f>
        <v/>
      </c>
      <c r="T133" s="35" t="n">
        <v>23</v>
      </c>
    </row>
    <row r="134">
      <c r="A134" s="25" t="inlineStr">
        <is>
          <t>SG-B002</t>
        </is>
      </c>
      <c r="B134" s="25" t="inlineStr">
        <is>
          <t>Tête de brosse</t>
        </is>
      </c>
      <c r="C134" s="32" t="inlineStr">
        <is>
          <t>N/D</t>
        </is>
      </c>
      <c r="D134" s="26" t="inlineStr">
        <is>
          <t>Tête standard</t>
        </is>
      </c>
      <c r="E134" s="32" t="inlineStr">
        <is>
          <t>N/D</t>
        </is>
      </c>
      <c r="F134" s="32" t="inlineStr">
        <is>
          <t>N/D</t>
        </is>
      </c>
      <c r="G134" s="32" t="inlineStr">
        <is>
          <t>N/D</t>
        </is>
      </c>
      <c r="H134" s="38" t="inlineStr">
        <is>
          <t>N/D</t>
        </is>
      </c>
      <c r="I134" s="32" t="inlineStr">
        <is>
          <t>N/D</t>
        </is>
      </c>
      <c r="J134" s="32" t="inlineStr">
        <is>
          <t>N/D</t>
        </is>
      </c>
      <c r="K134" s="26" t="inlineStr">
        <is>
          <t>Decakila Têtes de rechange KMTB008W (pack de 2)</t>
        </is>
      </c>
      <c r="L134" s="27" t="n">
        <v>1450</v>
      </c>
      <c r="M134" s="28" t="inlineStr">
        <is>
          <t>XOF</t>
        </is>
      </c>
      <c r="N134" s="31" t="inlineStr">
        <is>
          <t>N/D</t>
        </is>
      </c>
      <c r="O134" s="29" t="inlineStr">
        <is>
          <t>Djokstore CI</t>
        </is>
      </c>
      <c r="P134" s="28" t="inlineStr">
        <is>
          <t>CI</t>
        </is>
      </c>
      <c r="Q134" s="33" t="inlineStr">
        <is>
          <t>https://djokstore.ci/collections/brosse-a-dent/products/tetes-de-rechange-brosse-a-dents-electrique-decakila-kmtb008w</t>
        </is>
      </c>
      <c r="R134" s="21" t="n">
        <v>0</v>
      </c>
      <c r="S134" s="22">
        <f>IF(L134="","",MAX('Sélection 10'!$B$8,MROUND(ROUND(L134*IF(M134="EUR",'Sélection 10'!$B$5,IF(M134="USD",'Sélection 10'!$B$5/'Sélection 10'!$B$6,1))*(1-R134),0),500)))</f>
        <v/>
      </c>
      <c r="T134" s="34" t="n">
        <v>23</v>
      </c>
    </row>
    <row r="135">
      <c r="A135" s="13" t="inlineStr">
        <is>
          <t>SG-095</t>
        </is>
      </c>
      <c r="B135" s="13" t="inlineStr">
        <is>
          <t>Tête de brosse</t>
        </is>
      </c>
      <c r="C135" s="15" t="inlineStr">
        <is>
          <t>N/D</t>
        </is>
      </c>
      <c r="D135" s="14" t="inlineStr">
        <is>
          <t>Tête standard</t>
        </is>
      </c>
      <c r="E135" s="15" t="inlineStr">
        <is>
          <t>N/D</t>
        </is>
      </c>
      <c r="F135" s="15" t="inlineStr">
        <is>
          <t>N/D</t>
        </is>
      </c>
      <c r="G135" s="15" t="inlineStr">
        <is>
          <t>N/D</t>
        </is>
      </c>
      <c r="H135" s="37" t="inlineStr">
        <is>
          <t>N/D</t>
        </is>
      </c>
      <c r="I135" s="15" t="inlineStr">
        <is>
          <t>N/D</t>
        </is>
      </c>
      <c r="J135" s="15" t="inlineStr">
        <is>
          <t>N/D</t>
        </is>
      </c>
      <c r="K135" s="14" t="inlineStr">
        <is>
          <t>Decakila Têtes de rechange KMTB008W (pack de 2)</t>
        </is>
      </c>
      <c r="L135" s="27" t="n">
        <v>1450</v>
      </c>
      <c r="M135" s="28" t="inlineStr">
        <is>
          <t>XOF</t>
        </is>
      </c>
      <c r="N135" s="31" t="inlineStr">
        <is>
          <t>N/D</t>
        </is>
      </c>
      <c r="O135" s="29" t="inlineStr">
        <is>
          <t>Djokstore CI</t>
        </is>
      </c>
      <c r="P135" s="28" t="inlineStr">
        <is>
          <t>CI</t>
        </is>
      </c>
      <c r="Q135" s="33" t="inlineStr">
        <is>
          <t>https://djokstore.ci/collections/brosse-a-dent/products/tetes-de-rechange-brosse-a-dents-electrique-decakila-kmtb008w</t>
        </is>
      </c>
      <c r="R135" s="21" t="n">
        <v>0</v>
      </c>
      <c r="S135" s="22">
        <f>IF(L135="","",MAX('Sélection 10'!$B$8,MROUND(ROUND(L135*IF(M135="EUR",'Sélection 10'!$B$5,IF(M135="USD",'Sélection 10'!$B$5/'Sélection 10'!$B$6,1))*(1-R135),0),500)))</f>
        <v/>
      </c>
      <c r="T135" s="35" t="n">
        <v>23</v>
      </c>
    </row>
    <row r="136">
      <c r="A136" s="25" t="inlineStr">
        <is>
          <t>SG-090</t>
        </is>
      </c>
      <c r="B136" s="25" t="inlineStr">
        <is>
          <t>Tête de brosse</t>
        </is>
      </c>
      <c r="C136" s="32" t="inlineStr">
        <is>
          <t>N/D</t>
        </is>
      </c>
      <c r="D136" s="26" t="inlineStr">
        <is>
          <t>Tête standard</t>
        </is>
      </c>
      <c r="E136" s="32" t="inlineStr">
        <is>
          <t>N/D</t>
        </is>
      </c>
      <c r="F136" s="32" t="inlineStr">
        <is>
          <t>N/D</t>
        </is>
      </c>
      <c r="G136" s="32" t="inlineStr">
        <is>
          <t>N/D</t>
        </is>
      </c>
      <c r="H136" s="38" t="inlineStr">
        <is>
          <t>N/D</t>
        </is>
      </c>
      <c r="I136" s="32" t="inlineStr">
        <is>
          <t>N/D</t>
        </is>
      </c>
      <c r="J136" s="32" t="inlineStr">
        <is>
          <t>N/D</t>
        </is>
      </c>
      <c r="K136" s="26" t="inlineStr">
        <is>
          <t>Decakila Têtes de rechange KMTB008W (pack de 2)</t>
        </is>
      </c>
      <c r="L136" s="27" t="n">
        <v>1450</v>
      </c>
      <c r="M136" s="28" t="inlineStr">
        <is>
          <t>XOF</t>
        </is>
      </c>
      <c r="N136" s="31" t="inlineStr">
        <is>
          <t>N/D</t>
        </is>
      </c>
      <c r="O136" s="29" t="inlineStr">
        <is>
          <t>Djokstore CI</t>
        </is>
      </c>
      <c r="P136" s="28" t="inlineStr">
        <is>
          <t>CI</t>
        </is>
      </c>
      <c r="Q136" s="33" t="inlineStr">
        <is>
          <t>https://djokstore.ci/collections/brosse-a-dent/products/tetes-de-rechange-brosse-a-dents-electrique-decakila-kmtb008w</t>
        </is>
      </c>
      <c r="R136" s="21" t="n">
        <v>0</v>
      </c>
      <c r="S136" s="22">
        <f>IF(L136="","",MAX('Sélection 10'!$B$8,MROUND(ROUND(L136*IF(M136="EUR",'Sélection 10'!$B$5,IF(M136="USD",'Sélection 10'!$B$5/'Sélection 10'!$B$6,1))*(1-R136),0),500)))</f>
        <v/>
      </c>
      <c r="T136" s="34" t="n">
        <v>23</v>
      </c>
    </row>
    <row r="137">
      <c r="A137" s="13" t="inlineStr">
        <is>
          <t>SG-093</t>
        </is>
      </c>
      <c r="B137" s="13" t="inlineStr">
        <is>
          <t>Tête de brosse</t>
        </is>
      </c>
      <c r="C137" s="15" t="inlineStr">
        <is>
          <t>N/D</t>
        </is>
      </c>
      <c r="D137" s="14" t="inlineStr">
        <is>
          <t>Tête avec gratte-langue</t>
        </is>
      </c>
      <c r="E137" s="15" t="inlineStr">
        <is>
          <t>N/D</t>
        </is>
      </c>
      <c r="F137" s="15" t="inlineStr">
        <is>
          <t>N/D</t>
        </is>
      </c>
      <c r="G137" s="15" t="inlineStr">
        <is>
          <t>N/D</t>
        </is>
      </c>
      <c r="H137" s="37" t="inlineStr">
        <is>
          <t>N/D</t>
        </is>
      </c>
      <c r="I137" s="15" t="inlineStr">
        <is>
          <t>N/D</t>
        </is>
      </c>
      <c r="J137" s="15" t="inlineStr">
        <is>
          <t>N/D</t>
        </is>
      </c>
      <c r="K137" s="14" t="inlineStr">
        <is>
          <t>Decakila Têtes de rechange KMTB008W (pack de 2)</t>
        </is>
      </c>
      <c r="L137" s="27" t="n">
        <v>1450</v>
      </c>
      <c r="M137" s="28" t="inlineStr">
        <is>
          <t>XOF</t>
        </is>
      </c>
      <c r="N137" s="31" t="inlineStr">
        <is>
          <t>N/D</t>
        </is>
      </c>
      <c r="O137" s="29" t="inlineStr">
        <is>
          <t>Djokstore CI</t>
        </is>
      </c>
      <c r="P137" s="28" t="inlineStr">
        <is>
          <t>CI</t>
        </is>
      </c>
      <c r="Q137" s="33" t="inlineStr">
        <is>
          <t>https://djokstore.ci/collections/brosse-a-dent/products/tetes-de-rechange-brosse-a-dents-electrique-decakila-kmtb008w</t>
        </is>
      </c>
      <c r="R137" s="21" t="n">
        <v>0</v>
      </c>
      <c r="S137" s="22">
        <f>IF(L137="","",MAX('Sélection 10'!$B$8,MROUND(ROUND(L137*IF(M137="EUR",'Sélection 10'!$B$5,IF(M137="USD",'Sélection 10'!$B$5/'Sélection 10'!$B$6,1))*(1-R137),0),500)))</f>
        <v/>
      </c>
      <c r="T137" s="35" t="n">
        <v>23</v>
      </c>
    </row>
    <row r="138">
      <c r="A138" s="25" t="inlineStr">
        <is>
          <t>SG-C108</t>
        </is>
      </c>
      <c r="B138" s="25" t="inlineStr">
        <is>
          <t>Tête de brosse</t>
        </is>
      </c>
      <c r="C138" s="32" t="inlineStr">
        <is>
          <t>N/D</t>
        </is>
      </c>
      <c r="D138" s="26" t="inlineStr">
        <is>
          <t>Tête avec gratte-langue</t>
        </is>
      </c>
      <c r="E138" s="32" t="inlineStr">
        <is>
          <t>N/D</t>
        </is>
      </c>
      <c r="F138" s="32" t="inlineStr">
        <is>
          <t>N/D</t>
        </is>
      </c>
      <c r="G138" s="32" t="inlineStr">
        <is>
          <t>N/D</t>
        </is>
      </c>
      <c r="H138" s="38" t="inlineStr">
        <is>
          <t>N/D</t>
        </is>
      </c>
      <c r="I138" s="32" t="inlineStr">
        <is>
          <t>N/D</t>
        </is>
      </c>
      <c r="J138" s="32" t="inlineStr">
        <is>
          <t>N/D</t>
        </is>
      </c>
      <c r="K138" s="26" t="inlineStr">
        <is>
          <t>Decakila Têtes de rechange KMTB008W (pack de 2)</t>
        </is>
      </c>
      <c r="L138" s="27" t="n">
        <v>1450</v>
      </c>
      <c r="M138" s="28" t="inlineStr">
        <is>
          <t>XOF</t>
        </is>
      </c>
      <c r="N138" s="31" t="inlineStr">
        <is>
          <t>N/D</t>
        </is>
      </c>
      <c r="O138" s="29" t="inlineStr">
        <is>
          <t>Djokstore CI</t>
        </is>
      </c>
      <c r="P138" s="28" t="inlineStr">
        <is>
          <t>CI</t>
        </is>
      </c>
      <c r="Q138" s="33" t="inlineStr">
        <is>
          <t>https://djokstore.ci/collections/brosse-a-dent/products/tetes-de-rechange-brosse-a-dents-electrique-decakila-kmtb008w</t>
        </is>
      </c>
      <c r="R138" s="21" t="n">
        <v>0</v>
      </c>
      <c r="S138" s="22">
        <f>IF(L138="","",MAX('Sélection 10'!$B$8,MROUND(ROUND(L138*IF(M138="EUR",'Sélection 10'!$B$5,IF(M138="USD",'Sélection 10'!$B$5/'Sélection 10'!$B$6,1))*(1-R138),0),500)))</f>
        <v/>
      </c>
      <c r="T138" s="34" t="n">
        <v>23</v>
      </c>
    </row>
    <row r="139">
      <c r="A139" s="13" t="inlineStr">
        <is>
          <t>SG-C110</t>
        </is>
      </c>
      <c r="B139" s="13" t="inlineStr">
        <is>
          <t>Tête de brosse</t>
        </is>
      </c>
      <c r="C139" s="15" t="inlineStr">
        <is>
          <t>N/D</t>
        </is>
      </c>
      <c r="D139" s="14" t="inlineStr">
        <is>
          <t>Tête avec gratte-langue</t>
        </is>
      </c>
      <c r="E139" s="15" t="inlineStr">
        <is>
          <t>N/D</t>
        </is>
      </c>
      <c r="F139" s="15" t="inlineStr">
        <is>
          <t>N/D</t>
        </is>
      </c>
      <c r="G139" s="15" t="inlineStr">
        <is>
          <t>N/D</t>
        </is>
      </c>
      <c r="H139" s="37" t="inlineStr">
        <is>
          <t>N/D</t>
        </is>
      </c>
      <c r="I139" s="15" t="inlineStr">
        <is>
          <t>N/D</t>
        </is>
      </c>
      <c r="J139" s="15" t="inlineStr">
        <is>
          <t>N/D</t>
        </is>
      </c>
      <c r="K139" s="14" t="inlineStr">
        <is>
          <t>Decakila Têtes de rechange KMTB008W (pack de 2)</t>
        </is>
      </c>
      <c r="L139" s="27" t="n">
        <v>1450</v>
      </c>
      <c r="M139" s="28" t="inlineStr">
        <is>
          <t>XOF</t>
        </is>
      </c>
      <c r="N139" s="31" t="inlineStr">
        <is>
          <t>N/D</t>
        </is>
      </c>
      <c r="O139" s="29" t="inlineStr">
        <is>
          <t>Djokstore CI</t>
        </is>
      </c>
      <c r="P139" s="28" t="inlineStr">
        <is>
          <t>CI</t>
        </is>
      </c>
      <c r="Q139" s="33" t="inlineStr">
        <is>
          <t>https://djokstore.ci/collections/brosse-a-dent/products/tetes-de-rechange-brosse-a-dents-electrique-decakila-kmtb008w</t>
        </is>
      </c>
      <c r="R139" s="21" t="n">
        <v>0</v>
      </c>
      <c r="S139" s="22">
        <f>IF(L139="","",MAX('Sélection 10'!$B$8,MROUND(ROUND(L139*IF(M139="EUR",'Sélection 10'!$B$5,IF(M139="USD",'Sélection 10'!$B$5/'Sélection 10'!$B$6,1))*(1-R139),0),500)))</f>
        <v/>
      </c>
      <c r="T139" s="35" t="n">
        <v>23</v>
      </c>
    </row>
    <row r="140">
      <c r="A140" s="25" t="inlineStr">
        <is>
          <t>SG-C020</t>
        </is>
      </c>
      <c r="B140" s="25" t="inlineStr">
        <is>
          <t>Tête de brosse</t>
        </is>
      </c>
      <c r="C140" s="32" t="inlineStr">
        <is>
          <t>N/D</t>
        </is>
      </c>
      <c r="D140" s="26" t="inlineStr">
        <is>
          <t>Tête interdentaire</t>
        </is>
      </c>
      <c r="E140" s="32" t="inlineStr">
        <is>
          <t>N/D</t>
        </is>
      </c>
      <c r="F140" s="32" t="inlineStr">
        <is>
          <t>N/D</t>
        </is>
      </c>
      <c r="G140" s="32" t="inlineStr">
        <is>
          <t>N/D</t>
        </is>
      </c>
      <c r="H140" s="38" t="inlineStr">
        <is>
          <t>N/D</t>
        </is>
      </c>
      <c r="I140" s="32" t="inlineStr">
        <is>
          <t>N/D</t>
        </is>
      </c>
      <c r="J140" s="32" t="inlineStr">
        <is>
          <t>N/D</t>
        </is>
      </c>
      <c r="K140" s="26" t="inlineStr">
        <is>
          <t>Decakila Têtes de rechange KMTB008W (pack de 2)</t>
        </is>
      </c>
      <c r="L140" s="27" t="n">
        <v>1450</v>
      </c>
      <c r="M140" s="28" t="inlineStr">
        <is>
          <t>XOF</t>
        </is>
      </c>
      <c r="N140" s="31" t="inlineStr">
        <is>
          <t>N/D</t>
        </is>
      </c>
      <c r="O140" s="29" t="inlineStr">
        <is>
          <t>Djokstore CI</t>
        </is>
      </c>
      <c r="P140" s="28" t="inlineStr">
        <is>
          <t>CI</t>
        </is>
      </c>
      <c r="Q140" s="33" t="inlineStr">
        <is>
          <t>https://djokstore.ci/collections/brosse-a-dent/products/tetes-de-rechange-brosse-a-dents-electrique-decakila-kmtb008w</t>
        </is>
      </c>
      <c r="R140" s="21" t="n">
        <v>0</v>
      </c>
      <c r="S140" s="22">
        <f>IF(L140="","",MAX('Sélection 10'!$B$8,MROUND(ROUND(L140*IF(M140="EUR",'Sélection 10'!$B$5,IF(M140="USD",'Sélection 10'!$B$5/'Sélection 10'!$B$6,1))*(1-R140),0),500)))</f>
        <v/>
      </c>
      <c r="T140" s="34" t="n">
        <v>23</v>
      </c>
    </row>
    <row r="141">
      <c r="A141" s="13" t="inlineStr">
        <is>
          <t>SG-C019</t>
        </is>
      </c>
      <c r="B141" s="13" t="inlineStr">
        <is>
          <t>Tête de brosse</t>
        </is>
      </c>
      <c r="C141" s="15" t="inlineStr">
        <is>
          <t>N/D</t>
        </is>
      </c>
      <c r="D141" s="14" t="inlineStr">
        <is>
          <t>Tête avec gratte-langue et massage des gencives</t>
        </is>
      </c>
      <c r="E141" s="15" t="inlineStr">
        <is>
          <t>N/D</t>
        </is>
      </c>
      <c r="F141" s="15" t="inlineStr">
        <is>
          <t>N/D</t>
        </is>
      </c>
      <c r="G141" s="15" t="inlineStr">
        <is>
          <t>N/D</t>
        </is>
      </c>
      <c r="H141" s="37" t="inlineStr">
        <is>
          <t>N/D</t>
        </is>
      </c>
      <c r="I141" s="15" t="inlineStr">
        <is>
          <t>N/D</t>
        </is>
      </c>
      <c r="J141" s="15" t="inlineStr">
        <is>
          <t>N/D</t>
        </is>
      </c>
      <c r="K141" s="14" t="inlineStr">
        <is>
          <t>Decakila Têtes de rechange KMTB008W (pack de 2)</t>
        </is>
      </c>
      <c r="L141" s="27" t="n">
        <v>1450</v>
      </c>
      <c r="M141" s="28" t="inlineStr">
        <is>
          <t>XOF</t>
        </is>
      </c>
      <c r="N141" s="31" t="inlineStr">
        <is>
          <t>N/D</t>
        </is>
      </c>
      <c r="O141" s="29" t="inlineStr">
        <is>
          <t>Djokstore CI</t>
        </is>
      </c>
      <c r="P141" s="28" t="inlineStr">
        <is>
          <t>CI</t>
        </is>
      </c>
      <c r="Q141" s="33" t="inlineStr">
        <is>
          <t>https://djokstore.ci/collections/brosse-a-dent/products/tetes-de-rechange-brosse-a-dents-electrique-decakila-kmtb008w</t>
        </is>
      </c>
      <c r="R141" s="21" t="n">
        <v>0</v>
      </c>
      <c r="S141" s="22">
        <f>IF(L141="","",MAX('Sélection 10'!$B$8,MROUND(ROUND(L141*IF(M141="EUR",'Sélection 10'!$B$5,IF(M141="USD",'Sélection 10'!$B$5/'Sélection 10'!$B$6,1))*(1-R141),0),500)))</f>
        <v/>
      </c>
      <c r="T141" s="35" t="n">
        <v>23</v>
      </c>
    </row>
    <row r="142">
      <c r="A142" s="25" t="inlineStr">
        <is>
          <t>SG-C099</t>
        </is>
      </c>
      <c r="B142" s="25" t="inlineStr">
        <is>
          <t>Tête de brosse</t>
        </is>
      </c>
      <c r="C142" s="32" t="inlineStr">
        <is>
          <t>N/D</t>
        </is>
      </c>
      <c r="D142" s="26" t="inlineStr">
        <is>
          <t>Tête avec gratte-langue et massage des gencives</t>
        </is>
      </c>
      <c r="E142" s="32" t="inlineStr">
        <is>
          <t>N/D</t>
        </is>
      </c>
      <c r="F142" s="32" t="inlineStr">
        <is>
          <t>N/D</t>
        </is>
      </c>
      <c r="G142" s="32" t="inlineStr">
        <is>
          <t>N/D</t>
        </is>
      </c>
      <c r="H142" s="38" t="inlineStr">
        <is>
          <t>N/D</t>
        </is>
      </c>
      <c r="I142" s="32" t="inlineStr">
        <is>
          <t>N/D</t>
        </is>
      </c>
      <c r="J142" s="32" t="inlineStr">
        <is>
          <t>N/D</t>
        </is>
      </c>
      <c r="K142" s="26" t="inlineStr">
        <is>
          <t>Decakila Têtes de rechange KMTB008W (pack de 2)</t>
        </is>
      </c>
      <c r="L142" s="27" t="n">
        <v>1450</v>
      </c>
      <c r="M142" s="28" t="inlineStr">
        <is>
          <t>XOF</t>
        </is>
      </c>
      <c r="N142" s="31" t="inlineStr">
        <is>
          <t>N/D</t>
        </is>
      </c>
      <c r="O142" s="29" t="inlineStr">
        <is>
          <t>Djokstore CI</t>
        </is>
      </c>
      <c r="P142" s="28" t="inlineStr">
        <is>
          <t>CI</t>
        </is>
      </c>
      <c r="Q142" s="33" t="inlineStr">
        <is>
          <t>https://djokstore.ci/collections/brosse-a-dent/products/tetes-de-rechange-brosse-a-dents-electrique-decakila-kmtb008w</t>
        </is>
      </c>
      <c r="R142" s="21" t="n">
        <v>0</v>
      </c>
      <c r="S142" s="22">
        <f>IF(L142="","",MAX('Sélection 10'!$B$8,MROUND(ROUND(L142*IF(M142="EUR",'Sélection 10'!$B$5,IF(M142="USD",'Sélection 10'!$B$5/'Sélection 10'!$B$6,1))*(1-R142),0),500)))</f>
        <v/>
      </c>
      <c r="T142" s="34" t="n">
        <v>23</v>
      </c>
    </row>
    <row r="143">
      <c r="A143" s="13" t="inlineStr">
        <is>
          <t>SG-112</t>
        </is>
      </c>
      <c r="B143" s="13" t="inlineStr">
        <is>
          <t>Tête de brosse</t>
        </is>
      </c>
      <c r="C143" s="15" t="inlineStr">
        <is>
          <t>N/D</t>
        </is>
      </c>
      <c r="D143" s="14" t="inlineStr">
        <is>
          <t>Tête sans ancrage</t>
        </is>
      </c>
      <c r="E143" s="15" t="inlineStr">
        <is>
          <t>N/D</t>
        </is>
      </c>
      <c r="F143" s="15" t="inlineStr">
        <is>
          <t>N/D</t>
        </is>
      </c>
      <c r="G143" s="15" t="inlineStr">
        <is>
          <t>N/D</t>
        </is>
      </c>
      <c r="H143" s="37" t="inlineStr">
        <is>
          <t>N/D</t>
        </is>
      </c>
      <c r="I143" s="15" t="inlineStr">
        <is>
          <t>N/D</t>
        </is>
      </c>
      <c r="J143" s="15" t="inlineStr">
        <is>
          <t>N/D</t>
        </is>
      </c>
      <c r="K143" s="14" t="inlineStr">
        <is>
          <t>Decakila Têtes de rechange KMTB008W (pack de 2)</t>
        </is>
      </c>
      <c r="L143" s="27" t="n">
        <v>1450</v>
      </c>
      <c r="M143" s="28" t="inlineStr">
        <is>
          <t>XOF</t>
        </is>
      </c>
      <c r="N143" s="31" t="inlineStr">
        <is>
          <t>N/D</t>
        </is>
      </c>
      <c r="O143" s="29" t="inlineStr">
        <is>
          <t>Djokstore CI</t>
        </is>
      </c>
      <c r="P143" s="28" t="inlineStr">
        <is>
          <t>CI</t>
        </is>
      </c>
      <c r="Q143" s="33" t="inlineStr">
        <is>
          <t>https://djokstore.ci/collections/brosse-a-dent/products/tetes-de-rechange-brosse-a-dents-electrique-decakila-kmtb008w</t>
        </is>
      </c>
      <c r="R143" s="21" t="n">
        <v>0</v>
      </c>
      <c r="S143" s="22">
        <f>IF(L143="","",MAX('Sélection 10'!$B$8,MROUND(ROUND(L143*IF(M143="EUR",'Sélection 10'!$B$5,IF(M143="USD",'Sélection 10'!$B$5/'Sélection 10'!$B$6,1))*(1-R143),0),500)))</f>
        <v/>
      </c>
      <c r="T143" s="35" t="n">
        <v>37</v>
      </c>
    </row>
    <row r="144">
      <c r="A144" s="25" t="inlineStr">
        <is>
          <t>SG-011</t>
        </is>
      </c>
      <c r="B144" s="25" t="inlineStr">
        <is>
          <t>Tête de brosse</t>
        </is>
      </c>
      <c r="C144" s="32" t="inlineStr">
        <is>
          <t>N/D</t>
        </is>
      </c>
      <c r="D144" s="26" t="inlineStr">
        <is>
          <t>Tête avec gratte-langue</t>
        </is>
      </c>
      <c r="E144" s="32" t="inlineStr">
        <is>
          <t>N/D</t>
        </is>
      </c>
      <c r="F144" s="32" t="inlineStr">
        <is>
          <t>N/D</t>
        </is>
      </c>
      <c r="G144" s="32" t="inlineStr">
        <is>
          <t>N/D</t>
        </is>
      </c>
      <c r="H144" s="38" t="inlineStr">
        <is>
          <t>N/D</t>
        </is>
      </c>
      <c r="I144" s="32" t="inlineStr">
        <is>
          <t>N/D</t>
        </is>
      </c>
      <c r="J144" s="32" t="inlineStr">
        <is>
          <t>N/D</t>
        </is>
      </c>
      <c r="K144" s="26" t="inlineStr">
        <is>
          <t>Decakila Têtes de rechange KMTB008W (pack de 2)</t>
        </is>
      </c>
      <c r="L144" s="27" t="n">
        <v>1450</v>
      </c>
      <c r="M144" s="28" t="inlineStr">
        <is>
          <t>XOF</t>
        </is>
      </c>
      <c r="N144" s="31" t="inlineStr">
        <is>
          <t>N/D</t>
        </is>
      </c>
      <c r="O144" s="29" t="inlineStr">
        <is>
          <t>Djokstore CI</t>
        </is>
      </c>
      <c r="P144" s="28" t="inlineStr">
        <is>
          <t>CI</t>
        </is>
      </c>
      <c r="Q144" s="33" t="inlineStr">
        <is>
          <t>https://djokstore.ci/collections/brosse-a-dent/products/tetes-de-rechange-brosse-a-dents-electrique-decakila-kmtb008w</t>
        </is>
      </c>
      <c r="R144" s="21" t="n">
        <v>0</v>
      </c>
      <c r="S144" s="22">
        <f>IF(L144="","",MAX('Sélection 10'!$B$8,MROUND(ROUND(L144*IF(M144="EUR",'Sélection 10'!$B$5,IF(M144="USD",'Sélection 10'!$B$5/'Sélection 10'!$B$6,1))*(1-R144),0),500)))</f>
        <v/>
      </c>
      <c r="T144" s="34" t="n">
        <v>37</v>
      </c>
    </row>
    <row r="145">
      <c r="A145" s="13" t="inlineStr">
        <is>
          <t>SG-108</t>
        </is>
      </c>
      <c r="B145" s="13" t="inlineStr">
        <is>
          <t>Tête de brosse</t>
        </is>
      </c>
      <c r="C145" s="15" t="inlineStr">
        <is>
          <t>N/D</t>
        </is>
      </c>
      <c r="D145" s="14" t="inlineStr">
        <is>
          <t>Tête standard</t>
        </is>
      </c>
      <c r="E145" s="15" t="inlineStr">
        <is>
          <t>N/D</t>
        </is>
      </c>
      <c r="F145" s="15" t="inlineStr">
        <is>
          <t>N/D</t>
        </is>
      </c>
      <c r="G145" s="15" t="inlineStr">
        <is>
          <t>N/D</t>
        </is>
      </c>
      <c r="H145" s="37" t="inlineStr">
        <is>
          <t>N/D</t>
        </is>
      </c>
      <c r="I145" s="15" t="inlineStr">
        <is>
          <t>N/D</t>
        </is>
      </c>
      <c r="J145" s="15" t="inlineStr">
        <is>
          <t>N/D</t>
        </is>
      </c>
      <c r="K145" s="14" t="inlineStr">
        <is>
          <t>Decakila Têtes de rechange KMTB008W (pack de 2)</t>
        </is>
      </c>
      <c r="L145" s="27" t="n">
        <v>1450</v>
      </c>
      <c r="M145" s="28" t="inlineStr">
        <is>
          <t>XOF</t>
        </is>
      </c>
      <c r="N145" s="31" t="inlineStr">
        <is>
          <t>N/D</t>
        </is>
      </c>
      <c r="O145" s="29" t="inlineStr">
        <is>
          <t>Djokstore CI</t>
        </is>
      </c>
      <c r="P145" s="28" t="inlineStr">
        <is>
          <t>CI</t>
        </is>
      </c>
      <c r="Q145" s="33" t="inlineStr">
        <is>
          <t>https://djokstore.ci/collections/brosse-a-dent/products/tetes-de-rechange-brosse-a-dents-electrique-decakila-kmtb008w</t>
        </is>
      </c>
      <c r="R145" s="21" t="n">
        <v>0</v>
      </c>
      <c r="S145" s="22">
        <f>IF(L145="","",MAX('Sélection 10'!$B$8,MROUND(ROUND(L145*IF(M145="EUR",'Sélection 10'!$B$5,IF(M145="USD",'Sélection 10'!$B$5/'Sélection 10'!$B$6,1))*(1-R145),0),500)))</f>
        <v/>
      </c>
      <c r="T145" s="35" t="n">
        <v>37</v>
      </c>
    </row>
    <row r="146">
      <c r="A146" s="25" t="inlineStr">
        <is>
          <t>SG-010</t>
        </is>
      </c>
      <c r="B146" s="25" t="inlineStr">
        <is>
          <t>Tête de brosse</t>
        </is>
      </c>
      <c r="C146" s="32" t="inlineStr">
        <is>
          <t>N/D</t>
        </is>
      </c>
      <c r="D146" s="26" t="inlineStr">
        <is>
          <t>Tête standard</t>
        </is>
      </c>
      <c r="E146" s="32" t="inlineStr">
        <is>
          <t>N/D</t>
        </is>
      </c>
      <c r="F146" s="32" t="inlineStr">
        <is>
          <t>N/D</t>
        </is>
      </c>
      <c r="G146" s="32" t="inlineStr">
        <is>
          <t>N/D</t>
        </is>
      </c>
      <c r="H146" s="38" t="inlineStr">
        <is>
          <t>N/D</t>
        </is>
      </c>
      <c r="I146" s="32" t="inlineStr">
        <is>
          <t>N/D</t>
        </is>
      </c>
      <c r="J146" s="32" t="inlineStr">
        <is>
          <t>N/D</t>
        </is>
      </c>
      <c r="K146" s="26" t="inlineStr">
        <is>
          <t>Decakila Têtes de rechange KMTB008W (pack de 2)</t>
        </is>
      </c>
      <c r="L146" s="27" t="n">
        <v>1450</v>
      </c>
      <c r="M146" s="28" t="inlineStr">
        <is>
          <t>XOF</t>
        </is>
      </c>
      <c r="N146" s="31" t="inlineStr">
        <is>
          <t>N/D</t>
        </is>
      </c>
      <c r="O146" s="29" t="inlineStr">
        <is>
          <t>Djokstore CI</t>
        </is>
      </c>
      <c r="P146" s="28" t="inlineStr">
        <is>
          <t>CI</t>
        </is>
      </c>
      <c r="Q146" s="33" t="inlineStr">
        <is>
          <t>https://djokstore.ci/collections/brosse-a-dent/products/tetes-de-rechange-brosse-a-dents-electrique-decakila-kmtb008w</t>
        </is>
      </c>
      <c r="R146" s="21" t="n">
        <v>0</v>
      </c>
      <c r="S146" s="22">
        <f>IF(L146="","",MAX('Sélection 10'!$B$8,MROUND(ROUND(L146*IF(M146="EUR",'Sélection 10'!$B$5,IF(M146="USD",'Sélection 10'!$B$5/'Sélection 10'!$B$6,1))*(1-R146),0),500)))</f>
        <v/>
      </c>
      <c r="T146" s="34" t="n">
        <v>37</v>
      </c>
    </row>
    <row r="147">
      <c r="A147" s="13" t="inlineStr">
        <is>
          <t>SG-917</t>
        </is>
      </c>
      <c r="B147" s="13" t="inlineStr">
        <is>
          <t>Brosse à dents</t>
        </is>
      </c>
      <c r="C147" s="12" t="inlineStr">
        <is>
          <t>Adulte</t>
        </is>
      </c>
      <c r="D147" s="14" t="inlineStr">
        <is>
          <t>Sonique</t>
        </is>
      </c>
      <c r="E147" s="12" t="inlineStr">
        <is>
          <t>40000</t>
        </is>
      </c>
      <c r="F147" s="12" t="n">
        <v>3</v>
      </c>
      <c r="G147" s="12" t="n">
        <v>25</v>
      </c>
      <c r="H147" s="13" t="inlineStr">
        <is>
          <t>Batterie Li-ion rechargeable</t>
        </is>
      </c>
      <c r="I147" s="12" t="inlineStr">
        <is>
          <t>IPX7</t>
        </is>
      </c>
      <c r="J147" s="12" t="inlineStr">
        <is>
          <t>Non</t>
        </is>
      </c>
      <c r="K147" s="14" t="inlineStr">
        <is>
          <t>Generic Adultes, poils DuPont, portable, longue autonomie, IPX6</t>
        </is>
      </c>
      <c r="L147" s="27" t="n">
        <v>2177</v>
      </c>
      <c r="M147" s="28" t="inlineStr">
        <is>
          <t>XOF</t>
        </is>
      </c>
      <c r="N147" s="27" t="n">
        <v>3514</v>
      </c>
      <c r="O147" s="29" t="inlineStr">
        <is>
          <t>Jumia CI</t>
        </is>
      </c>
      <c r="P147" s="28" t="inlineStr">
        <is>
          <t>CI</t>
        </is>
      </c>
      <c r="Q147" s="33" t="inlineStr">
        <is>
          <t>https://www.jumia.ci/generic-brosse-a-dents-electrique-pour-adultes-poils-doux-dupont-portable-longue-autonomie-etancheite-ipx6-soin-buccal-intelligent-et-efficace.-32104864.html</t>
        </is>
      </c>
      <c r="R147" s="21" t="n">
        <v>0</v>
      </c>
      <c r="S147" s="22">
        <f>IF(L147="","",MAX('Sélection 10'!$B$8,MROUND(ROUND(L147*IF(M147="EUR",'Sélection 10'!$B$5,IF(M147="USD",'Sélection 10'!$B$5/'Sélection 10'!$B$6,1))*(1-R147),0),500)))</f>
        <v/>
      </c>
      <c r="T147" s="35" t="n">
        <v>37</v>
      </c>
    </row>
    <row r="148">
      <c r="A148" s="25" t="inlineStr">
        <is>
          <t>SG-017</t>
        </is>
      </c>
      <c r="B148" s="25" t="inlineStr">
        <is>
          <t>Tête de brosse</t>
        </is>
      </c>
      <c r="C148" s="32" t="inlineStr">
        <is>
          <t>N/D</t>
        </is>
      </c>
      <c r="D148" s="26" t="inlineStr">
        <is>
          <t>Tête standard</t>
        </is>
      </c>
      <c r="E148" s="32" t="inlineStr">
        <is>
          <t>N/D</t>
        </is>
      </c>
      <c r="F148" s="32" t="inlineStr">
        <is>
          <t>N/D</t>
        </is>
      </c>
      <c r="G148" s="32" t="inlineStr">
        <is>
          <t>N/D</t>
        </is>
      </c>
      <c r="H148" s="38" t="inlineStr">
        <is>
          <t>N/D</t>
        </is>
      </c>
      <c r="I148" s="32" t="inlineStr">
        <is>
          <t>N/D</t>
        </is>
      </c>
      <c r="J148" s="32" t="inlineStr">
        <is>
          <t>N/D</t>
        </is>
      </c>
      <c r="K148" s="26" t="inlineStr">
        <is>
          <t>Decakila Têtes de rechange KMTB008W (pack de 2)</t>
        </is>
      </c>
      <c r="L148" s="27" t="n">
        <v>1450</v>
      </c>
      <c r="M148" s="28" t="inlineStr">
        <is>
          <t>XOF</t>
        </is>
      </c>
      <c r="N148" s="31" t="inlineStr">
        <is>
          <t>N/D</t>
        </is>
      </c>
      <c r="O148" s="29" t="inlineStr">
        <is>
          <t>Djokstore CI</t>
        </is>
      </c>
      <c r="P148" s="28" t="inlineStr">
        <is>
          <t>CI</t>
        </is>
      </c>
      <c r="Q148" s="33" t="inlineStr">
        <is>
          <t>https://djokstore.ci/collections/brosse-a-dent/products/tetes-de-rechange-brosse-a-dents-electrique-decakila-kmtb008w</t>
        </is>
      </c>
      <c r="R148" s="21" t="n">
        <v>0</v>
      </c>
      <c r="S148" s="22">
        <f>IF(L148="","",MAX('Sélection 10'!$B$8,MROUND(ROUND(L148*IF(M148="EUR",'Sélection 10'!$B$5,IF(M148="USD",'Sélection 10'!$B$5/'Sélection 10'!$B$6,1))*(1-R148),0),500)))</f>
        <v/>
      </c>
      <c r="T148" s="34" t="n">
        <v>37</v>
      </c>
    </row>
    <row r="149">
      <c r="A149" s="13" t="inlineStr">
        <is>
          <t>SG-002</t>
        </is>
      </c>
      <c r="B149" s="13" t="inlineStr">
        <is>
          <t>Tête de brosse</t>
        </is>
      </c>
      <c r="C149" s="15" t="inlineStr">
        <is>
          <t>N/D</t>
        </is>
      </c>
      <c r="D149" s="14" t="inlineStr">
        <is>
          <t>Tête standard</t>
        </is>
      </c>
      <c r="E149" s="15" t="inlineStr">
        <is>
          <t>N/D</t>
        </is>
      </c>
      <c r="F149" s="15" t="inlineStr">
        <is>
          <t>N/D</t>
        </is>
      </c>
      <c r="G149" s="15" t="inlineStr">
        <is>
          <t>N/D</t>
        </is>
      </c>
      <c r="H149" s="37" t="inlineStr">
        <is>
          <t>N/D</t>
        </is>
      </c>
      <c r="I149" s="15" t="inlineStr">
        <is>
          <t>N/D</t>
        </is>
      </c>
      <c r="J149" s="15" t="inlineStr">
        <is>
          <t>N/D</t>
        </is>
      </c>
      <c r="K149" s="14" t="inlineStr">
        <is>
          <t>Decakila Têtes de rechange KMTB008W (pack de 2)</t>
        </is>
      </c>
      <c r="L149" s="27" t="n">
        <v>1450</v>
      </c>
      <c r="M149" s="28" t="inlineStr">
        <is>
          <t>XOF</t>
        </is>
      </c>
      <c r="N149" s="31" t="inlineStr">
        <is>
          <t>N/D</t>
        </is>
      </c>
      <c r="O149" s="29" t="inlineStr">
        <is>
          <t>Djokstore CI</t>
        </is>
      </c>
      <c r="P149" s="28" t="inlineStr">
        <is>
          <t>CI</t>
        </is>
      </c>
      <c r="Q149" s="33" t="inlineStr">
        <is>
          <t>https://djokstore.ci/collections/brosse-a-dent/products/tetes-de-rechange-brosse-a-dents-electrique-decakila-kmtb008w</t>
        </is>
      </c>
      <c r="R149" s="21" t="n">
        <v>0</v>
      </c>
      <c r="S149" s="22">
        <f>IF(L149="","",MAX('Sélection 10'!$B$8,MROUND(ROUND(L149*IF(M149="EUR",'Sélection 10'!$B$5,IF(M149="USD",'Sélection 10'!$B$5/'Sélection 10'!$B$6,1))*(1-R149),0),500)))</f>
        <v/>
      </c>
      <c r="T149" s="35" t="n">
        <v>37</v>
      </c>
    </row>
    <row r="150">
      <c r="A150" s="25" t="inlineStr">
        <is>
          <t>SG-012</t>
        </is>
      </c>
      <c r="B150" s="25" t="inlineStr">
        <is>
          <t>Tête de brosse</t>
        </is>
      </c>
      <c r="C150" s="32" t="inlineStr">
        <is>
          <t>N/D</t>
        </is>
      </c>
      <c r="D150" s="26" t="inlineStr">
        <is>
          <t>Tête interdentaire</t>
        </is>
      </c>
      <c r="E150" s="32" t="inlineStr">
        <is>
          <t>N/D</t>
        </is>
      </c>
      <c r="F150" s="32" t="inlineStr">
        <is>
          <t>N/D</t>
        </is>
      </c>
      <c r="G150" s="32" t="inlineStr">
        <is>
          <t>N/D</t>
        </is>
      </c>
      <c r="H150" s="38" t="inlineStr">
        <is>
          <t>N/D</t>
        </is>
      </c>
      <c r="I150" s="32" t="inlineStr">
        <is>
          <t>N/D</t>
        </is>
      </c>
      <c r="J150" s="32" t="inlineStr">
        <is>
          <t>N/D</t>
        </is>
      </c>
      <c r="K150" s="26" t="inlineStr">
        <is>
          <t>Decakila Têtes de rechange KMTB008W (pack de 2)</t>
        </is>
      </c>
      <c r="L150" s="27" t="n">
        <v>1450</v>
      </c>
      <c r="M150" s="28" t="inlineStr">
        <is>
          <t>XOF</t>
        </is>
      </c>
      <c r="N150" s="31" t="inlineStr">
        <is>
          <t>N/D</t>
        </is>
      </c>
      <c r="O150" s="29" t="inlineStr">
        <is>
          <t>Djokstore CI</t>
        </is>
      </c>
      <c r="P150" s="28" t="inlineStr">
        <is>
          <t>CI</t>
        </is>
      </c>
      <c r="Q150" s="33" t="inlineStr">
        <is>
          <t>https://djokstore.ci/collections/brosse-a-dent/products/tetes-de-rechange-brosse-a-dents-electrique-decakila-kmtb008w</t>
        </is>
      </c>
      <c r="R150" s="21" t="n">
        <v>0</v>
      </c>
      <c r="S150" s="22">
        <f>IF(L150="","",MAX('Sélection 10'!$B$8,MROUND(ROUND(L150*IF(M150="EUR",'Sélection 10'!$B$5,IF(M150="USD",'Sélection 10'!$B$5/'Sélection 10'!$B$6,1))*(1-R150),0),500)))</f>
        <v/>
      </c>
      <c r="T150" s="34" t="n">
        <v>37</v>
      </c>
    </row>
    <row r="151">
      <c r="A151" s="13" t="inlineStr">
        <is>
          <t>SG-A923</t>
        </is>
      </c>
      <c r="B151" s="13" t="inlineStr">
        <is>
          <t>Tête de brosse</t>
        </is>
      </c>
      <c r="C151" s="15" t="inlineStr">
        <is>
          <t>N/D</t>
        </is>
      </c>
      <c r="D151" s="14" t="inlineStr">
        <is>
          <t>Tête standard</t>
        </is>
      </c>
      <c r="E151" s="15" t="inlineStr">
        <is>
          <t>N/D</t>
        </is>
      </c>
      <c r="F151" s="15" t="inlineStr">
        <is>
          <t>N/D</t>
        </is>
      </c>
      <c r="G151" s="15" t="inlineStr">
        <is>
          <t>N/D</t>
        </is>
      </c>
      <c r="H151" s="37" t="inlineStr">
        <is>
          <t>N/D</t>
        </is>
      </c>
      <c r="I151" s="15" t="inlineStr">
        <is>
          <t>N/D</t>
        </is>
      </c>
      <c r="J151" s="15" t="inlineStr">
        <is>
          <t>N/D</t>
        </is>
      </c>
      <c r="K151" s="14" t="inlineStr">
        <is>
          <t>Decakila Têtes de rechange KMTB008W (pack de 2)</t>
        </is>
      </c>
      <c r="L151" s="27" t="n">
        <v>1450</v>
      </c>
      <c r="M151" s="28" t="inlineStr">
        <is>
          <t>XOF</t>
        </is>
      </c>
      <c r="N151" s="31" t="inlineStr">
        <is>
          <t>N/D</t>
        </is>
      </c>
      <c r="O151" s="29" t="inlineStr">
        <is>
          <t>Djokstore CI</t>
        </is>
      </c>
      <c r="P151" s="28" t="inlineStr">
        <is>
          <t>CI</t>
        </is>
      </c>
      <c r="Q151" s="33" t="inlineStr">
        <is>
          <t>https://djokstore.ci/collections/brosse-a-dent/products/tetes-de-rechange-brosse-a-dents-electrique-decakila-kmtb008w</t>
        </is>
      </c>
      <c r="R151" s="21" t="n">
        <v>0</v>
      </c>
      <c r="S151" s="22">
        <f>IF(L151="","",MAX('Sélection 10'!$B$8,MROUND(ROUND(L151*IF(M151="EUR",'Sélection 10'!$B$5,IF(M151="USD",'Sélection 10'!$B$5/'Sélection 10'!$B$6,1))*(1-R151),0),500)))</f>
        <v/>
      </c>
      <c r="T151" s="35" t="n">
        <v>50</v>
      </c>
    </row>
    <row r="152">
      <c r="A152" s="25" t="inlineStr">
        <is>
          <t>SG-A021</t>
        </is>
      </c>
      <c r="B152" s="25" t="inlineStr">
        <is>
          <t>Tête de brosse</t>
        </is>
      </c>
      <c r="C152" s="32" t="inlineStr">
        <is>
          <t>N/D</t>
        </is>
      </c>
      <c r="D152" s="26" t="inlineStr">
        <is>
          <t>Tête standard</t>
        </is>
      </c>
      <c r="E152" s="32" t="inlineStr">
        <is>
          <t>N/D</t>
        </is>
      </c>
      <c r="F152" s="32" t="inlineStr">
        <is>
          <t>N/D</t>
        </is>
      </c>
      <c r="G152" s="32" t="inlineStr">
        <is>
          <t>N/D</t>
        </is>
      </c>
      <c r="H152" s="38" t="inlineStr">
        <is>
          <t>N/D</t>
        </is>
      </c>
      <c r="I152" s="32" t="inlineStr">
        <is>
          <t>N/D</t>
        </is>
      </c>
      <c r="J152" s="32" t="inlineStr">
        <is>
          <t>N/D</t>
        </is>
      </c>
      <c r="K152" s="26" t="inlineStr">
        <is>
          <t>Decakila Têtes de rechange KMTB008W (pack de 2)</t>
        </is>
      </c>
      <c r="L152" s="27" t="n">
        <v>1450</v>
      </c>
      <c r="M152" s="28" t="inlineStr">
        <is>
          <t>XOF</t>
        </is>
      </c>
      <c r="N152" s="31" t="inlineStr">
        <is>
          <t>N/D</t>
        </is>
      </c>
      <c r="O152" s="29" t="inlineStr">
        <is>
          <t>Djokstore CI</t>
        </is>
      </c>
      <c r="P152" s="28" t="inlineStr">
        <is>
          <t>CI</t>
        </is>
      </c>
      <c r="Q152" s="33" t="inlineStr">
        <is>
          <t>https://djokstore.ci/collections/brosse-a-dent/products/tetes-de-rechange-brosse-a-dents-electrique-decakila-kmtb008w</t>
        </is>
      </c>
      <c r="R152" s="21" t="n">
        <v>0</v>
      </c>
      <c r="S152" s="22">
        <f>IF(L152="","",MAX('Sélection 10'!$B$8,MROUND(ROUND(L152*IF(M152="EUR",'Sélection 10'!$B$5,IF(M152="USD",'Sélection 10'!$B$5/'Sélection 10'!$B$6,1))*(1-R152),0),500)))</f>
        <v/>
      </c>
      <c r="T152" s="34" t="n">
        <v>50</v>
      </c>
    </row>
    <row r="153">
      <c r="A153" s="13" t="inlineStr">
        <is>
          <t>SG-A022</t>
        </is>
      </c>
      <c r="B153" s="13" t="inlineStr">
        <is>
          <t>Tête de brosse</t>
        </is>
      </c>
      <c r="C153" s="15" t="inlineStr">
        <is>
          <t>N/D</t>
        </is>
      </c>
      <c r="D153" s="14" t="inlineStr">
        <is>
          <t>Tête à brins obliques</t>
        </is>
      </c>
      <c r="E153" s="15" t="inlineStr">
        <is>
          <t>N/D</t>
        </is>
      </c>
      <c r="F153" s="15" t="inlineStr">
        <is>
          <t>N/D</t>
        </is>
      </c>
      <c r="G153" s="15" t="inlineStr">
        <is>
          <t>N/D</t>
        </is>
      </c>
      <c r="H153" s="37" t="inlineStr">
        <is>
          <t>N/D</t>
        </is>
      </c>
      <c r="I153" s="15" t="inlineStr">
        <is>
          <t>N/D</t>
        </is>
      </c>
      <c r="J153" s="15" t="inlineStr">
        <is>
          <t>N/D</t>
        </is>
      </c>
      <c r="K153" s="14" t="inlineStr">
        <is>
          <t>Decakila Têtes de rechange KMTB008W (pack de 2)</t>
        </is>
      </c>
      <c r="L153" s="27" t="n">
        <v>1450</v>
      </c>
      <c r="M153" s="28" t="inlineStr">
        <is>
          <t>XOF</t>
        </is>
      </c>
      <c r="N153" s="31" t="inlineStr">
        <is>
          <t>N/D</t>
        </is>
      </c>
      <c r="O153" s="29" t="inlineStr">
        <is>
          <t>Djokstore CI</t>
        </is>
      </c>
      <c r="P153" s="28" t="inlineStr">
        <is>
          <t>CI</t>
        </is>
      </c>
      <c r="Q153" s="33" t="inlineStr">
        <is>
          <t>https://djokstore.ci/collections/brosse-a-dent/products/tetes-de-rechange-brosse-a-dents-electrique-decakila-kmtb008w</t>
        </is>
      </c>
      <c r="R153" s="21" t="n">
        <v>0</v>
      </c>
      <c r="S153" s="22">
        <f>IF(L153="","",MAX('Sélection 10'!$B$8,MROUND(ROUND(L153*IF(M153="EUR",'Sélection 10'!$B$5,IF(M153="USD",'Sélection 10'!$B$5/'Sélection 10'!$B$6,1))*(1-R153),0),500)))</f>
        <v/>
      </c>
      <c r="T153" s="35" t="n">
        <v>50</v>
      </c>
    </row>
    <row r="154">
      <c r="A154" s="25" t="inlineStr">
        <is>
          <t>SG-A023</t>
        </is>
      </c>
      <c r="B154" s="25" t="inlineStr">
        <is>
          <t>Tête de brosse</t>
        </is>
      </c>
      <c r="C154" s="32" t="inlineStr">
        <is>
          <t>N/D</t>
        </is>
      </c>
      <c r="D154" s="26" t="inlineStr">
        <is>
          <t>Tête avec gratte-langue</t>
        </is>
      </c>
      <c r="E154" s="32" t="inlineStr">
        <is>
          <t>N/D</t>
        </is>
      </c>
      <c r="F154" s="32" t="inlineStr">
        <is>
          <t>N/D</t>
        </is>
      </c>
      <c r="G154" s="32" t="inlineStr">
        <is>
          <t>N/D</t>
        </is>
      </c>
      <c r="H154" s="38" t="inlineStr">
        <is>
          <t>N/D</t>
        </is>
      </c>
      <c r="I154" s="32" t="inlineStr">
        <is>
          <t>N/D</t>
        </is>
      </c>
      <c r="J154" s="32" t="inlineStr">
        <is>
          <t>N/D</t>
        </is>
      </c>
      <c r="K154" s="26" t="inlineStr">
        <is>
          <t>Decakila Têtes de rechange KMTB008W (pack de 2)</t>
        </is>
      </c>
      <c r="L154" s="27" t="n">
        <v>1450</v>
      </c>
      <c r="M154" s="28" t="inlineStr">
        <is>
          <t>XOF</t>
        </is>
      </c>
      <c r="N154" s="31" t="inlineStr">
        <is>
          <t>N/D</t>
        </is>
      </c>
      <c r="O154" s="29" t="inlineStr">
        <is>
          <t>Djokstore CI</t>
        </is>
      </c>
      <c r="P154" s="28" t="inlineStr">
        <is>
          <t>CI</t>
        </is>
      </c>
      <c r="Q154" s="33" t="inlineStr">
        <is>
          <t>https://djokstore.ci/collections/brosse-a-dent/products/tetes-de-rechange-brosse-a-dents-electrique-decakila-kmtb008w</t>
        </is>
      </c>
      <c r="R154" s="21" t="n">
        <v>0</v>
      </c>
      <c r="S154" s="22">
        <f>IF(L154="","",MAX('Sélection 10'!$B$8,MROUND(ROUND(L154*IF(M154="EUR",'Sélection 10'!$B$5,IF(M154="USD",'Sélection 10'!$B$5/'Sélection 10'!$B$6,1))*(1-R154),0),500)))</f>
        <v/>
      </c>
      <c r="T154" s="34" t="n">
        <v>50</v>
      </c>
    </row>
    <row r="155">
      <c r="A155" s="13" t="inlineStr">
        <is>
          <t>SG-A032</t>
        </is>
      </c>
      <c r="B155" s="13" t="inlineStr">
        <is>
          <t>Tête de brosse</t>
        </is>
      </c>
      <c r="C155" s="15" t="inlineStr">
        <is>
          <t>N/D</t>
        </is>
      </c>
      <c r="D155" s="14" t="inlineStr">
        <is>
          <t>Tête interdentaire</t>
        </is>
      </c>
      <c r="E155" s="15" t="inlineStr">
        <is>
          <t>N/D</t>
        </is>
      </c>
      <c r="F155" s="15" t="inlineStr">
        <is>
          <t>N/D</t>
        </is>
      </c>
      <c r="G155" s="15" t="inlineStr">
        <is>
          <t>N/D</t>
        </is>
      </c>
      <c r="H155" s="37" t="inlineStr">
        <is>
          <t>N/D</t>
        </is>
      </c>
      <c r="I155" s="15" t="inlineStr">
        <is>
          <t>N/D</t>
        </is>
      </c>
      <c r="J155" s="15" t="inlineStr">
        <is>
          <t>N/D</t>
        </is>
      </c>
      <c r="K155" s="14" t="inlineStr">
        <is>
          <t>Decakila Têtes de rechange KMTB008W (pack de 2)</t>
        </is>
      </c>
      <c r="L155" s="27" t="n">
        <v>1450</v>
      </c>
      <c r="M155" s="28" t="inlineStr">
        <is>
          <t>XOF</t>
        </is>
      </c>
      <c r="N155" s="31" t="inlineStr">
        <is>
          <t>N/D</t>
        </is>
      </c>
      <c r="O155" s="29" t="inlineStr">
        <is>
          <t>Djokstore CI</t>
        </is>
      </c>
      <c r="P155" s="28" t="inlineStr">
        <is>
          <t>CI</t>
        </is>
      </c>
      <c r="Q155" s="33" t="inlineStr">
        <is>
          <t>https://djokstore.ci/collections/brosse-a-dent/products/tetes-de-rechange-brosse-a-dents-electrique-decakila-kmtb008w</t>
        </is>
      </c>
      <c r="R155" s="21" t="n">
        <v>0</v>
      </c>
      <c r="S155" s="22">
        <f>IF(L155="","",MAX('Sélection 10'!$B$8,MROUND(ROUND(L155*IF(M155="EUR",'Sélection 10'!$B$5,IF(M155="USD",'Sélection 10'!$B$5/'Sélection 10'!$B$6,1))*(1-R155),0),500)))</f>
        <v/>
      </c>
      <c r="T155" s="35" t="n">
        <v>50</v>
      </c>
    </row>
    <row r="156">
      <c r="A156" s="25" t="inlineStr">
        <is>
          <t>SG-A036</t>
        </is>
      </c>
      <c r="B156" s="25" t="inlineStr">
        <is>
          <t>Tête de brosse</t>
        </is>
      </c>
      <c r="C156" s="32" t="inlineStr">
        <is>
          <t>N/D</t>
        </is>
      </c>
      <c r="D156" s="26" t="inlineStr">
        <is>
          <t>Tête interdentaire</t>
        </is>
      </c>
      <c r="E156" s="32" t="inlineStr">
        <is>
          <t>N/D</t>
        </is>
      </c>
      <c r="F156" s="32" t="inlineStr">
        <is>
          <t>N/D</t>
        </is>
      </c>
      <c r="G156" s="32" t="inlineStr">
        <is>
          <t>N/D</t>
        </is>
      </c>
      <c r="H156" s="38" t="inlineStr">
        <is>
          <t>N/D</t>
        </is>
      </c>
      <c r="I156" s="32" t="inlineStr">
        <is>
          <t>N/D</t>
        </is>
      </c>
      <c r="J156" s="32" t="inlineStr">
        <is>
          <t>N/D</t>
        </is>
      </c>
      <c r="K156" s="26" t="inlineStr">
        <is>
          <t>Decakila Têtes de rechange KMTB008W (pack de 2)</t>
        </is>
      </c>
      <c r="L156" s="27" t="n">
        <v>1450</v>
      </c>
      <c r="M156" s="28" t="inlineStr">
        <is>
          <t>XOF</t>
        </is>
      </c>
      <c r="N156" s="31" t="inlineStr">
        <is>
          <t>N/D</t>
        </is>
      </c>
      <c r="O156" s="29" t="inlineStr">
        <is>
          <t>Djokstore CI</t>
        </is>
      </c>
      <c r="P156" s="28" t="inlineStr">
        <is>
          <t>CI</t>
        </is>
      </c>
      <c r="Q156" s="33" t="inlineStr">
        <is>
          <t>https://djokstore.ci/collections/brosse-a-dent/products/tetes-de-rechange-brosse-a-dents-electrique-decakila-kmtb008w</t>
        </is>
      </c>
      <c r="R156" s="21" t="n">
        <v>0</v>
      </c>
      <c r="S156" s="22">
        <f>IF(L156="","",MAX('Sélection 10'!$B$8,MROUND(ROUND(L156*IF(M156="EUR",'Sélection 10'!$B$5,IF(M156="USD",'Sélection 10'!$B$5/'Sélection 10'!$B$6,1))*(1-R156),0),500)))</f>
        <v/>
      </c>
      <c r="T156" s="34" t="n">
        <v>50</v>
      </c>
    </row>
    <row r="157">
      <c r="A157" s="13" t="inlineStr">
        <is>
          <t>SG-A100</t>
        </is>
      </c>
      <c r="B157" s="13" t="inlineStr">
        <is>
          <t>Tête de brosse</t>
        </is>
      </c>
      <c r="C157" s="15" t="inlineStr">
        <is>
          <t>N/D</t>
        </is>
      </c>
      <c r="D157" s="14" t="inlineStr">
        <is>
          <t>Tête à implantation hétérotype</t>
        </is>
      </c>
      <c r="E157" s="15" t="inlineStr">
        <is>
          <t>N/D</t>
        </is>
      </c>
      <c r="F157" s="15" t="inlineStr">
        <is>
          <t>N/D</t>
        </is>
      </c>
      <c r="G157" s="15" t="inlineStr">
        <is>
          <t>N/D</t>
        </is>
      </c>
      <c r="H157" s="37" t="inlineStr">
        <is>
          <t>N/D</t>
        </is>
      </c>
      <c r="I157" s="15" t="inlineStr">
        <is>
          <t>N/D</t>
        </is>
      </c>
      <c r="J157" s="15" t="inlineStr">
        <is>
          <t>N/D</t>
        </is>
      </c>
      <c r="K157" s="14" t="inlineStr">
        <is>
          <t>Decakila Têtes de rechange KMTB008W (pack de 2)</t>
        </is>
      </c>
      <c r="L157" s="27" t="n">
        <v>1450</v>
      </c>
      <c r="M157" s="28" t="inlineStr">
        <is>
          <t>XOF</t>
        </is>
      </c>
      <c r="N157" s="31" t="inlineStr">
        <is>
          <t>N/D</t>
        </is>
      </c>
      <c r="O157" s="29" t="inlineStr">
        <is>
          <t>Djokstore CI</t>
        </is>
      </c>
      <c r="P157" s="28" t="inlineStr">
        <is>
          <t>CI</t>
        </is>
      </c>
      <c r="Q157" s="33" t="inlineStr">
        <is>
          <t>https://djokstore.ci/collections/brosse-a-dent/products/tetes-de-rechange-brosse-a-dents-electrique-decakila-kmtb008w</t>
        </is>
      </c>
      <c r="R157" s="21" t="n">
        <v>0</v>
      </c>
      <c r="S157" s="22">
        <f>IF(L157="","",MAX('Sélection 10'!$B$8,MROUND(ROUND(L157*IF(M157="EUR",'Sélection 10'!$B$5,IF(M157="USD",'Sélection 10'!$B$5/'Sélection 10'!$B$6,1))*(1-R157),0),500)))</f>
        <v/>
      </c>
      <c r="T157" s="35" t="n">
        <v>50</v>
      </c>
    </row>
    <row r="158">
      <c r="A158" s="25" t="inlineStr">
        <is>
          <t>SG-A928</t>
        </is>
      </c>
      <c r="B158" s="25" t="inlineStr">
        <is>
          <t>Tête de brosse</t>
        </is>
      </c>
      <c r="C158" s="32" t="inlineStr">
        <is>
          <t>N/D</t>
        </is>
      </c>
      <c r="D158" s="26" t="inlineStr">
        <is>
          <t>Tête standard</t>
        </is>
      </c>
      <c r="E158" s="32" t="inlineStr">
        <is>
          <t>N/D</t>
        </is>
      </c>
      <c r="F158" s="32" t="inlineStr">
        <is>
          <t>N/D</t>
        </is>
      </c>
      <c r="G158" s="32" t="inlineStr">
        <is>
          <t>N/D</t>
        </is>
      </c>
      <c r="H158" s="38" t="inlineStr">
        <is>
          <t>N/D</t>
        </is>
      </c>
      <c r="I158" s="32" t="inlineStr">
        <is>
          <t>N/D</t>
        </is>
      </c>
      <c r="J158" s="32" t="inlineStr">
        <is>
          <t>N/D</t>
        </is>
      </c>
      <c r="K158" s="26" t="inlineStr">
        <is>
          <t>Decakila Têtes de rechange KMTB008W (pack de 2)</t>
        </is>
      </c>
      <c r="L158" s="27" t="n">
        <v>1450</v>
      </c>
      <c r="M158" s="28" t="inlineStr">
        <is>
          <t>XOF</t>
        </is>
      </c>
      <c r="N158" s="31" t="inlineStr">
        <is>
          <t>N/D</t>
        </is>
      </c>
      <c r="O158" s="29" t="inlineStr">
        <is>
          <t>Djokstore CI</t>
        </is>
      </c>
      <c r="P158" s="28" t="inlineStr">
        <is>
          <t>CI</t>
        </is>
      </c>
      <c r="Q158" s="33" t="inlineStr">
        <is>
          <t>https://djokstore.ci/collections/brosse-a-dent/products/tetes-de-rechange-brosse-a-dents-electrique-decakila-kmtb008w</t>
        </is>
      </c>
      <c r="R158" s="21" t="n">
        <v>0</v>
      </c>
      <c r="S158" s="22">
        <f>IF(L158="","",MAX('Sélection 10'!$B$8,MROUND(ROUND(L158*IF(M158="EUR",'Sélection 10'!$B$5,IF(M158="USD",'Sélection 10'!$B$5/'Sélection 10'!$B$6,1))*(1-R158),0),500)))</f>
        <v/>
      </c>
      <c r="T158" s="34" t="n">
        <v>50</v>
      </c>
    </row>
    <row r="159">
      <c r="A159" s="13" t="inlineStr">
        <is>
          <t>SG-G001</t>
        </is>
      </c>
      <c r="B159" s="13" t="inlineStr">
        <is>
          <t>Tête de brosse</t>
        </is>
      </c>
      <c r="C159" s="15" t="inlineStr">
        <is>
          <t>N/D</t>
        </is>
      </c>
      <c r="D159" s="14" t="inlineStr">
        <is>
          <t>Tête standard</t>
        </is>
      </c>
      <c r="E159" s="15" t="inlineStr">
        <is>
          <t>N/D</t>
        </is>
      </c>
      <c r="F159" s="15" t="inlineStr">
        <is>
          <t>N/D</t>
        </is>
      </c>
      <c r="G159" s="15" t="inlineStr">
        <is>
          <t>N/D</t>
        </is>
      </c>
      <c r="H159" s="37" t="inlineStr">
        <is>
          <t>N/D</t>
        </is>
      </c>
      <c r="I159" s="15" t="inlineStr">
        <is>
          <t>N/D</t>
        </is>
      </c>
      <c r="J159" s="15" t="inlineStr">
        <is>
          <t>N/D</t>
        </is>
      </c>
      <c r="K159" s="14" t="inlineStr">
        <is>
          <t>Decakila Têtes de rechange KMTB008W (pack de 2)</t>
        </is>
      </c>
      <c r="L159" s="27" t="n">
        <v>1450</v>
      </c>
      <c r="M159" s="28" t="inlineStr">
        <is>
          <t>XOF</t>
        </is>
      </c>
      <c r="N159" s="31" t="inlineStr">
        <is>
          <t>N/D</t>
        </is>
      </c>
      <c r="O159" s="29" t="inlineStr">
        <is>
          <t>Djokstore CI</t>
        </is>
      </c>
      <c r="P159" s="28" t="inlineStr">
        <is>
          <t>CI</t>
        </is>
      </c>
      <c r="Q159" s="33" t="inlineStr">
        <is>
          <t>https://djokstore.ci/collections/brosse-a-dent/products/tetes-de-rechange-brosse-a-dents-electrique-decakila-kmtb008w</t>
        </is>
      </c>
      <c r="R159" s="21" t="n">
        <v>0</v>
      </c>
      <c r="S159" s="22">
        <f>IF(L159="","",MAX('Sélection 10'!$B$8,MROUND(ROUND(L159*IF(M159="EUR",'Sélection 10'!$B$5,IF(M159="USD",'Sélection 10'!$B$5/'Sélection 10'!$B$6,1))*(1-R159),0),500)))</f>
        <v/>
      </c>
      <c r="T159" s="35" t="n">
        <v>50</v>
      </c>
    </row>
    <row r="160">
      <c r="A160" s="25" t="inlineStr">
        <is>
          <t>SG-G002</t>
        </is>
      </c>
      <c r="B160" s="25" t="inlineStr">
        <is>
          <t>Tête de brosse</t>
        </is>
      </c>
      <c r="C160" s="32" t="inlineStr">
        <is>
          <t>N/D</t>
        </is>
      </c>
      <c r="D160" s="26" t="inlineStr">
        <is>
          <t>Tête à implantation hétérotype</t>
        </is>
      </c>
      <c r="E160" s="32" t="inlineStr">
        <is>
          <t>N/D</t>
        </is>
      </c>
      <c r="F160" s="32" t="inlineStr">
        <is>
          <t>N/D</t>
        </is>
      </c>
      <c r="G160" s="32" t="inlineStr">
        <is>
          <t>N/D</t>
        </is>
      </c>
      <c r="H160" s="38" t="inlineStr">
        <is>
          <t>N/D</t>
        </is>
      </c>
      <c r="I160" s="32" t="inlineStr">
        <is>
          <t>N/D</t>
        </is>
      </c>
      <c r="J160" s="32" t="inlineStr">
        <is>
          <t>N/D</t>
        </is>
      </c>
      <c r="K160" s="26" t="inlineStr">
        <is>
          <t>Decakila Têtes de rechange KMTB008W (pack de 2)</t>
        </is>
      </c>
      <c r="L160" s="27" t="n">
        <v>1450</v>
      </c>
      <c r="M160" s="28" t="inlineStr">
        <is>
          <t>XOF</t>
        </is>
      </c>
      <c r="N160" s="31" t="inlineStr">
        <is>
          <t>N/D</t>
        </is>
      </c>
      <c r="O160" s="29" t="inlineStr">
        <is>
          <t>Djokstore CI</t>
        </is>
      </c>
      <c r="P160" s="28" t="inlineStr">
        <is>
          <t>CI</t>
        </is>
      </c>
      <c r="Q160" s="33" t="inlineStr">
        <is>
          <t>https://djokstore.ci/collections/brosse-a-dent/products/tetes-de-rechange-brosse-a-dents-electrique-decakila-kmtb008w</t>
        </is>
      </c>
      <c r="R160" s="21" t="n">
        <v>0</v>
      </c>
      <c r="S160" s="22">
        <f>IF(L160="","",MAX('Sélection 10'!$B$8,MROUND(ROUND(L160*IF(M160="EUR",'Sélection 10'!$B$5,IF(M160="USD",'Sélection 10'!$B$5/'Sélection 10'!$B$6,1))*(1-R160),0),500)))</f>
        <v/>
      </c>
      <c r="T160" s="34" t="n">
        <v>50</v>
      </c>
    </row>
    <row r="161">
      <c r="A161" s="13" t="inlineStr">
        <is>
          <t>SG-G044</t>
        </is>
      </c>
      <c r="B161" s="13" t="inlineStr">
        <is>
          <t>Tête de brosse</t>
        </is>
      </c>
      <c r="C161" s="15" t="inlineStr">
        <is>
          <t>N/D</t>
        </is>
      </c>
      <c r="D161" s="14" t="inlineStr">
        <is>
          <t>Tête interdentaire</t>
        </is>
      </c>
      <c r="E161" s="15" t="inlineStr">
        <is>
          <t>N/D</t>
        </is>
      </c>
      <c r="F161" s="15" t="inlineStr">
        <is>
          <t>N/D</t>
        </is>
      </c>
      <c r="G161" s="15" t="inlineStr">
        <is>
          <t>N/D</t>
        </is>
      </c>
      <c r="H161" s="37" t="inlineStr">
        <is>
          <t>N/D</t>
        </is>
      </c>
      <c r="I161" s="15" t="inlineStr">
        <is>
          <t>N/D</t>
        </is>
      </c>
      <c r="J161" s="15" t="inlineStr">
        <is>
          <t>N/D</t>
        </is>
      </c>
      <c r="K161" s="14" t="inlineStr">
        <is>
          <t>Decakila Têtes de rechange KMTB008W (pack de 2)</t>
        </is>
      </c>
      <c r="L161" s="27" t="n">
        <v>1450</v>
      </c>
      <c r="M161" s="28" t="inlineStr">
        <is>
          <t>XOF</t>
        </is>
      </c>
      <c r="N161" s="31" t="inlineStr">
        <is>
          <t>N/D</t>
        </is>
      </c>
      <c r="O161" s="29" t="inlineStr">
        <is>
          <t>Djokstore CI</t>
        </is>
      </c>
      <c r="P161" s="28" t="inlineStr">
        <is>
          <t>CI</t>
        </is>
      </c>
      <c r="Q161" s="33" t="inlineStr">
        <is>
          <t>https://djokstore.ci/collections/brosse-a-dent/products/tetes-de-rechange-brosse-a-dents-electrique-decakila-kmtb008w</t>
        </is>
      </c>
      <c r="R161" s="21" t="n">
        <v>0</v>
      </c>
      <c r="S161" s="22">
        <f>IF(L161="","",MAX('Sélection 10'!$B$8,MROUND(ROUND(L161*IF(M161="EUR",'Sélection 10'!$B$5,IF(M161="USD",'Sélection 10'!$B$5/'Sélection 10'!$B$6,1))*(1-R161),0),500)))</f>
        <v/>
      </c>
      <c r="T161" s="35" t="n">
        <v>50</v>
      </c>
    </row>
    <row r="162">
      <c r="A162" s="25" t="inlineStr">
        <is>
          <t>SG-G045</t>
        </is>
      </c>
      <c r="B162" s="25" t="inlineStr">
        <is>
          <t>Tête de brosse</t>
        </is>
      </c>
      <c r="C162" s="32" t="inlineStr">
        <is>
          <t>N/D</t>
        </is>
      </c>
      <c r="D162" s="26" t="inlineStr">
        <is>
          <t>Tête standard</t>
        </is>
      </c>
      <c r="E162" s="32" t="inlineStr">
        <is>
          <t>N/D</t>
        </is>
      </c>
      <c r="F162" s="32" t="inlineStr">
        <is>
          <t>N/D</t>
        </is>
      </c>
      <c r="G162" s="32" t="inlineStr">
        <is>
          <t>N/D</t>
        </is>
      </c>
      <c r="H162" s="38" t="inlineStr">
        <is>
          <t>N/D</t>
        </is>
      </c>
      <c r="I162" s="32" t="inlineStr">
        <is>
          <t>N/D</t>
        </is>
      </c>
      <c r="J162" s="32" t="inlineStr">
        <is>
          <t>N/D</t>
        </is>
      </c>
      <c r="K162" s="26" t="inlineStr">
        <is>
          <t>Decakila Têtes de rechange KMTB008W (pack de 2)</t>
        </is>
      </c>
      <c r="L162" s="27" t="n">
        <v>1450</v>
      </c>
      <c r="M162" s="28" t="inlineStr">
        <is>
          <t>XOF</t>
        </is>
      </c>
      <c r="N162" s="31" t="inlineStr">
        <is>
          <t>N/D</t>
        </is>
      </c>
      <c r="O162" s="29" t="inlineStr">
        <is>
          <t>Djokstore CI</t>
        </is>
      </c>
      <c r="P162" s="28" t="inlineStr">
        <is>
          <t>CI</t>
        </is>
      </c>
      <c r="Q162" s="33" t="inlineStr">
        <is>
          <t>https://djokstore.ci/collections/brosse-a-dent/products/tetes-de-rechange-brosse-a-dents-electrique-decakila-kmtb008w</t>
        </is>
      </c>
      <c r="R162" s="21" t="n">
        <v>0</v>
      </c>
      <c r="S162" s="22">
        <f>IF(L162="","",MAX('Sélection 10'!$B$8,MROUND(ROUND(L162*IF(M162="EUR",'Sélection 10'!$B$5,IF(M162="USD",'Sélection 10'!$B$5/'Sélection 10'!$B$6,1))*(1-R162),0),500)))</f>
        <v/>
      </c>
      <c r="T162" s="34" t="n">
        <v>50</v>
      </c>
    </row>
    <row r="163">
      <c r="A163" s="13" t="inlineStr">
        <is>
          <t>SG-G048</t>
        </is>
      </c>
      <c r="B163" s="13" t="inlineStr">
        <is>
          <t>Tête de brosse</t>
        </is>
      </c>
      <c r="C163" s="15" t="inlineStr">
        <is>
          <t>N/D</t>
        </is>
      </c>
      <c r="D163" s="14" t="inlineStr">
        <is>
          <t>Tête mini</t>
        </is>
      </c>
      <c r="E163" s="15" t="inlineStr">
        <is>
          <t>N/D</t>
        </is>
      </c>
      <c r="F163" s="15" t="inlineStr">
        <is>
          <t>N/D</t>
        </is>
      </c>
      <c r="G163" s="15" t="inlineStr">
        <is>
          <t>N/D</t>
        </is>
      </c>
      <c r="H163" s="37" t="inlineStr">
        <is>
          <t>N/D</t>
        </is>
      </c>
      <c r="I163" s="15" t="inlineStr">
        <is>
          <t>N/D</t>
        </is>
      </c>
      <c r="J163" s="15" t="inlineStr">
        <is>
          <t>N/D</t>
        </is>
      </c>
      <c r="K163" s="14" t="inlineStr">
        <is>
          <t>Decakila Têtes de rechange KMTB008W (pack de 2)</t>
        </is>
      </c>
      <c r="L163" s="27" t="n">
        <v>1450</v>
      </c>
      <c r="M163" s="28" t="inlineStr">
        <is>
          <t>XOF</t>
        </is>
      </c>
      <c r="N163" s="31" t="inlineStr">
        <is>
          <t>N/D</t>
        </is>
      </c>
      <c r="O163" s="29" t="inlineStr">
        <is>
          <t>Djokstore CI</t>
        </is>
      </c>
      <c r="P163" s="28" t="inlineStr">
        <is>
          <t>CI</t>
        </is>
      </c>
      <c r="Q163" s="33" t="inlineStr">
        <is>
          <t>https://djokstore.ci/collections/brosse-a-dent/products/tetes-de-rechange-brosse-a-dents-electrique-decakila-kmtb008w</t>
        </is>
      </c>
      <c r="R163" s="21" t="n">
        <v>0</v>
      </c>
      <c r="S163" s="22">
        <f>IF(L163="","",MAX('Sélection 10'!$B$8,MROUND(ROUND(L163*IF(M163="EUR",'Sélection 10'!$B$5,IF(M163="USD",'Sélection 10'!$B$5/'Sélection 10'!$B$6,1))*(1-R163),0),500)))</f>
        <v/>
      </c>
      <c r="T163" s="35" t="n">
        <v>50</v>
      </c>
    </row>
    <row r="164">
      <c r="A164" s="25" t="inlineStr">
        <is>
          <t>SG-G049</t>
        </is>
      </c>
      <c r="B164" s="25" t="inlineStr">
        <is>
          <t>Tête de brosse</t>
        </is>
      </c>
      <c r="C164" s="32" t="inlineStr">
        <is>
          <t>N/D</t>
        </is>
      </c>
      <c r="D164" s="26" t="inlineStr">
        <is>
          <t>Tête large</t>
        </is>
      </c>
      <c r="E164" s="32" t="inlineStr">
        <is>
          <t>N/D</t>
        </is>
      </c>
      <c r="F164" s="32" t="inlineStr">
        <is>
          <t>N/D</t>
        </is>
      </c>
      <c r="G164" s="32" t="inlineStr">
        <is>
          <t>N/D</t>
        </is>
      </c>
      <c r="H164" s="38" t="inlineStr">
        <is>
          <t>N/D</t>
        </is>
      </c>
      <c r="I164" s="32" t="inlineStr">
        <is>
          <t>N/D</t>
        </is>
      </c>
      <c r="J164" s="32" t="inlineStr">
        <is>
          <t>N/D</t>
        </is>
      </c>
      <c r="K164" s="26" t="inlineStr">
        <is>
          <t>Decakila Têtes de rechange KMTB008W (pack de 2)</t>
        </is>
      </c>
      <c r="L164" s="27" t="n">
        <v>1450</v>
      </c>
      <c r="M164" s="28" t="inlineStr">
        <is>
          <t>XOF</t>
        </is>
      </c>
      <c r="N164" s="31" t="inlineStr">
        <is>
          <t>N/D</t>
        </is>
      </c>
      <c r="O164" s="29" t="inlineStr">
        <is>
          <t>Djokstore CI</t>
        </is>
      </c>
      <c r="P164" s="28" t="inlineStr">
        <is>
          <t>CI</t>
        </is>
      </c>
      <c r="Q164" s="33" t="inlineStr">
        <is>
          <t>https://djokstore.ci/collections/brosse-a-dent/products/tetes-de-rechange-brosse-a-dents-electrique-decakila-kmtb008w</t>
        </is>
      </c>
      <c r="R164" s="21" t="n">
        <v>0</v>
      </c>
      <c r="S164" s="22">
        <f>IF(L164="","",MAX('Sélection 10'!$B$8,MROUND(ROUND(L164*IF(M164="EUR",'Sélection 10'!$B$5,IF(M164="USD",'Sélection 10'!$B$5/'Sélection 10'!$B$6,1))*(1-R164),0),500)))</f>
        <v/>
      </c>
      <c r="T164" s="34" t="n">
        <v>50</v>
      </c>
    </row>
    <row r="165">
      <c r="A165" s="13" t="inlineStr">
        <is>
          <t>SG-i026</t>
        </is>
      </c>
      <c r="B165" s="13" t="inlineStr">
        <is>
          <t>Tête de brosse</t>
        </is>
      </c>
      <c r="C165" s="15" t="inlineStr">
        <is>
          <t>N/D</t>
        </is>
      </c>
      <c r="D165" s="14" t="inlineStr">
        <is>
          <t>Tête standard</t>
        </is>
      </c>
      <c r="E165" s="15" t="inlineStr">
        <is>
          <t>N/D</t>
        </is>
      </c>
      <c r="F165" s="15" t="inlineStr">
        <is>
          <t>N/D</t>
        </is>
      </c>
      <c r="G165" s="15" t="inlineStr">
        <is>
          <t>N/D</t>
        </is>
      </c>
      <c r="H165" s="37" t="inlineStr">
        <is>
          <t>N/D</t>
        </is>
      </c>
      <c r="I165" s="15" t="inlineStr">
        <is>
          <t>N/D</t>
        </is>
      </c>
      <c r="J165" s="15" t="inlineStr">
        <is>
          <t>N/D</t>
        </is>
      </c>
      <c r="K165" s="14" t="inlineStr">
        <is>
          <t>Decakila Têtes de rechange KMTB008W (pack de 2)</t>
        </is>
      </c>
      <c r="L165" s="27" t="n">
        <v>1450</v>
      </c>
      <c r="M165" s="28" t="inlineStr">
        <is>
          <t>XOF</t>
        </is>
      </c>
      <c r="N165" s="31" t="inlineStr">
        <is>
          <t>N/D</t>
        </is>
      </c>
      <c r="O165" s="29" t="inlineStr">
        <is>
          <t>Djokstore CI</t>
        </is>
      </c>
      <c r="P165" s="28" t="inlineStr">
        <is>
          <t>CI</t>
        </is>
      </c>
      <c r="Q165" s="33" t="inlineStr">
        <is>
          <t>https://djokstore.ci/collections/brosse-a-dent/products/tetes-de-rechange-brosse-a-dents-electrique-decakila-kmtb008w</t>
        </is>
      </c>
      <c r="R165" s="21" t="n">
        <v>0</v>
      </c>
      <c r="S165" s="22">
        <f>IF(L165="","",MAX('Sélection 10'!$B$8,MROUND(ROUND(L165*IF(M165="EUR",'Sélection 10'!$B$5,IF(M165="USD",'Sélection 10'!$B$5/'Sélection 10'!$B$6,1))*(1-R165),0),500)))</f>
        <v/>
      </c>
      <c r="T165" s="35" t="n">
        <v>50</v>
      </c>
    </row>
    <row r="166">
      <c r="A166" s="25" t="inlineStr">
        <is>
          <t>SG-i932</t>
        </is>
      </c>
      <c r="B166" s="25" t="inlineStr">
        <is>
          <t>Tête de brosse</t>
        </is>
      </c>
      <c r="C166" s="32" t="inlineStr">
        <is>
          <t>N/D</t>
        </is>
      </c>
      <c r="D166" s="26" t="inlineStr">
        <is>
          <t>Tête standard</t>
        </is>
      </c>
      <c r="E166" s="32" t="inlineStr">
        <is>
          <t>N/D</t>
        </is>
      </c>
      <c r="F166" s="32" t="inlineStr">
        <is>
          <t>N/D</t>
        </is>
      </c>
      <c r="G166" s="32" t="inlineStr">
        <is>
          <t>N/D</t>
        </is>
      </c>
      <c r="H166" s="38" t="inlineStr">
        <is>
          <t>N/D</t>
        </is>
      </c>
      <c r="I166" s="32" t="inlineStr">
        <is>
          <t>N/D</t>
        </is>
      </c>
      <c r="J166" s="32" t="inlineStr">
        <is>
          <t>N/D</t>
        </is>
      </c>
      <c r="K166" s="26" t="inlineStr">
        <is>
          <t>Decakila Têtes de rechange KMTB008W (pack de 2)</t>
        </is>
      </c>
      <c r="L166" s="27" t="n">
        <v>1450</v>
      </c>
      <c r="M166" s="28" t="inlineStr">
        <is>
          <t>XOF</t>
        </is>
      </c>
      <c r="N166" s="31" t="inlineStr">
        <is>
          <t>N/D</t>
        </is>
      </c>
      <c r="O166" s="29" t="inlineStr">
        <is>
          <t>Djokstore CI</t>
        </is>
      </c>
      <c r="P166" s="28" t="inlineStr">
        <is>
          <t>CI</t>
        </is>
      </c>
      <c r="Q166" s="33" t="inlineStr">
        <is>
          <t>https://djokstore.ci/collections/brosse-a-dent/products/tetes-de-rechange-brosse-a-dents-electrique-decakila-kmtb008w</t>
        </is>
      </c>
      <c r="R166" s="21" t="n">
        <v>0</v>
      </c>
      <c r="S166" s="22">
        <f>IF(L166="","",MAX('Sélection 10'!$B$8,MROUND(ROUND(L166*IF(M166="EUR",'Sélection 10'!$B$5,IF(M166="USD",'Sélection 10'!$B$5/'Sélection 10'!$B$6,1))*(1-R166),0),500)))</f>
        <v/>
      </c>
      <c r="T166" s="34" t="n">
        <v>50</v>
      </c>
    </row>
    <row r="167">
      <c r="A167" s="13" t="inlineStr">
        <is>
          <t>SG-H025</t>
        </is>
      </c>
      <c r="B167" s="13" t="inlineStr">
        <is>
          <t>Tête de brosse</t>
        </is>
      </c>
      <c r="C167" s="15" t="inlineStr">
        <is>
          <t>N/D</t>
        </is>
      </c>
      <c r="D167" s="14" t="inlineStr">
        <is>
          <t>Petite tête</t>
        </is>
      </c>
      <c r="E167" s="15" t="inlineStr">
        <is>
          <t>N/D</t>
        </is>
      </c>
      <c r="F167" s="15" t="inlineStr">
        <is>
          <t>N/D</t>
        </is>
      </c>
      <c r="G167" s="15" t="inlineStr">
        <is>
          <t>N/D</t>
        </is>
      </c>
      <c r="H167" s="37" t="inlineStr">
        <is>
          <t>N/D</t>
        </is>
      </c>
      <c r="I167" s="15" t="inlineStr">
        <is>
          <t>N/D</t>
        </is>
      </c>
      <c r="J167" s="15" t="inlineStr">
        <is>
          <t>N/D</t>
        </is>
      </c>
      <c r="K167" s="14" t="inlineStr">
        <is>
          <t>Decakila Têtes de rechange KMTB008W (pack de 2)</t>
        </is>
      </c>
      <c r="L167" s="27" t="n">
        <v>1450</v>
      </c>
      <c r="M167" s="28" t="inlineStr">
        <is>
          <t>XOF</t>
        </is>
      </c>
      <c r="N167" s="31" t="inlineStr">
        <is>
          <t>N/D</t>
        </is>
      </c>
      <c r="O167" s="29" t="inlineStr">
        <is>
          <t>Djokstore CI</t>
        </is>
      </c>
      <c r="P167" s="28" t="inlineStr">
        <is>
          <t>CI</t>
        </is>
      </c>
      <c r="Q167" s="33" t="inlineStr">
        <is>
          <t>https://djokstore.ci/collections/brosse-a-dent/products/tetes-de-rechange-brosse-a-dents-electrique-decakila-kmtb008w</t>
        </is>
      </c>
      <c r="R167" s="21" t="n">
        <v>0</v>
      </c>
      <c r="S167" s="22">
        <f>IF(L167="","",MAX('Sélection 10'!$B$8,MROUND(ROUND(L167*IF(M167="EUR",'Sélection 10'!$B$5,IF(M167="USD",'Sélection 10'!$B$5/'Sélection 10'!$B$6,1))*(1-R167),0),500)))</f>
        <v/>
      </c>
      <c r="T167" s="35" t="n">
        <v>61</v>
      </c>
    </row>
    <row r="168">
      <c r="A168" s="25" t="inlineStr">
        <is>
          <t>SG-H037</t>
        </is>
      </c>
      <c r="B168" s="25" t="inlineStr">
        <is>
          <t>Tête de brosse</t>
        </is>
      </c>
      <c r="C168" s="32" t="inlineStr">
        <is>
          <t>N/D</t>
        </is>
      </c>
      <c r="D168" s="26" t="inlineStr">
        <is>
          <t>Tête medium</t>
        </is>
      </c>
      <c r="E168" s="32" t="inlineStr">
        <is>
          <t>N/D</t>
        </is>
      </c>
      <c r="F168" s="32" t="inlineStr">
        <is>
          <t>N/D</t>
        </is>
      </c>
      <c r="G168" s="32" t="inlineStr">
        <is>
          <t>N/D</t>
        </is>
      </c>
      <c r="H168" s="38" t="inlineStr">
        <is>
          <t>N/D</t>
        </is>
      </c>
      <c r="I168" s="32" t="inlineStr">
        <is>
          <t>N/D</t>
        </is>
      </c>
      <c r="J168" s="32" t="inlineStr">
        <is>
          <t>N/D</t>
        </is>
      </c>
      <c r="K168" s="26" t="inlineStr">
        <is>
          <t>Decakila Têtes de rechange KMTB008W (pack de 2)</t>
        </is>
      </c>
      <c r="L168" s="27" t="n">
        <v>1450</v>
      </c>
      <c r="M168" s="28" t="inlineStr">
        <is>
          <t>XOF</t>
        </is>
      </c>
      <c r="N168" s="31" t="inlineStr">
        <is>
          <t>N/D</t>
        </is>
      </c>
      <c r="O168" s="29" t="inlineStr">
        <is>
          <t>Djokstore CI</t>
        </is>
      </c>
      <c r="P168" s="28" t="inlineStr">
        <is>
          <t>CI</t>
        </is>
      </c>
      <c r="Q168" s="33" t="inlineStr">
        <is>
          <t>https://djokstore.ci/collections/brosse-a-dent/products/tetes-de-rechange-brosse-a-dents-electrique-decakila-kmtb008w</t>
        </is>
      </c>
      <c r="R168" s="21" t="n">
        <v>0</v>
      </c>
      <c r="S168" s="22">
        <f>IF(L168="","",MAX('Sélection 10'!$B$8,MROUND(ROUND(L168*IF(M168="EUR",'Sélection 10'!$B$5,IF(M168="USD",'Sélection 10'!$B$5/'Sélection 10'!$B$6,1))*(1-R168),0),500)))</f>
        <v/>
      </c>
      <c r="T168" s="34" t="n">
        <v>61</v>
      </c>
    </row>
    <row r="169">
      <c r="A169" s="13" t="inlineStr">
        <is>
          <t>SG-H047</t>
        </is>
      </c>
      <c r="B169" s="13" t="inlineStr">
        <is>
          <t>Tête de brosse</t>
        </is>
      </c>
      <c r="C169" s="15" t="inlineStr">
        <is>
          <t>N/D</t>
        </is>
      </c>
      <c r="D169" s="14" t="inlineStr">
        <is>
          <t>Petite tête avec gratte-langue</t>
        </is>
      </c>
      <c r="E169" s="15" t="inlineStr">
        <is>
          <t>N/D</t>
        </is>
      </c>
      <c r="F169" s="15" t="inlineStr">
        <is>
          <t>N/D</t>
        </is>
      </c>
      <c r="G169" s="15" t="inlineStr">
        <is>
          <t>N/D</t>
        </is>
      </c>
      <c r="H169" s="37" t="inlineStr">
        <is>
          <t>N/D</t>
        </is>
      </c>
      <c r="I169" s="15" t="inlineStr">
        <is>
          <t>N/D</t>
        </is>
      </c>
      <c r="J169" s="15" t="inlineStr">
        <is>
          <t>N/D</t>
        </is>
      </c>
      <c r="K169" s="14" t="inlineStr">
        <is>
          <t>Decakila Têtes de rechange KMTB008W (pack de 2)</t>
        </is>
      </c>
      <c r="L169" s="27" t="n">
        <v>1450</v>
      </c>
      <c r="M169" s="28" t="inlineStr">
        <is>
          <t>XOF</t>
        </is>
      </c>
      <c r="N169" s="31" t="inlineStr">
        <is>
          <t>N/D</t>
        </is>
      </c>
      <c r="O169" s="29" t="inlineStr">
        <is>
          <t>Djokstore CI</t>
        </is>
      </c>
      <c r="P169" s="28" t="inlineStr">
        <is>
          <t>CI</t>
        </is>
      </c>
      <c r="Q169" s="33" t="inlineStr">
        <is>
          <t>https://djokstore.ci/collections/brosse-a-dent/products/tetes-de-rechange-brosse-a-dents-electrique-decakila-kmtb008w</t>
        </is>
      </c>
      <c r="R169" s="21" t="n">
        <v>0</v>
      </c>
      <c r="S169" s="22">
        <f>IF(L169="","",MAX('Sélection 10'!$B$8,MROUND(ROUND(L169*IF(M169="EUR",'Sélection 10'!$B$5,IF(M169="USD",'Sélection 10'!$B$5/'Sélection 10'!$B$6,1))*(1-R169),0),500)))</f>
        <v/>
      </c>
      <c r="T169" s="35" t="n">
        <v>61</v>
      </c>
    </row>
    <row r="170">
      <c r="A170" s="25" t="inlineStr">
        <is>
          <t>SG-H923</t>
        </is>
      </c>
      <c r="B170" s="25" t="inlineStr">
        <is>
          <t>Tête de brosse</t>
        </is>
      </c>
      <c r="C170" s="32" t="inlineStr">
        <is>
          <t>N/D</t>
        </is>
      </c>
      <c r="D170" s="26" t="inlineStr">
        <is>
          <t>Grande tête</t>
        </is>
      </c>
      <c r="E170" s="32" t="inlineStr">
        <is>
          <t>N/D</t>
        </is>
      </c>
      <c r="F170" s="32" t="inlineStr">
        <is>
          <t>N/D</t>
        </is>
      </c>
      <c r="G170" s="32" t="inlineStr">
        <is>
          <t>N/D</t>
        </is>
      </c>
      <c r="H170" s="38" t="inlineStr">
        <is>
          <t>N/D</t>
        </is>
      </c>
      <c r="I170" s="32" t="inlineStr">
        <is>
          <t>N/D</t>
        </is>
      </c>
      <c r="J170" s="32" t="inlineStr">
        <is>
          <t>N/D</t>
        </is>
      </c>
      <c r="K170" s="26" t="inlineStr">
        <is>
          <t>Decakila Têtes de rechange KMTB008W (pack de 2)</t>
        </is>
      </c>
      <c r="L170" s="27" t="n">
        <v>1450</v>
      </c>
      <c r="M170" s="28" t="inlineStr">
        <is>
          <t>XOF</t>
        </is>
      </c>
      <c r="N170" s="31" t="inlineStr">
        <is>
          <t>N/D</t>
        </is>
      </c>
      <c r="O170" s="29" t="inlineStr">
        <is>
          <t>Djokstore CI</t>
        </is>
      </c>
      <c r="P170" s="28" t="inlineStr">
        <is>
          <t>CI</t>
        </is>
      </c>
      <c r="Q170" s="33" t="inlineStr">
        <is>
          <t>https://djokstore.ci/collections/brosse-a-dent/products/tetes-de-rechange-brosse-a-dents-electrique-decakila-kmtb008w</t>
        </is>
      </c>
      <c r="R170" s="21" t="n">
        <v>0</v>
      </c>
      <c r="S170" s="22">
        <f>IF(L170="","",MAX('Sélection 10'!$B$8,MROUND(ROUND(L170*IF(M170="EUR",'Sélection 10'!$B$5,IF(M170="USD",'Sélection 10'!$B$5/'Sélection 10'!$B$6,1))*(1-R170),0),500)))</f>
        <v/>
      </c>
      <c r="T170" s="34" t="n">
        <v>61</v>
      </c>
    </row>
    <row r="171">
      <c r="A171" s="13" t="inlineStr">
        <is>
          <t>SG-H029</t>
        </is>
      </c>
      <c r="B171" s="13" t="inlineStr">
        <is>
          <t>Tête de brosse</t>
        </is>
      </c>
      <c r="C171" s="15" t="inlineStr">
        <is>
          <t>N/D</t>
        </is>
      </c>
      <c r="D171" s="14" t="inlineStr">
        <is>
          <t>Tête interdentaire</t>
        </is>
      </c>
      <c r="E171" s="15" t="inlineStr">
        <is>
          <t>N/D</t>
        </is>
      </c>
      <c r="F171" s="15" t="inlineStr">
        <is>
          <t>N/D</t>
        </is>
      </c>
      <c r="G171" s="15" t="inlineStr">
        <is>
          <t>N/D</t>
        </is>
      </c>
      <c r="H171" s="37" t="inlineStr">
        <is>
          <t>N/D</t>
        </is>
      </c>
      <c r="I171" s="15" t="inlineStr">
        <is>
          <t>N/D</t>
        </is>
      </c>
      <c r="J171" s="15" t="inlineStr">
        <is>
          <t>N/D</t>
        </is>
      </c>
      <c r="K171" s="14" t="inlineStr">
        <is>
          <t>Decakila Têtes de rechange KMTB008W (pack de 2)</t>
        </is>
      </c>
      <c r="L171" s="27" t="n">
        <v>1450</v>
      </c>
      <c r="M171" s="28" t="inlineStr">
        <is>
          <t>XOF</t>
        </is>
      </c>
      <c r="N171" s="31" t="inlineStr">
        <is>
          <t>N/D</t>
        </is>
      </c>
      <c r="O171" s="29" t="inlineStr">
        <is>
          <t>Djokstore CI</t>
        </is>
      </c>
      <c r="P171" s="28" t="inlineStr">
        <is>
          <t>CI</t>
        </is>
      </c>
      <c r="Q171" s="33" t="inlineStr">
        <is>
          <t>https://djokstore.ci/collections/brosse-a-dent/products/tetes-de-rechange-brosse-a-dents-electrique-decakila-kmtb008w</t>
        </is>
      </c>
      <c r="R171" s="21" t="n">
        <v>0</v>
      </c>
      <c r="S171" s="22">
        <f>IF(L171="","",MAX('Sélection 10'!$B$8,MROUND(ROUND(L171*IF(M171="EUR",'Sélection 10'!$B$5,IF(M171="USD",'Sélection 10'!$B$5/'Sélection 10'!$B$6,1))*(1-R171),0),500)))</f>
        <v/>
      </c>
      <c r="T171" s="35" t="n">
        <v>61</v>
      </c>
    </row>
    <row r="172">
      <c r="A172" s="25" t="inlineStr">
        <is>
          <t>SG-H039</t>
        </is>
      </c>
      <c r="B172" s="25" t="inlineStr">
        <is>
          <t>Tête de brosse</t>
        </is>
      </c>
      <c r="C172" s="32" t="inlineStr">
        <is>
          <t>N/D</t>
        </is>
      </c>
      <c r="D172" s="26" t="inlineStr">
        <is>
          <t>Tête gratte-langue</t>
        </is>
      </c>
      <c r="E172" s="32" t="inlineStr">
        <is>
          <t>N/D</t>
        </is>
      </c>
      <c r="F172" s="32" t="inlineStr">
        <is>
          <t>N/D</t>
        </is>
      </c>
      <c r="G172" s="32" t="inlineStr">
        <is>
          <t>N/D</t>
        </is>
      </c>
      <c r="H172" s="38" t="inlineStr">
        <is>
          <t>N/D</t>
        </is>
      </c>
      <c r="I172" s="32" t="inlineStr">
        <is>
          <t>N/D</t>
        </is>
      </c>
      <c r="J172" s="32" t="inlineStr">
        <is>
          <t>N/D</t>
        </is>
      </c>
      <c r="K172" s="26" t="inlineStr">
        <is>
          <t>Decakila Têtes de rechange KMTB008W (pack de 2)</t>
        </is>
      </c>
      <c r="L172" s="27" t="n">
        <v>1450</v>
      </c>
      <c r="M172" s="28" t="inlineStr">
        <is>
          <t>XOF</t>
        </is>
      </c>
      <c r="N172" s="31" t="inlineStr">
        <is>
          <t>N/D</t>
        </is>
      </c>
      <c r="O172" s="29" t="inlineStr">
        <is>
          <t>Djokstore CI</t>
        </is>
      </c>
      <c r="P172" s="28" t="inlineStr">
        <is>
          <t>CI</t>
        </is>
      </c>
      <c r="Q172" s="33" t="inlineStr">
        <is>
          <t>https://djokstore.ci/collections/brosse-a-dent/products/tetes-de-rechange-brosse-a-dents-electrique-decakila-kmtb008w</t>
        </is>
      </c>
      <c r="R172" s="21" t="n">
        <v>0</v>
      </c>
      <c r="S172" s="22">
        <f>IF(L172="","",MAX('Sélection 10'!$B$8,MROUND(ROUND(L172*IF(M172="EUR",'Sélection 10'!$B$5,IF(M172="USD",'Sélection 10'!$B$5/'Sélection 10'!$B$6,1))*(1-R172),0),500)))</f>
        <v/>
      </c>
      <c r="T172" s="34" t="n">
        <v>61</v>
      </c>
    </row>
    <row r="173">
      <c r="A173" s="13" t="inlineStr">
        <is>
          <t>SG-H046</t>
        </is>
      </c>
      <c r="B173" s="13" t="inlineStr">
        <is>
          <t>Tête de brosse</t>
        </is>
      </c>
      <c r="C173" s="15" t="inlineStr">
        <is>
          <t>N/D</t>
        </is>
      </c>
      <c r="D173" s="14" t="inlineStr">
        <is>
          <t>Tête massage des gencives</t>
        </is>
      </c>
      <c r="E173" s="15" t="inlineStr">
        <is>
          <t>N/D</t>
        </is>
      </c>
      <c r="F173" s="15" t="inlineStr">
        <is>
          <t>N/D</t>
        </is>
      </c>
      <c r="G173" s="15" t="inlineStr">
        <is>
          <t>N/D</t>
        </is>
      </c>
      <c r="H173" s="37" t="inlineStr">
        <is>
          <t>N/D</t>
        </is>
      </c>
      <c r="I173" s="15" t="inlineStr">
        <is>
          <t>N/D</t>
        </is>
      </c>
      <c r="J173" s="15" t="inlineStr">
        <is>
          <t>N/D</t>
        </is>
      </c>
      <c r="K173" s="14" t="inlineStr">
        <is>
          <t>Decakila Têtes de rechange KMTB008W (pack de 2)</t>
        </is>
      </c>
      <c r="L173" s="27" t="n">
        <v>1450</v>
      </c>
      <c r="M173" s="28" t="inlineStr">
        <is>
          <t>XOF</t>
        </is>
      </c>
      <c r="N173" s="31" t="inlineStr">
        <is>
          <t>N/D</t>
        </is>
      </c>
      <c r="O173" s="29" t="inlineStr">
        <is>
          <t>Djokstore CI</t>
        </is>
      </c>
      <c r="P173" s="28" t="inlineStr">
        <is>
          <t>CI</t>
        </is>
      </c>
      <c r="Q173" s="33" t="inlineStr">
        <is>
          <t>https://djokstore.ci/collections/brosse-a-dent/products/tetes-de-rechange-brosse-a-dents-electrique-decakila-kmtb008w</t>
        </is>
      </c>
      <c r="R173" s="21" t="n">
        <v>0</v>
      </c>
      <c r="S173" s="22">
        <f>IF(L173="","",MAX('Sélection 10'!$B$8,MROUND(ROUND(L173*IF(M173="EUR",'Sélection 10'!$B$5,IF(M173="USD",'Sélection 10'!$B$5/'Sélection 10'!$B$6,1))*(1-R173),0),500)))</f>
        <v/>
      </c>
      <c r="T173" s="35" t="n">
        <v>61</v>
      </c>
    </row>
    <row r="174">
      <c r="A174" s="25" t="inlineStr">
        <is>
          <t>SG-H052</t>
        </is>
      </c>
      <c r="B174" s="25" t="inlineStr">
        <is>
          <t>Tête de brosse</t>
        </is>
      </c>
      <c r="C174" s="32" t="inlineStr">
        <is>
          <t>N/D</t>
        </is>
      </c>
      <c r="D174" s="26" t="inlineStr">
        <is>
          <t>Tête miroir d'observation</t>
        </is>
      </c>
      <c r="E174" s="32" t="inlineStr">
        <is>
          <t>N/D</t>
        </is>
      </c>
      <c r="F174" s="32" t="inlineStr">
        <is>
          <t>N/D</t>
        </is>
      </c>
      <c r="G174" s="32" t="inlineStr">
        <is>
          <t>N/D</t>
        </is>
      </c>
      <c r="H174" s="38" t="inlineStr">
        <is>
          <t>N/D</t>
        </is>
      </c>
      <c r="I174" s="32" t="inlineStr">
        <is>
          <t>N/D</t>
        </is>
      </c>
      <c r="J174" s="32" t="inlineStr">
        <is>
          <t>N/D</t>
        </is>
      </c>
      <c r="K174" s="26" t="inlineStr">
        <is>
          <t>Decakila Têtes de rechange KMTB008W (pack de 2)</t>
        </is>
      </c>
      <c r="L174" s="27" t="n">
        <v>1450</v>
      </c>
      <c r="M174" s="28" t="inlineStr">
        <is>
          <t>XOF</t>
        </is>
      </c>
      <c r="N174" s="31" t="inlineStr">
        <is>
          <t>N/D</t>
        </is>
      </c>
      <c r="O174" s="29" t="inlineStr">
        <is>
          <t>Djokstore CI</t>
        </is>
      </c>
      <c r="P174" s="28" t="inlineStr">
        <is>
          <t>CI</t>
        </is>
      </c>
      <c r="Q174" s="33" t="inlineStr">
        <is>
          <t>https://djokstore.ci/collections/brosse-a-dent/products/tetes-de-rechange-brosse-a-dents-electrique-decakila-kmtb008w</t>
        </is>
      </c>
      <c r="R174" s="21" t="n">
        <v>0</v>
      </c>
      <c r="S174" s="22">
        <f>IF(L174="","",MAX('Sélection 10'!$B$8,MROUND(ROUND(L174*IF(M174="EUR",'Sélection 10'!$B$5,IF(M174="USD",'Sélection 10'!$B$5/'Sélection 10'!$B$6,1))*(1-R174),0),500)))</f>
        <v/>
      </c>
      <c r="T174" s="34" t="n">
        <v>61</v>
      </c>
    </row>
    <row r="175">
      <c r="A175" s="13" t="inlineStr">
        <is>
          <t>SG-D011</t>
        </is>
      </c>
      <c r="B175" s="13" t="inlineStr">
        <is>
          <t>Tête de brosse</t>
        </is>
      </c>
      <c r="C175" s="15" t="inlineStr">
        <is>
          <t>N/D</t>
        </is>
      </c>
      <c r="D175" s="14" t="inlineStr">
        <is>
          <t>Tête standard avec gratte-langue</t>
        </is>
      </c>
      <c r="E175" s="15" t="inlineStr">
        <is>
          <t>N/D</t>
        </is>
      </c>
      <c r="F175" s="15" t="inlineStr">
        <is>
          <t>N/D</t>
        </is>
      </c>
      <c r="G175" s="15" t="inlineStr">
        <is>
          <t>N/D</t>
        </is>
      </c>
      <c r="H175" s="37" t="inlineStr">
        <is>
          <t>N/D</t>
        </is>
      </c>
      <c r="I175" s="15" t="inlineStr">
        <is>
          <t>N/D</t>
        </is>
      </c>
      <c r="J175" s="15" t="inlineStr">
        <is>
          <t>N/D</t>
        </is>
      </c>
      <c r="K175" s="14" t="inlineStr">
        <is>
          <t>Decakila Têtes de rechange KMTB008W (pack de 2)</t>
        </is>
      </c>
      <c r="L175" s="27" t="n">
        <v>1450</v>
      </c>
      <c r="M175" s="28" t="inlineStr">
        <is>
          <t>XOF</t>
        </is>
      </c>
      <c r="N175" s="31" t="inlineStr">
        <is>
          <t>N/D</t>
        </is>
      </c>
      <c r="O175" s="29" t="inlineStr">
        <is>
          <t>Djokstore CI</t>
        </is>
      </c>
      <c r="P175" s="28" t="inlineStr">
        <is>
          <t>CI</t>
        </is>
      </c>
      <c r="Q175" s="33" t="inlineStr">
        <is>
          <t>https://djokstore.ci/collections/brosse-a-dent/products/tetes-de-rechange-brosse-a-dents-electrique-decakila-kmtb008w</t>
        </is>
      </c>
      <c r="R175" s="21" t="n">
        <v>0</v>
      </c>
      <c r="S175" s="22">
        <f>IF(L175="","",MAX('Sélection 10'!$B$8,MROUND(ROUND(L175*IF(M175="EUR",'Sélection 10'!$B$5,IF(M175="USD",'Sélection 10'!$B$5/'Sélection 10'!$B$6,1))*(1-R175),0),500)))</f>
        <v/>
      </c>
      <c r="T175" s="35" t="n">
        <v>61</v>
      </c>
    </row>
    <row r="176">
      <c r="A176" s="25" t="inlineStr">
        <is>
          <t>SG-D917</t>
        </is>
      </c>
      <c r="B176" s="25" t="inlineStr">
        <is>
          <t>Tête de brosse</t>
        </is>
      </c>
      <c r="C176" s="32" t="inlineStr">
        <is>
          <t>N/D</t>
        </is>
      </c>
      <c r="D176" s="26" t="inlineStr">
        <is>
          <t>Tête standard</t>
        </is>
      </c>
      <c r="E176" s="32" t="inlineStr">
        <is>
          <t>N/D</t>
        </is>
      </c>
      <c r="F176" s="32" t="inlineStr">
        <is>
          <t>N/D</t>
        </is>
      </c>
      <c r="G176" s="32" t="inlineStr">
        <is>
          <t>N/D</t>
        </is>
      </c>
      <c r="H176" s="38" t="inlineStr">
        <is>
          <t>N/D</t>
        </is>
      </c>
      <c r="I176" s="32" t="inlineStr">
        <is>
          <t>N/D</t>
        </is>
      </c>
      <c r="J176" s="32" t="inlineStr">
        <is>
          <t>N/D</t>
        </is>
      </c>
      <c r="K176" s="26" t="inlineStr">
        <is>
          <t>Decakila Têtes de rechange KMTB008W (pack de 2)</t>
        </is>
      </c>
      <c r="L176" s="27" t="n">
        <v>1450</v>
      </c>
      <c r="M176" s="28" t="inlineStr">
        <is>
          <t>XOF</t>
        </is>
      </c>
      <c r="N176" s="31" t="inlineStr">
        <is>
          <t>N/D</t>
        </is>
      </c>
      <c r="O176" s="29" t="inlineStr">
        <is>
          <t>Djokstore CI</t>
        </is>
      </c>
      <c r="P176" s="28" t="inlineStr">
        <is>
          <t>CI</t>
        </is>
      </c>
      <c r="Q176" s="33" t="inlineStr">
        <is>
          <t>https://djokstore.ci/collections/brosse-a-dent/products/tetes-de-rechange-brosse-a-dents-electrique-decakila-kmtb008w</t>
        </is>
      </c>
      <c r="R176" s="21" t="n">
        <v>0</v>
      </c>
      <c r="S176" s="22">
        <f>IF(L176="","",MAX('Sélection 10'!$B$8,MROUND(ROUND(L176*IF(M176="EUR",'Sélection 10'!$B$5,IF(M176="USD",'Sélection 10'!$B$5/'Sélection 10'!$B$6,1))*(1-R176),0),500)))</f>
        <v/>
      </c>
      <c r="T176" s="34" t="n">
        <v>61</v>
      </c>
    </row>
    <row r="177">
      <c r="A177" s="13" t="inlineStr">
        <is>
          <t>SG-C093</t>
        </is>
      </c>
      <c r="B177" s="13" t="inlineStr">
        <is>
          <t>Tête de brosse</t>
        </is>
      </c>
      <c r="C177" s="15" t="inlineStr">
        <is>
          <t>N/D</t>
        </is>
      </c>
      <c r="D177" s="14" t="inlineStr">
        <is>
          <t>Tête standard</t>
        </is>
      </c>
      <c r="E177" s="15" t="inlineStr">
        <is>
          <t>N/D</t>
        </is>
      </c>
      <c r="F177" s="15" t="inlineStr">
        <is>
          <t>N/D</t>
        </is>
      </c>
      <c r="G177" s="15" t="inlineStr">
        <is>
          <t>N/D</t>
        </is>
      </c>
      <c r="H177" s="37" t="inlineStr">
        <is>
          <t>N/D</t>
        </is>
      </c>
      <c r="I177" s="15" t="inlineStr">
        <is>
          <t>N/D</t>
        </is>
      </c>
      <c r="J177" s="15" t="inlineStr">
        <is>
          <t>N/D</t>
        </is>
      </c>
      <c r="K177" s="14" t="inlineStr">
        <is>
          <t>Decakila Têtes de rechange KMTB008W (pack de 2)</t>
        </is>
      </c>
      <c r="L177" s="27" t="n">
        <v>1450</v>
      </c>
      <c r="M177" s="28" t="inlineStr">
        <is>
          <t>XOF</t>
        </is>
      </c>
      <c r="N177" s="31" t="inlineStr">
        <is>
          <t>N/D</t>
        </is>
      </c>
      <c r="O177" s="29" t="inlineStr">
        <is>
          <t>Djokstore CI</t>
        </is>
      </c>
      <c r="P177" s="28" t="inlineStr">
        <is>
          <t>CI</t>
        </is>
      </c>
      <c r="Q177" s="33" t="inlineStr">
        <is>
          <t>https://djokstore.ci/collections/brosse-a-dent/products/tetes-de-rechange-brosse-a-dents-electrique-decakila-kmtb008w</t>
        </is>
      </c>
      <c r="R177" s="21" t="n">
        <v>0</v>
      </c>
      <c r="S177" s="22">
        <f>IF(L177="","",MAX('Sélection 10'!$B$8,MROUND(ROUND(L177*IF(M177="EUR",'Sélection 10'!$B$5,IF(M177="USD",'Sélection 10'!$B$5/'Sélection 10'!$B$6,1))*(1-R177),0),500)))</f>
        <v/>
      </c>
      <c r="T177" s="35" t="n">
        <v>61</v>
      </c>
    </row>
    <row r="178">
      <c r="A178" s="25" t="inlineStr">
        <is>
          <t>SG-E001</t>
        </is>
      </c>
      <c r="B178" s="25" t="inlineStr">
        <is>
          <t>Tête de brosse</t>
        </is>
      </c>
      <c r="C178" s="32" t="inlineStr">
        <is>
          <t>N/D</t>
        </is>
      </c>
      <c r="D178" s="26" t="inlineStr">
        <is>
          <t>Tête rotative</t>
        </is>
      </c>
      <c r="E178" s="32" t="inlineStr">
        <is>
          <t>N/D</t>
        </is>
      </c>
      <c r="F178" s="32" t="inlineStr">
        <is>
          <t>N/D</t>
        </is>
      </c>
      <c r="G178" s="32" t="inlineStr">
        <is>
          <t>N/D</t>
        </is>
      </c>
      <c r="H178" s="38" t="inlineStr">
        <is>
          <t>N/D</t>
        </is>
      </c>
      <c r="I178" s="32" t="inlineStr">
        <is>
          <t>N/D</t>
        </is>
      </c>
      <c r="J178" s="32" t="inlineStr">
        <is>
          <t>N/D</t>
        </is>
      </c>
      <c r="K178" s="26" t="inlineStr">
        <is>
          <t>Oral-B CrossAction, têtes de rechange (pack de 4)</t>
        </is>
      </c>
      <c r="L178" s="16" t="n">
        <v>8.25</v>
      </c>
      <c r="M178" s="17" t="inlineStr">
        <is>
          <t>USD</t>
        </is>
      </c>
      <c r="N178" s="18" t="inlineStr">
        <is>
          <t>N/D</t>
        </is>
      </c>
      <c r="O178" s="19" t="inlineStr">
        <is>
          <t>Walmart (US)</t>
        </is>
      </c>
      <c r="P178" s="17" t="inlineStr">
        <is>
          <t>International</t>
        </is>
      </c>
      <c r="Q178" s="36" t="inlineStr">
        <is>
          <t>https://www.walmart.com/ip/Oral-B-Cross-Action-Replacement-Brush-Heads-4-Count/142873184</t>
        </is>
      </c>
      <c r="R178" s="21" t="n">
        <v>0.5</v>
      </c>
      <c r="S178" s="22">
        <f>IF(L178="","",MAX('Sélection 10'!$B$8,MROUND(ROUND(L178*IF(M178="EUR",'Sélection 10'!$B$5,IF(M178="USD",'Sélection 10'!$B$5/'Sélection 10'!$B$6,1))*(1-R178),0),500)))</f>
        <v/>
      </c>
      <c r="T178" s="34" t="n">
        <v>67</v>
      </c>
    </row>
    <row r="179">
      <c r="A179" s="13" t="inlineStr">
        <is>
          <t>SG-E002</t>
        </is>
      </c>
      <c r="B179" s="13" t="inlineStr">
        <is>
          <t>Tête de brosse</t>
        </is>
      </c>
      <c r="C179" s="15" t="inlineStr">
        <is>
          <t>N/D</t>
        </is>
      </c>
      <c r="D179" s="14" t="inlineStr">
        <is>
          <t>Tête rotative</t>
        </is>
      </c>
      <c r="E179" s="15" t="inlineStr">
        <is>
          <t>N/D</t>
        </is>
      </c>
      <c r="F179" s="15" t="inlineStr">
        <is>
          <t>N/D</t>
        </is>
      </c>
      <c r="G179" s="15" t="inlineStr">
        <is>
          <t>N/D</t>
        </is>
      </c>
      <c r="H179" s="37" t="inlineStr">
        <is>
          <t>N/D</t>
        </is>
      </c>
      <c r="I179" s="15" t="inlineStr">
        <is>
          <t>N/D</t>
        </is>
      </c>
      <c r="J179" s="15" t="inlineStr">
        <is>
          <t>N/D</t>
        </is>
      </c>
      <c r="K179" s="14" t="inlineStr">
        <is>
          <t>Oral-B CrossAction, têtes de rechange (pack de 4)</t>
        </is>
      </c>
      <c r="L179" s="16" t="n">
        <v>8.25</v>
      </c>
      <c r="M179" s="17" t="inlineStr">
        <is>
          <t>USD</t>
        </is>
      </c>
      <c r="N179" s="18" t="inlineStr">
        <is>
          <t>N/D</t>
        </is>
      </c>
      <c r="O179" s="19" t="inlineStr">
        <is>
          <t>Walmart (US)</t>
        </is>
      </c>
      <c r="P179" s="17" t="inlineStr">
        <is>
          <t>International</t>
        </is>
      </c>
      <c r="Q179" s="36" t="inlineStr">
        <is>
          <t>https://www.walmart.com/ip/Oral-B-Cross-Action-Replacement-Brush-Heads-4-Count/142873184</t>
        </is>
      </c>
      <c r="R179" s="21" t="n">
        <v>0.5</v>
      </c>
      <c r="S179" s="22">
        <f>IF(L179="","",MAX('Sélection 10'!$B$8,MROUND(ROUND(L179*IF(M179="EUR",'Sélection 10'!$B$5,IF(M179="USD",'Sélection 10'!$B$5/'Sélection 10'!$B$6,1))*(1-R179),0),500)))</f>
        <v/>
      </c>
      <c r="T179" s="35" t="n">
        <v>67</v>
      </c>
    </row>
    <row r="180">
      <c r="A180" s="25" t="inlineStr">
        <is>
          <t>SG-F930</t>
        </is>
      </c>
      <c r="B180" s="25" t="inlineStr">
        <is>
          <t>Tête de brosse</t>
        </is>
      </c>
      <c r="C180" s="32" t="inlineStr">
        <is>
          <t>N/D</t>
        </is>
      </c>
      <c r="D180" s="26" t="inlineStr">
        <is>
          <t>Tête rotative</t>
        </is>
      </c>
      <c r="E180" s="32" t="inlineStr">
        <is>
          <t>N/D</t>
        </is>
      </c>
      <c r="F180" s="32" t="inlineStr">
        <is>
          <t>N/D</t>
        </is>
      </c>
      <c r="G180" s="32" t="inlineStr">
        <is>
          <t>N/D</t>
        </is>
      </c>
      <c r="H180" s="38" t="inlineStr">
        <is>
          <t>N/D</t>
        </is>
      </c>
      <c r="I180" s="32" t="inlineStr">
        <is>
          <t>N/D</t>
        </is>
      </c>
      <c r="J180" s="32" t="inlineStr">
        <is>
          <t>N/D</t>
        </is>
      </c>
      <c r="K180" s="26" t="inlineStr">
        <is>
          <t>Oral-B CrossAction, têtes de rechange (pack de 4)</t>
        </is>
      </c>
      <c r="L180" s="16" t="n">
        <v>8.25</v>
      </c>
      <c r="M180" s="17" t="inlineStr">
        <is>
          <t>USD</t>
        </is>
      </c>
      <c r="N180" s="18" t="inlineStr">
        <is>
          <t>N/D</t>
        </is>
      </c>
      <c r="O180" s="19" t="inlineStr">
        <is>
          <t>Walmart (US)</t>
        </is>
      </c>
      <c r="P180" s="17" t="inlineStr">
        <is>
          <t>International</t>
        </is>
      </c>
      <c r="Q180" s="36" t="inlineStr">
        <is>
          <t>https://www.walmart.com/ip/Oral-B-Cross-Action-Replacement-Brush-Heads-4-Count/142873184</t>
        </is>
      </c>
      <c r="R180" s="21" t="n">
        <v>0.5</v>
      </c>
      <c r="S180" s="22">
        <f>IF(L180="","",MAX('Sélection 10'!$B$8,MROUND(ROUND(L180*IF(M180="EUR",'Sélection 10'!$B$5,IF(M180="USD",'Sélection 10'!$B$5/'Sélection 10'!$B$6,1))*(1-R180),0),500)))</f>
        <v/>
      </c>
      <c r="T180" s="34" t="n">
        <v>67</v>
      </c>
    </row>
    <row r="181">
      <c r="A181" s="13" t="inlineStr">
        <is>
          <t>SG-F084</t>
        </is>
      </c>
      <c r="B181" s="13" t="inlineStr">
        <is>
          <t>Tête de brosse</t>
        </is>
      </c>
      <c r="C181" s="15" t="inlineStr">
        <is>
          <t>N/D</t>
        </is>
      </c>
      <c r="D181" s="14" t="inlineStr">
        <is>
          <t>Tête rotative</t>
        </is>
      </c>
      <c r="E181" s="15" t="inlineStr">
        <is>
          <t>N/D</t>
        </is>
      </c>
      <c r="F181" s="15" t="inlineStr">
        <is>
          <t>N/D</t>
        </is>
      </c>
      <c r="G181" s="15" t="inlineStr">
        <is>
          <t>N/D</t>
        </is>
      </c>
      <c r="H181" s="37" t="inlineStr">
        <is>
          <t>N/D</t>
        </is>
      </c>
      <c r="I181" s="15" t="inlineStr">
        <is>
          <t>N/D</t>
        </is>
      </c>
      <c r="J181" s="15" t="inlineStr">
        <is>
          <t>N/D</t>
        </is>
      </c>
      <c r="K181" s="14" t="inlineStr">
        <is>
          <t>Oral-B CrossAction, têtes de rechange (pack de 4)</t>
        </is>
      </c>
      <c r="L181" s="16" t="n">
        <v>8.25</v>
      </c>
      <c r="M181" s="17" t="inlineStr">
        <is>
          <t>USD</t>
        </is>
      </c>
      <c r="N181" s="18" t="inlineStr">
        <is>
          <t>N/D</t>
        </is>
      </c>
      <c r="O181" s="19" t="inlineStr">
        <is>
          <t>Walmart (US)</t>
        </is>
      </c>
      <c r="P181" s="17" t="inlineStr">
        <is>
          <t>International</t>
        </is>
      </c>
      <c r="Q181" s="36" t="inlineStr">
        <is>
          <t>https://www.walmart.com/ip/Oral-B-Cross-Action-Replacement-Brush-Heads-4-Count/142873184</t>
        </is>
      </c>
      <c r="R181" s="21" t="n">
        <v>0.5</v>
      </c>
      <c r="S181" s="22">
        <f>IF(L181="","",MAX('Sélection 10'!$B$8,MROUND(ROUND(L181*IF(M181="EUR",'Sélection 10'!$B$5,IF(M181="USD",'Sélection 10'!$B$5/'Sélection 10'!$B$6,1))*(1-R181),0),500)))</f>
        <v/>
      </c>
      <c r="T181" s="35" t="n">
        <v>67</v>
      </c>
    </row>
    <row r="182">
      <c r="A182" s="25" t="inlineStr">
        <is>
          <t>SG-P001</t>
        </is>
      </c>
      <c r="B182" s="25" t="inlineStr">
        <is>
          <t>Buse hydropulseur</t>
        </is>
      </c>
      <c r="C182" s="32" t="inlineStr">
        <is>
          <t>N/D</t>
        </is>
      </c>
      <c r="D182" s="26" t="inlineStr">
        <is>
          <t>Buse standard (ligne gingivale, usage quotidien)</t>
        </is>
      </c>
      <c r="E182" s="32" t="inlineStr">
        <is>
          <t>N/D</t>
        </is>
      </c>
      <c r="F182" s="32" t="inlineStr">
        <is>
          <t>N/D</t>
        </is>
      </c>
      <c r="G182" s="32" t="inlineStr">
        <is>
          <t>N/D</t>
        </is>
      </c>
      <c r="H182" s="38" t="inlineStr">
        <is>
          <t>N/D</t>
        </is>
      </c>
      <c r="I182" s="32" t="inlineStr">
        <is>
          <t>N/D</t>
        </is>
      </c>
      <c r="J182" s="32" t="inlineStr">
        <is>
          <t>N/D</t>
        </is>
      </c>
      <c r="K182" s="26" t="inlineStr">
        <is>
          <t>Waterpik Buses de rechange (pack livré avec WP-560)</t>
        </is>
      </c>
      <c r="L182" s="18" t="inlineStr">
        <is>
          <t>N/D</t>
        </is>
      </c>
      <c r="M182" s="17" t="inlineStr">
        <is>
          <t>N/D</t>
        </is>
      </c>
      <c r="N182" s="18" t="inlineStr">
        <is>
          <t>N/D</t>
        </is>
      </c>
      <c r="O182" s="19" t="inlineStr">
        <is>
          <t>N/D</t>
        </is>
      </c>
      <c r="P182" s="17" t="inlineStr">
        <is>
          <t>International</t>
        </is>
      </c>
      <c r="Q182" s="36" t="inlineStr">
        <is>
          <t>https://www.waterpik.ch/en/oral-health/products/dental-water-flosser/WP-560/</t>
        </is>
      </c>
      <c r="R182" s="21" t="n">
        <v>0.5</v>
      </c>
      <c r="S182" s="22">
        <f>IF(L182="","",MAX('Sélection 10'!$B$8,MROUND(ROUND(L182*IF(M182="EUR",'Sélection 10'!$B$5,IF(M182="USD",'Sélection 10'!$B$5/'Sélection 10'!$B$6,1))*(1-R182),0),500)))</f>
        <v/>
      </c>
      <c r="T182" s="34" t="n">
        <v>100</v>
      </c>
    </row>
    <row r="183">
      <c r="A183" s="13" t="inlineStr">
        <is>
          <t>SG-P002</t>
        </is>
      </c>
      <c r="B183" s="13" t="inlineStr">
        <is>
          <t>Buse hydropulseur</t>
        </is>
      </c>
      <c r="C183" s="15" t="inlineStr">
        <is>
          <t>N/D</t>
        </is>
      </c>
      <c r="D183" s="14" t="inlineStr">
        <is>
          <t>Gratte-langue</t>
        </is>
      </c>
      <c r="E183" s="15" t="inlineStr">
        <is>
          <t>N/D</t>
        </is>
      </c>
      <c r="F183" s="15" t="inlineStr">
        <is>
          <t>N/D</t>
        </is>
      </c>
      <c r="G183" s="15" t="inlineStr">
        <is>
          <t>N/D</t>
        </is>
      </c>
      <c r="H183" s="37" t="inlineStr">
        <is>
          <t>N/D</t>
        </is>
      </c>
      <c r="I183" s="15" t="inlineStr">
        <is>
          <t>N/D</t>
        </is>
      </c>
      <c r="J183" s="15" t="inlineStr">
        <is>
          <t>N/D</t>
        </is>
      </c>
      <c r="K183" s="14" t="inlineStr">
        <is>
          <t>Waterpik Buses de rechange (pack livré avec WP-560)</t>
        </is>
      </c>
      <c r="L183" s="18" t="inlineStr">
        <is>
          <t>N/D</t>
        </is>
      </c>
      <c r="M183" s="17" t="inlineStr">
        <is>
          <t>N/D</t>
        </is>
      </c>
      <c r="N183" s="18" t="inlineStr">
        <is>
          <t>N/D</t>
        </is>
      </c>
      <c r="O183" s="19" t="inlineStr">
        <is>
          <t>N/D</t>
        </is>
      </c>
      <c r="P183" s="17" t="inlineStr">
        <is>
          <t>International</t>
        </is>
      </c>
      <c r="Q183" s="36" t="inlineStr">
        <is>
          <t>https://www.waterpik.ch/en/oral-health/products/dental-water-flosser/WP-560/</t>
        </is>
      </c>
      <c r="R183" s="21" t="n">
        <v>0.5</v>
      </c>
      <c r="S183" s="22">
        <f>IF(L183="","",MAX('Sélection 10'!$B$8,MROUND(ROUND(L183*IF(M183="EUR",'Sélection 10'!$B$5,IF(M183="USD",'Sélection 10'!$B$5/'Sélection 10'!$B$6,1))*(1-R183),0),500)))</f>
        <v/>
      </c>
      <c r="T183" s="35" t="n">
        <v>100</v>
      </c>
    </row>
    <row r="184">
      <c r="A184" s="25" t="inlineStr">
        <is>
          <t>SG-P003</t>
        </is>
      </c>
      <c r="B184" s="25" t="inlineStr">
        <is>
          <t>Buse hydropulseur</t>
        </is>
      </c>
      <c r="C184" s="32" t="inlineStr">
        <is>
          <t>N/D</t>
        </is>
      </c>
      <c r="D184" s="26" t="inlineStr">
        <is>
          <t>Buse spray nasal</t>
        </is>
      </c>
      <c r="E184" s="32" t="inlineStr">
        <is>
          <t>N/D</t>
        </is>
      </c>
      <c r="F184" s="32" t="inlineStr">
        <is>
          <t>N/D</t>
        </is>
      </c>
      <c r="G184" s="32" t="inlineStr">
        <is>
          <t>N/D</t>
        </is>
      </c>
      <c r="H184" s="38" t="inlineStr">
        <is>
          <t>N/D</t>
        </is>
      </c>
      <c r="I184" s="32" t="inlineStr">
        <is>
          <t>N/D</t>
        </is>
      </c>
      <c r="J184" s="32" t="inlineStr">
        <is>
          <t>N/D</t>
        </is>
      </c>
      <c r="K184" s="26" t="inlineStr">
        <is>
          <t>Waterpik Buses de rechange (pack livré avec WP-560)</t>
        </is>
      </c>
      <c r="L184" s="18" t="inlineStr">
        <is>
          <t>N/D</t>
        </is>
      </c>
      <c r="M184" s="17" t="inlineStr">
        <is>
          <t>N/D</t>
        </is>
      </c>
      <c r="N184" s="18" t="inlineStr">
        <is>
          <t>N/D</t>
        </is>
      </c>
      <c r="O184" s="19" t="inlineStr">
        <is>
          <t>N/D</t>
        </is>
      </c>
      <c r="P184" s="17" t="inlineStr">
        <is>
          <t>International</t>
        </is>
      </c>
      <c r="Q184" s="36" t="inlineStr">
        <is>
          <t>https://www.waterpik.ch/en/oral-health/products/dental-water-flosser/WP-560/</t>
        </is>
      </c>
      <c r="R184" s="21" t="n">
        <v>0.5</v>
      </c>
      <c r="S184" s="22">
        <f>IF(L184="","",MAX('Sélection 10'!$B$8,MROUND(ROUND(L184*IF(M184="EUR",'Sélection 10'!$B$5,IF(M184="USD",'Sélection 10'!$B$5/'Sélection 10'!$B$6,1))*(1-R184),0),500)))</f>
        <v/>
      </c>
      <c r="T184" s="34" t="n">
        <v>100</v>
      </c>
    </row>
    <row r="185">
      <c r="A185" s="13" t="inlineStr">
        <is>
          <t>SG-P004</t>
        </is>
      </c>
      <c r="B185" s="13" t="inlineStr">
        <is>
          <t>Buse hydropulseur</t>
        </is>
      </c>
      <c r="C185" s="15" t="inlineStr">
        <is>
          <t>N/D</t>
        </is>
      </c>
      <c r="D185" s="14" t="inlineStr">
        <is>
          <t>Buse poche parodontale</t>
        </is>
      </c>
      <c r="E185" s="15" t="inlineStr">
        <is>
          <t>N/D</t>
        </is>
      </c>
      <c r="F185" s="15" t="inlineStr">
        <is>
          <t>N/D</t>
        </is>
      </c>
      <c r="G185" s="15" t="inlineStr">
        <is>
          <t>N/D</t>
        </is>
      </c>
      <c r="H185" s="37" t="inlineStr">
        <is>
          <t>N/D</t>
        </is>
      </c>
      <c r="I185" s="15" t="inlineStr">
        <is>
          <t>N/D</t>
        </is>
      </c>
      <c r="J185" s="15" t="inlineStr">
        <is>
          <t>N/D</t>
        </is>
      </c>
      <c r="K185" s="14" t="inlineStr">
        <is>
          <t>Waterpik Buses de rechange (pack livré avec WP-560)</t>
        </is>
      </c>
      <c r="L185" s="18" t="inlineStr">
        <is>
          <t>N/D</t>
        </is>
      </c>
      <c r="M185" s="17" t="inlineStr">
        <is>
          <t>N/D</t>
        </is>
      </c>
      <c r="N185" s="18" t="inlineStr">
        <is>
          <t>N/D</t>
        </is>
      </c>
      <c r="O185" s="19" t="inlineStr">
        <is>
          <t>N/D</t>
        </is>
      </c>
      <c r="P185" s="17" t="inlineStr">
        <is>
          <t>International</t>
        </is>
      </c>
      <c r="Q185" s="36" t="inlineStr">
        <is>
          <t>https://www.waterpik.ch/en/oral-health/products/dental-water-flosser/WP-560/</t>
        </is>
      </c>
      <c r="R185" s="21" t="n">
        <v>0.5</v>
      </c>
      <c r="S185" s="22">
        <f>IF(L185="","",MAX('Sélection 10'!$B$8,MROUND(ROUND(L185*IF(M185="EUR",'Sélection 10'!$B$5,IF(M185="USD",'Sélection 10'!$B$5/'Sélection 10'!$B$6,1))*(1-R185),0),500)))</f>
        <v/>
      </c>
      <c r="T185" s="35" t="n">
        <v>100</v>
      </c>
    </row>
    <row r="186">
      <c r="A186" s="25" t="inlineStr">
        <is>
          <t>SG-P006</t>
        </is>
      </c>
      <c r="B186" s="25" t="inlineStr">
        <is>
          <t>Buse hydropulseur</t>
        </is>
      </c>
      <c r="C186" s="32" t="inlineStr">
        <is>
          <t>N/D</t>
        </is>
      </c>
      <c r="D186" s="26" t="inlineStr">
        <is>
          <t>Buse orthodontique (bagues, prothèses)</t>
        </is>
      </c>
      <c r="E186" s="32" t="inlineStr">
        <is>
          <t>N/D</t>
        </is>
      </c>
      <c r="F186" s="32" t="inlineStr">
        <is>
          <t>N/D</t>
        </is>
      </c>
      <c r="G186" s="32" t="inlineStr">
        <is>
          <t>N/D</t>
        </is>
      </c>
      <c r="H186" s="38" t="inlineStr">
        <is>
          <t>N/D</t>
        </is>
      </c>
      <c r="I186" s="32" t="inlineStr">
        <is>
          <t>N/D</t>
        </is>
      </c>
      <c r="J186" s="32" t="inlineStr">
        <is>
          <t>N/D</t>
        </is>
      </c>
      <c r="K186" s="26" t="inlineStr">
        <is>
          <t>Waterpik Buses de rechange (pack livré avec WP-560)</t>
        </is>
      </c>
      <c r="L186" s="18" t="inlineStr">
        <is>
          <t>N/D</t>
        </is>
      </c>
      <c r="M186" s="17" t="inlineStr">
        <is>
          <t>N/D</t>
        </is>
      </c>
      <c r="N186" s="18" t="inlineStr">
        <is>
          <t>N/D</t>
        </is>
      </c>
      <c r="O186" s="19" t="inlineStr">
        <is>
          <t>N/D</t>
        </is>
      </c>
      <c r="P186" s="17" t="inlineStr">
        <is>
          <t>International</t>
        </is>
      </c>
      <c r="Q186" s="36" t="inlineStr">
        <is>
          <t>https://www.waterpik.ch/en/oral-health/products/dental-water-flosser/WP-560/</t>
        </is>
      </c>
      <c r="R186" s="21" t="n">
        <v>0.5</v>
      </c>
      <c r="S186" s="22">
        <f>IF(L186="","",MAX('Sélection 10'!$B$8,MROUND(ROUND(L186*IF(M186="EUR",'Sélection 10'!$B$5,IF(M186="USD",'Sélection 10'!$B$5/'Sélection 10'!$B$6,1))*(1-R186),0),500)))</f>
        <v/>
      </c>
      <c r="T186" s="34" t="n">
        <v>100</v>
      </c>
    </row>
    <row r="187">
      <c r="A187" s="13" t="inlineStr">
        <is>
          <t>SG-P010</t>
        </is>
      </c>
      <c r="B187" s="13" t="inlineStr">
        <is>
          <t>Buse hydropulseur</t>
        </is>
      </c>
      <c r="C187" s="15" t="inlineStr">
        <is>
          <t>N/D</t>
        </is>
      </c>
      <c r="D187" s="14" t="inlineStr">
        <is>
          <t>Buse tornade (effet tourbillon)</t>
        </is>
      </c>
      <c r="E187" s="15" t="inlineStr">
        <is>
          <t>N/D</t>
        </is>
      </c>
      <c r="F187" s="15" t="inlineStr">
        <is>
          <t>N/D</t>
        </is>
      </c>
      <c r="G187" s="15" t="inlineStr">
        <is>
          <t>N/D</t>
        </is>
      </c>
      <c r="H187" s="37" t="inlineStr">
        <is>
          <t>N/D</t>
        </is>
      </c>
      <c r="I187" s="15" t="inlineStr">
        <is>
          <t>N/D</t>
        </is>
      </c>
      <c r="J187" s="15" t="inlineStr">
        <is>
          <t>N/D</t>
        </is>
      </c>
      <c r="K187" s="14" t="inlineStr">
        <is>
          <t>Waterpik Buses de rechange (pack livré avec WP-560)</t>
        </is>
      </c>
      <c r="L187" s="18" t="inlineStr">
        <is>
          <t>N/D</t>
        </is>
      </c>
      <c r="M187" s="17" t="inlineStr">
        <is>
          <t>N/D</t>
        </is>
      </c>
      <c r="N187" s="18" t="inlineStr">
        <is>
          <t>N/D</t>
        </is>
      </c>
      <c r="O187" s="19" t="inlineStr">
        <is>
          <t>N/D</t>
        </is>
      </c>
      <c r="P187" s="17" t="inlineStr">
        <is>
          <t>International</t>
        </is>
      </c>
      <c r="Q187" s="36" t="inlineStr">
        <is>
          <t>https://www.waterpik.ch/en/oral-health/products/dental-water-flosser/WP-560/</t>
        </is>
      </c>
      <c r="R187" s="21" t="n">
        <v>0.5</v>
      </c>
      <c r="S187" s="22">
        <f>IF(L187="","",MAX('Sélection 10'!$B$8,MROUND(ROUND(L187*IF(M187="EUR",'Sélection 10'!$B$5,IF(M187="USD",'Sélection 10'!$B$5/'Sélection 10'!$B$6,1))*(1-R187),0),500)))</f>
        <v/>
      </c>
      <c r="T187" s="35" t="n">
        <v>100</v>
      </c>
    </row>
  </sheetData>
  <autoFilter ref="A1:T187"/>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1" r:id="rId10"/>
    <hyperlink xmlns:r="http://schemas.openxmlformats.org/officeDocument/2006/relationships" ref="Q12" r:id="rId11"/>
    <hyperlink xmlns:r="http://schemas.openxmlformats.org/officeDocument/2006/relationships" ref="Q13" r:id="rId12"/>
    <hyperlink xmlns:r="http://schemas.openxmlformats.org/officeDocument/2006/relationships" ref="Q14" r:id="rId13"/>
    <hyperlink xmlns:r="http://schemas.openxmlformats.org/officeDocument/2006/relationships" ref="Q15" r:id="rId14"/>
    <hyperlink xmlns:r="http://schemas.openxmlformats.org/officeDocument/2006/relationships" ref="Q16" r:id="rId15"/>
    <hyperlink xmlns:r="http://schemas.openxmlformats.org/officeDocument/2006/relationships" ref="Q17" r:id="rId16"/>
    <hyperlink xmlns:r="http://schemas.openxmlformats.org/officeDocument/2006/relationships" ref="Q18" r:id="rId17"/>
    <hyperlink xmlns:r="http://schemas.openxmlformats.org/officeDocument/2006/relationships" ref="Q19" r:id="rId18"/>
    <hyperlink xmlns:r="http://schemas.openxmlformats.org/officeDocument/2006/relationships" ref="Q20" r:id="rId19"/>
    <hyperlink xmlns:r="http://schemas.openxmlformats.org/officeDocument/2006/relationships" ref="Q21" r:id="rId20"/>
    <hyperlink xmlns:r="http://schemas.openxmlformats.org/officeDocument/2006/relationships" ref="Q22" r:id="rId21"/>
    <hyperlink xmlns:r="http://schemas.openxmlformats.org/officeDocument/2006/relationships" ref="Q23" r:id="rId22"/>
    <hyperlink xmlns:r="http://schemas.openxmlformats.org/officeDocument/2006/relationships" ref="Q24" r:id="rId23"/>
    <hyperlink xmlns:r="http://schemas.openxmlformats.org/officeDocument/2006/relationships" ref="Q25" r:id="rId24"/>
    <hyperlink xmlns:r="http://schemas.openxmlformats.org/officeDocument/2006/relationships" ref="Q26" r:id="rId25"/>
    <hyperlink xmlns:r="http://schemas.openxmlformats.org/officeDocument/2006/relationships" ref="Q27" r:id="rId26"/>
    <hyperlink xmlns:r="http://schemas.openxmlformats.org/officeDocument/2006/relationships" ref="Q28" r:id="rId27"/>
    <hyperlink xmlns:r="http://schemas.openxmlformats.org/officeDocument/2006/relationships" ref="Q29" r:id="rId28"/>
    <hyperlink xmlns:r="http://schemas.openxmlformats.org/officeDocument/2006/relationships" ref="Q30" r:id="rId29"/>
    <hyperlink xmlns:r="http://schemas.openxmlformats.org/officeDocument/2006/relationships" ref="Q31" r:id="rId30"/>
    <hyperlink xmlns:r="http://schemas.openxmlformats.org/officeDocument/2006/relationships" ref="Q32" r:id="rId31"/>
    <hyperlink xmlns:r="http://schemas.openxmlformats.org/officeDocument/2006/relationships" ref="Q33" r:id="rId32"/>
    <hyperlink xmlns:r="http://schemas.openxmlformats.org/officeDocument/2006/relationships" ref="Q34" r:id="rId33"/>
    <hyperlink xmlns:r="http://schemas.openxmlformats.org/officeDocument/2006/relationships" ref="Q35" r:id="rId34"/>
    <hyperlink xmlns:r="http://schemas.openxmlformats.org/officeDocument/2006/relationships" ref="Q36" r:id="rId35"/>
    <hyperlink xmlns:r="http://schemas.openxmlformats.org/officeDocument/2006/relationships" ref="Q37" r:id="rId36"/>
    <hyperlink xmlns:r="http://schemas.openxmlformats.org/officeDocument/2006/relationships" ref="Q38" r:id="rId37"/>
    <hyperlink xmlns:r="http://schemas.openxmlformats.org/officeDocument/2006/relationships" ref="Q39" r:id="rId38"/>
    <hyperlink xmlns:r="http://schemas.openxmlformats.org/officeDocument/2006/relationships" ref="Q40" r:id="rId39"/>
    <hyperlink xmlns:r="http://schemas.openxmlformats.org/officeDocument/2006/relationships" ref="Q41" r:id="rId40"/>
    <hyperlink xmlns:r="http://schemas.openxmlformats.org/officeDocument/2006/relationships" ref="Q42" r:id="rId41"/>
    <hyperlink xmlns:r="http://schemas.openxmlformats.org/officeDocument/2006/relationships" ref="Q43" r:id="rId42"/>
    <hyperlink xmlns:r="http://schemas.openxmlformats.org/officeDocument/2006/relationships" ref="Q44" r:id="rId43"/>
    <hyperlink xmlns:r="http://schemas.openxmlformats.org/officeDocument/2006/relationships" ref="Q45" r:id="rId44"/>
    <hyperlink xmlns:r="http://schemas.openxmlformats.org/officeDocument/2006/relationships" ref="Q46" r:id="rId45"/>
    <hyperlink xmlns:r="http://schemas.openxmlformats.org/officeDocument/2006/relationships" ref="Q47" r:id="rId46"/>
    <hyperlink xmlns:r="http://schemas.openxmlformats.org/officeDocument/2006/relationships" ref="Q48" r:id="rId47"/>
    <hyperlink xmlns:r="http://schemas.openxmlformats.org/officeDocument/2006/relationships" ref="Q49" r:id="rId48"/>
    <hyperlink xmlns:r="http://schemas.openxmlformats.org/officeDocument/2006/relationships" ref="Q50" r:id="rId49"/>
    <hyperlink xmlns:r="http://schemas.openxmlformats.org/officeDocument/2006/relationships" ref="Q51" r:id="rId50"/>
    <hyperlink xmlns:r="http://schemas.openxmlformats.org/officeDocument/2006/relationships" ref="Q52" r:id="rId51"/>
    <hyperlink xmlns:r="http://schemas.openxmlformats.org/officeDocument/2006/relationships" ref="Q53" r:id="rId52"/>
    <hyperlink xmlns:r="http://schemas.openxmlformats.org/officeDocument/2006/relationships" ref="Q54" r:id="rId53"/>
    <hyperlink xmlns:r="http://schemas.openxmlformats.org/officeDocument/2006/relationships" ref="Q55" r:id="rId54"/>
    <hyperlink xmlns:r="http://schemas.openxmlformats.org/officeDocument/2006/relationships" ref="Q56" r:id="rId55"/>
    <hyperlink xmlns:r="http://schemas.openxmlformats.org/officeDocument/2006/relationships" ref="Q57" r:id="rId56"/>
    <hyperlink xmlns:r="http://schemas.openxmlformats.org/officeDocument/2006/relationships" ref="Q58" r:id="rId57"/>
    <hyperlink xmlns:r="http://schemas.openxmlformats.org/officeDocument/2006/relationships" ref="Q59" r:id="rId58"/>
    <hyperlink xmlns:r="http://schemas.openxmlformats.org/officeDocument/2006/relationships" ref="Q60" r:id="rId59"/>
    <hyperlink xmlns:r="http://schemas.openxmlformats.org/officeDocument/2006/relationships" ref="Q61" r:id="rId60"/>
    <hyperlink xmlns:r="http://schemas.openxmlformats.org/officeDocument/2006/relationships" ref="Q62" r:id="rId61"/>
    <hyperlink xmlns:r="http://schemas.openxmlformats.org/officeDocument/2006/relationships" ref="Q63" r:id="rId62"/>
    <hyperlink xmlns:r="http://schemas.openxmlformats.org/officeDocument/2006/relationships" ref="Q64" r:id="rId63"/>
    <hyperlink xmlns:r="http://schemas.openxmlformats.org/officeDocument/2006/relationships" ref="Q65" r:id="rId64"/>
    <hyperlink xmlns:r="http://schemas.openxmlformats.org/officeDocument/2006/relationships" ref="Q66" r:id="rId65"/>
    <hyperlink xmlns:r="http://schemas.openxmlformats.org/officeDocument/2006/relationships" ref="Q67" r:id="rId66"/>
    <hyperlink xmlns:r="http://schemas.openxmlformats.org/officeDocument/2006/relationships" ref="Q68" r:id="rId67"/>
    <hyperlink xmlns:r="http://schemas.openxmlformats.org/officeDocument/2006/relationships" ref="Q69" r:id="rId68"/>
    <hyperlink xmlns:r="http://schemas.openxmlformats.org/officeDocument/2006/relationships" ref="Q70" r:id="rId69"/>
    <hyperlink xmlns:r="http://schemas.openxmlformats.org/officeDocument/2006/relationships" ref="Q71" r:id="rId70"/>
    <hyperlink xmlns:r="http://schemas.openxmlformats.org/officeDocument/2006/relationships" ref="Q72" r:id="rId71"/>
    <hyperlink xmlns:r="http://schemas.openxmlformats.org/officeDocument/2006/relationships" ref="Q73" r:id="rId72"/>
    <hyperlink xmlns:r="http://schemas.openxmlformats.org/officeDocument/2006/relationships" ref="Q74" r:id="rId73"/>
    <hyperlink xmlns:r="http://schemas.openxmlformats.org/officeDocument/2006/relationships" ref="Q75" r:id="rId74"/>
    <hyperlink xmlns:r="http://schemas.openxmlformats.org/officeDocument/2006/relationships" ref="Q76" r:id="rId75"/>
    <hyperlink xmlns:r="http://schemas.openxmlformats.org/officeDocument/2006/relationships" ref="Q77" r:id="rId76"/>
    <hyperlink xmlns:r="http://schemas.openxmlformats.org/officeDocument/2006/relationships" ref="Q78" r:id="rId77"/>
    <hyperlink xmlns:r="http://schemas.openxmlformats.org/officeDocument/2006/relationships" ref="Q79" r:id="rId78"/>
    <hyperlink xmlns:r="http://schemas.openxmlformats.org/officeDocument/2006/relationships" ref="Q80" r:id="rId79"/>
    <hyperlink xmlns:r="http://schemas.openxmlformats.org/officeDocument/2006/relationships" ref="Q81" r:id="rId80"/>
    <hyperlink xmlns:r="http://schemas.openxmlformats.org/officeDocument/2006/relationships" ref="Q82" r:id="rId81"/>
    <hyperlink xmlns:r="http://schemas.openxmlformats.org/officeDocument/2006/relationships" ref="Q83" r:id="rId82"/>
    <hyperlink xmlns:r="http://schemas.openxmlformats.org/officeDocument/2006/relationships" ref="Q84" r:id="rId83"/>
    <hyperlink xmlns:r="http://schemas.openxmlformats.org/officeDocument/2006/relationships" ref="Q85" r:id="rId84"/>
    <hyperlink xmlns:r="http://schemas.openxmlformats.org/officeDocument/2006/relationships" ref="Q86" r:id="rId85"/>
    <hyperlink xmlns:r="http://schemas.openxmlformats.org/officeDocument/2006/relationships" ref="Q87" r:id="rId86"/>
    <hyperlink xmlns:r="http://schemas.openxmlformats.org/officeDocument/2006/relationships" ref="Q88" r:id="rId87"/>
    <hyperlink xmlns:r="http://schemas.openxmlformats.org/officeDocument/2006/relationships" ref="Q89" r:id="rId88"/>
    <hyperlink xmlns:r="http://schemas.openxmlformats.org/officeDocument/2006/relationships" ref="Q90" r:id="rId89"/>
    <hyperlink xmlns:r="http://schemas.openxmlformats.org/officeDocument/2006/relationships" ref="Q91" r:id="rId90"/>
    <hyperlink xmlns:r="http://schemas.openxmlformats.org/officeDocument/2006/relationships" ref="Q92" r:id="rId91"/>
    <hyperlink xmlns:r="http://schemas.openxmlformats.org/officeDocument/2006/relationships" ref="Q93" r:id="rId92"/>
    <hyperlink xmlns:r="http://schemas.openxmlformats.org/officeDocument/2006/relationships" ref="Q94" r:id="rId93"/>
    <hyperlink xmlns:r="http://schemas.openxmlformats.org/officeDocument/2006/relationships" ref="Q95" r:id="rId94"/>
    <hyperlink xmlns:r="http://schemas.openxmlformats.org/officeDocument/2006/relationships" ref="Q96" r:id="rId95"/>
    <hyperlink xmlns:r="http://schemas.openxmlformats.org/officeDocument/2006/relationships" ref="Q97" r:id="rId96"/>
    <hyperlink xmlns:r="http://schemas.openxmlformats.org/officeDocument/2006/relationships" ref="Q98" r:id="rId97"/>
    <hyperlink xmlns:r="http://schemas.openxmlformats.org/officeDocument/2006/relationships" ref="Q99" r:id="rId98"/>
    <hyperlink xmlns:r="http://schemas.openxmlformats.org/officeDocument/2006/relationships" ref="Q100" r:id="rId99"/>
    <hyperlink xmlns:r="http://schemas.openxmlformats.org/officeDocument/2006/relationships" ref="Q101" r:id="rId100"/>
    <hyperlink xmlns:r="http://schemas.openxmlformats.org/officeDocument/2006/relationships" ref="Q102" r:id="rId101"/>
    <hyperlink xmlns:r="http://schemas.openxmlformats.org/officeDocument/2006/relationships" ref="Q103" r:id="rId102"/>
    <hyperlink xmlns:r="http://schemas.openxmlformats.org/officeDocument/2006/relationships" ref="Q104" r:id="rId103"/>
    <hyperlink xmlns:r="http://schemas.openxmlformats.org/officeDocument/2006/relationships" ref="Q105" r:id="rId104"/>
    <hyperlink xmlns:r="http://schemas.openxmlformats.org/officeDocument/2006/relationships" ref="Q106" r:id="rId105"/>
    <hyperlink xmlns:r="http://schemas.openxmlformats.org/officeDocument/2006/relationships" ref="Q107" r:id="rId106"/>
    <hyperlink xmlns:r="http://schemas.openxmlformats.org/officeDocument/2006/relationships" ref="Q108" r:id="rId107"/>
    <hyperlink xmlns:r="http://schemas.openxmlformats.org/officeDocument/2006/relationships" ref="Q109" r:id="rId108"/>
    <hyperlink xmlns:r="http://schemas.openxmlformats.org/officeDocument/2006/relationships" ref="Q110" r:id="rId109"/>
    <hyperlink xmlns:r="http://schemas.openxmlformats.org/officeDocument/2006/relationships" ref="Q111" r:id="rId110"/>
    <hyperlink xmlns:r="http://schemas.openxmlformats.org/officeDocument/2006/relationships" ref="Q112" r:id="rId111"/>
    <hyperlink xmlns:r="http://schemas.openxmlformats.org/officeDocument/2006/relationships" ref="Q113" r:id="rId112"/>
    <hyperlink xmlns:r="http://schemas.openxmlformats.org/officeDocument/2006/relationships" ref="Q114" r:id="rId113"/>
    <hyperlink xmlns:r="http://schemas.openxmlformats.org/officeDocument/2006/relationships" ref="Q115" r:id="rId114"/>
    <hyperlink xmlns:r="http://schemas.openxmlformats.org/officeDocument/2006/relationships" ref="Q116" r:id="rId115"/>
    <hyperlink xmlns:r="http://schemas.openxmlformats.org/officeDocument/2006/relationships" ref="Q117" r:id="rId116"/>
    <hyperlink xmlns:r="http://schemas.openxmlformats.org/officeDocument/2006/relationships" ref="Q118" r:id="rId117"/>
    <hyperlink xmlns:r="http://schemas.openxmlformats.org/officeDocument/2006/relationships" ref="Q119" r:id="rId118"/>
    <hyperlink xmlns:r="http://schemas.openxmlformats.org/officeDocument/2006/relationships" ref="Q120" r:id="rId119"/>
    <hyperlink xmlns:r="http://schemas.openxmlformats.org/officeDocument/2006/relationships" ref="Q121" r:id="rId120"/>
    <hyperlink xmlns:r="http://schemas.openxmlformats.org/officeDocument/2006/relationships" ref="Q122" r:id="rId121"/>
    <hyperlink xmlns:r="http://schemas.openxmlformats.org/officeDocument/2006/relationships" ref="Q123" r:id="rId122"/>
    <hyperlink xmlns:r="http://schemas.openxmlformats.org/officeDocument/2006/relationships" ref="Q124" r:id="rId123"/>
    <hyperlink xmlns:r="http://schemas.openxmlformats.org/officeDocument/2006/relationships" ref="Q125" r:id="rId124"/>
    <hyperlink xmlns:r="http://schemas.openxmlformats.org/officeDocument/2006/relationships" ref="Q126" r:id="rId125"/>
    <hyperlink xmlns:r="http://schemas.openxmlformats.org/officeDocument/2006/relationships" ref="Q127" r:id="rId126"/>
    <hyperlink xmlns:r="http://schemas.openxmlformats.org/officeDocument/2006/relationships" ref="Q128" r:id="rId127"/>
    <hyperlink xmlns:r="http://schemas.openxmlformats.org/officeDocument/2006/relationships" ref="Q129" r:id="rId128"/>
    <hyperlink xmlns:r="http://schemas.openxmlformats.org/officeDocument/2006/relationships" ref="Q130" r:id="rId129"/>
    <hyperlink xmlns:r="http://schemas.openxmlformats.org/officeDocument/2006/relationships" ref="Q131" r:id="rId130"/>
    <hyperlink xmlns:r="http://schemas.openxmlformats.org/officeDocument/2006/relationships" ref="Q132" r:id="rId131"/>
    <hyperlink xmlns:r="http://schemas.openxmlformats.org/officeDocument/2006/relationships" ref="Q133" r:id="rId132"/>
    <hyperlink xmlns:r="http://schemas.openxmlformats.org/officeDocument/2006/relationships" ref="Q134" r:id="rId133"/>
    <hyperlink xmlns:r="http://schemas.openxmlformats.org/officeDocument/2006/relationships" ref="Q135" r:id="rId134"/>
    <hyperlink xmlns:r="http://schemas.openxmlformats.org/officeDocument/2006/relationships" ref="Q136" r:id="rId135"/>
    <hyperlink xmlns:r="http://schemas.openxmlformats.org/officeDocument/2006/relationships" ref="Q137" r:id="rId136"/>
    <hyperlink xmlns:r="http://schemas.openxmlformats.org/officeDocument/2006/relationships" ref="Q138" r:id="rId137"/>
    <hyperlink xmlns:r="http://schemas.openxmlformats.org/officeDocument/2006/relationships" ref="Q139" r:id="rId138"/>
    <hyperlink xmlns:r="http://schemas.openxmlformats.org/officeDocument/2006/relationships" ref="Q140" r:id="rId139"/>
    <hyperlink xmlns:r="http://schemas.openxmlformats.org/officeDocument/2006/relationships" ref="Q141" r:id="rId140"/>
    <hyperlink xmlns:r="http://schemas.openxmlformats.org/officeDocument/2006/relationships" ref="Q142" r:id="rId141"/>
    <hyperlink xmlns:r="http://schemas.openxmlformats.org/officeDocument/2006/relationships" ref="Q143" r:id="rId142"/>
    <hyperlink xmlns:r="http://schemas.openxmlformats.org/officeDocument/2006/relationships" ref="Q144" r:id="rId143"/>
    <hyperlink xmlns:r="http://schemas.openxmlformats.org/officeDocument/2006/relationships" ref="Q145" r:id="rId144"/>
    <hyperlink xmlns:r="http://schemas.openxmlformats.org/officeDocument/2006/relationships" ref="Q146" r:id="rId145"/>
    <hyperlink xmlns:r="http://schemas.openxmlformats.org/officeDocument/2006/relationships" ref="Q147" r:id="rId146"/>
    <hyperlink xmlns:r="http://schemas.openxmlformats.org/officeDocument/2006/relationships" ref="Q148" r:id="rId147"/>
    <hyperlink xmlns:r="http://schemas.openxmlformats.org/officeDocument/2006/relationships" ref="Q149" r:id="rId148"/>
    <hyperlink xmlns:r="http://schemas.openxmlformats.org/officeDocument/2006/relationships" ref="Q150" r:id="rId149"/>
    <hyperlink xmlns:r="http://schemas.openxmlformats.org/officeDocument/2006/relationships" ref="Q151" r:id="rId150"/>
    <hyperlink xmlns:r="http://schemas.openxmlformats.org/officeDocument/2006/relationships" ref="Q152" r:id="rId151"/>
    <hyperlink xmlns:r="http://schemas.openxmlformats.org/officeDocument/2006/relationships" ref="Q153" r:id="rId152"/>
    <hyperlink xmlns:r="http://schemas.openxmlformats.org/officeDocument/2006/relationships" ref="Q154" r:id="rId153"/>
    <hyperlink xmlns:r="http://schemas.openxmlformats.org/officeDocument/2006/relationships" ref="Q155" r:id="rId154"/>
    <hyperlink xmlns:r="http://schemas.openxmlformats.org/officeDocument/2006/relationships" ref="Q156" r:id="rId155"/>
    <hyperlink xmlns:r="http://schemas.openxmlformats.org/officeDocument/2006/relationships" ref="Q157" r:id="rId156"/>
    <hyperlink xmlns:r="http://schemas.openxmlformats.org/officeDocument/2006/relationships" ref="Q158" r:id="rId157"/>
    <hyperlink xmlns:r="http://schemas.openxmlformats.org/officeDocument/2006/relationships" ref="Q159" r:id="rId158"/>
    <hyperlink xmlns:r="http://schemas.openxmlformats.org/officeDocument/2006/relationships" ref="Q160" r:id="rId159"/>
    <hyperlink xmlns:r="http://schemas.openxmlformats.org/officeDocument/2006/relationships" ref="Q161" r:id="rId160"/>
    <hyperlink xmlns:r="http://schemas.openxmlformats.org/officeDocument/2006/relationships" ref="Q162" r:id="rId161"/>
    <hyperlink xmlns:r="http://schemas.openxmlformats.org/officeDocument/2006/relationships" ref="Q163" r:id="rId162"/>
    <hyperlink xmlns:r="http://schemas.openxmlformats.org/officeDocument/2006/relationships" ref="Q164" r:id="rId163"/>
    <hyperlink xmlns:r="http://schemas.openxmlformats.org/officeDocument/2006/relationships" ref="Q165" r:id="rId164"/>
    <hyperlink xmlns:r="http://schemas.openxmlformats.org/officeDocument/2006/relationships" ref="Q166" r:id="rId165"/>
    <hyperlink xmlns:r="http://schemas.openxmlformats.org/officeDocument/2006/relationships" ref="Q167" r:id="rId166"/>
    <hyperlink xmlns:r="http://schemas.openxmlformats.org/officeDocument/2006/relationships" ref="Q168" r:id="rId167"/>
    <hyperlink xmlns:r="http://schemas.openxmlformats.org/officeDocument/2006/relationships" ref="Q169" r:id="rId168"/>
    <hyperlink xmlns:r="http://schemas.openxmlformats.org/officeDocument/2006/relationships" ref="Q170" r:id="rId169"/>
    <hyperlink xmlns:r="http://schemas.openxmlformats.org/officeDocument/2006/relationships" ref="Q171" r:id="rId170"/>
    <hyperlink xmlns:r="http://schemas.openxmlformats.org/officeDocument/2006/relationships" ref="Q172" r:id="rId171"/>
    <hyperlink xmlns:r="http://schemas.openxmlformats.org/officeDocument/2006/relationships" ref="Q173" r:id="rId172"/>
    <hyperlink xmlns:r="http://schemas.openxmlformats.org/officeDocument/2006/relationships" ref="Q174" r:id="rId173"/>
    <hyperlink xmlns:r="http://schemas.openxmlformats.org/officeDocument/2006/relationships" ref="Q175" r:id="rId174"/>
    <hyperlink xmlns:r="http://schemas.openxmlformats.org/officeDocument/2006/relationships" ref="Q176" r:id="rId175"/>
    <hyperlink xmlns:r="http://schemas.openxmlformats.org/officeDocument/2006/relationships" ref="Q177" r:id="rId176"/>
    <hyperlink xmlns:r="http://schemas.openxmlformats.org/officeDocument/2006/relationships" ref="Q178" r:id="rId177"/>
    <hyperlink xmlns:r="http://schemas.openxmlformats.org/officeDocument/2006/relationships" ref="Q179" r:id="rId178"/>
    <hyperlink xmlns:r="http://schemas.openxmlformats.org/officeDocument/2006/relationships" ref="Q180" r:id="rId179"/>
    <hyperlink xmlns:r="http://schemas.openxmlformats.org/officeDocument/2006/relationships" ref="Q181" r:id="rId180"/>
    <hyperlink xmlns:r="http://schemas.openxmlformats.org/officeDocument/2006/relationships" ref="Q182" r:id="rId181"/>
    <hyperlink xmlns:r="http://schemas.openxmlformats.org/officeDocument/2006/relationships" ref="Q183" r:id="rId182"/>
    <hyperlink xmlns:r="http://schemas.openxmlformats.org/officeDocument/2006/relationships" ref="Q184" r:id="rId183"/>
    <hyperlink xmlns:r="http://schemas.openxmlformats.org/officeDocument/2006/relationships" ref="Q185" r:id="rId184"/>
    <hyperlink xmlns:r="http://schemas.openxmlformats.org/officeDocument/2006/relationships" ref="Q186" r:id="rId185"/>
    <hyperlink xmlns:r="http://schemas.openxmlformats.org/officeDocument/2006/relationships" ref="Q187" r:id="rId186"/>
  </hyperlink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2026-09-05T01:04:14Z</dcterms:created>
  <dcterms:modified xsi:type="dcterms:W3CDTF">2026-09-05T01:04:15Z</dcterms:modified>
</cp:coreProperties>
</file>