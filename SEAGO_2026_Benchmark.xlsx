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osses à dents" sheetId="1" state="visible" r:id="rId1"/>
    <sheet name="Hydropulseurs" sheetId="2" state="visible" r:id="rId2"/>
    <sheet name="Têtes de rechange" sheetId="3" state="visible" r:id="rId3"/>
  </sheets>
  <definedNames>
    <definedName name="_xlnm._FilterDatabase" localSheetId="0" hidden="1">'Brosses à dents'!$A$1:$AE$157</definedName>
    <definedName name="_xlnm._FilterDatabase" localSheetId="1" hidden="1">'Hydropulseurs'!$A$1:$AA$52</definedName>
    <definedName name="_xlnm._FilterDatabase" localSheetId="2" hidden="1">'Têtes de rechange'!$A$1:$Q$100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i val="1"/>
      <color rgb="0098A2B3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55A11"/>
      </patternFill>
    </fill>
    <fill>
      <patternFill patternType="solid">
        <fgColor rgb="002E7D4F"/>
      </patternFill>
    </fill>
    <fill>
      <patternFill patternType="solid">
        <fgColor rgb="00F5F7FA"/>
      </patternFill>
    </fill>
    <fill>
      <patternFill patternType="solid">
        <fgColor rgb="00FDF2E3"/>
      </patternFill>
    </fill>
    <fill>
      <patternFill patternType="solid">
        <fgColor rgb="00EAF3EE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applyProtection="1" pivotButton="0" quotePrefix="0" xfId="0">
      <alignment vertical="top"/>
      <protection locked="0" hidden="0"/>
    </xf>
    <xf numFmtId="3" fontId="2" fillId="5" borderId="1" applyAlignment="1" applyProtection="1" pivotButton="0" quotePrefix="0" xfId="0">
      <alignment vertical="top"/>
      <protection locked="0" hidden="0"/>
    </xf>
    <xf numFmtId="1" fontId="2" fillId="5" borderId="1" applyAlignment="1" applyProtection="1" pivotButton="0" quotePrefix="0" xfId="0">
      <alignment vertical="top"/>
      <protection locked="0" hidden="0"/>
    </xf>
    <xf numFmtId="164" fontId="3" fillId="5" borderId="1" applyAlignment="1" applyProtection="1" pivotButton="0" quotePrefix="0" xfId="0">
      <alignment vertical="top"/>
      <protection locked="0" hidden="0"/>
    </xf>
    <xf numFmtId="164" fontId="2" fillId="5" borderId="1" applyAlignment="1" applyProtection="1" pivotButton="0" quotePrefix="0" xfId="0">
      <alignment vertical="top"/>
      <protection locked="0" hidden="0"/>
    </xf>
    <xf numFmtId="0" fontId="2" fillId="5" borderId="1" applyAlignment="1" applyProtection="1" pivotButton="0" quotePrefix="0" xfId="0">
      <alignment vertical="top" wrapText="1"/>
      <protection locked="0" hidden="0"/>
    </xf>
    <xf numFmtId="1" fontId="2" fillId="5" borderId="1" applyAlignment="1" applyProtection="1" pivotButton="0" quotePrefix="0" xfId="0">
      <alignment vertical="top" wrapText="1"/>
      <protection locked="0" hidden="0"/>
    </xf>
    <xf numFmtId="0" fontId="2" fillId="6" borderId="1" applyProtection="1" pivotButton="0" quotePrefix="0" xfId="0">
      <protection locked="0" hidden="0"/>
    </xf>
    <xf numFmtId="4" fontId="2" fillId="6" borderId="1" applyProtection="1" pivotButton="0" quotePrefix="0" xfId="0">
      <protection locked="0" hidden="0"/>
    </xf>
    <xf numFmtId="4" fontId="2" fillId="7" borderId="1" applyAlignment="1" pivotButton="0" quotePrefix="0" xfId="0">
      <alignment horizontal="center" vertical="top"/>
    </xf>
    <xf numFmtId="165" fontId="2" fillId="7" borderId="1" applyAlignment="1" pivotButton="0" quotePrefix="0" xfId="0">
      <alignment horizontal="center" vertical="top"/>
    </xf>
    <xf numFmtId="49" fontId="2" fillId="7" borderId="1" applyAlignment="1" pivotButton="0" quotePrefix="0" xfId="0">
      <alignment horizontal="center" vertical="top"/>
    </xf>
    <xf numFmtId="0" fontId="2" fillId="0" borderId="1" applyAlignment="1" applyProtection="1" pivotButton="0" quotePrefix="0" xfId="0">
      <alignment vertical="top"/>
      <protection locked="0" hidden="0"/>
    </xf>
    <xf numFmtId="3" fontId="2" fillId="0" borderId="1" applyAlignment="1" applyProtection="1" pivotButton="0" quotePrefix="0" xfId="0">
      <alignment vertical="top"/>
      <protection locked="0" hidden="0"/>
    </xf>
    <xf numFmtId="1" fontId="2" fillId="0" borderId="1" applyAlignment="1" applyProtection="1" pivotButton="0" quotePrefix="0" xfId="0">
      <alignment vertical="top"/>
      <protection locked="0" hidden="0"/>
    </xf>
    <xf numFmtId="164" fontId="2" fillId="0" borderId="1" applyAlignment="1" applyProtection="1" pivotButton="0" quotePrefix="0" xfId="0">
      <alignment vertical="top"/>
      <protection locked="0" hidden="0"/>
    </xf>
    <xf numFmtId="0" fontId="2" fillId="0" borderId="1" applyAlignment="1" applyProtection="1" pivotButton="0" quotePrefix="0" xfId="0">
      <alignment vertical="top" wrapText="1"/>
      <protection locked="0" hidden="0"/>
    </xf>
    <xf numFmtId="1" fontId="2" fillId="0" borderId="1" applyAlignment="1" applyProtection="1" pivotButton="0" quotePrefix="0" xfId="0">
      <alignment vertical="top" wrapText="1"/>
      <protection locked="0" hidden="0"/>
    </xf>
    <xf numFmtId="164" fontId="3" fillId="0" borderId="1" applyAlignment="1" applyProtection="1" pivotButton="0" quotePrefix="0" xfId="0">
      <alignment vertical="top"/>
      <protection locked="0" hidden="0"/>
    </xf>
    <xf numFmtId="1" fontId="3" fillId="0" borderId="1" applyAlignment="1" applyProtection="1" pivotButton="0" quotePrefix="0" xfId="0">
      <alignment vertical="top"/>
      <protection locked="0" hidden="0"/>
    </xf>
    <xf numFmtId="0" fontId="3" fillId="0" borderId="1" applyAlignment="1" applyProtection="1" pivotButton="0" quotePrefix="0" xfId="0">
      <alignment vertical="top"/>
      <protection locked="0" hidden="0"/>
    </xf>
    <xf numFmtId="1" fontId="3" fillId="5" borderId="1" applyAlignment="1" applyProtection="1" pivotButton="0" quotePrefix="0" xfId="0">
      <alignment vertical="top"/>
      <protection locked="0" hidden="0"/>
    </xf>
    <xf numFmtId="3" fontId="3" fillId="0" borderId="1" applyAlignment="1" applyProtection="1" pivotButton="0" quotePrefix="0" xfId="0">
      <alignment vertical="top"/>
      <protection locked="0" hidden="0"/>
    </xf>
    <xf numFmtId="0" fontId="3" fillId="5" borderId="1" applyAlignment="1" applyProtection="1" pivotButton="0" quotePrefix="0" xfId="0">
      <alignment vertical="top"/>
      <protection locked="0" hidden="0"/>
    </xf>
    <xf numFmtId="0" fontId="0" fillId="0" borderId="0" applyProtection="1" pivotButton="0" quotePrefix="0" xfId="0">
      <protection locked="0" hidden="0"/>
    </xf>
    <xf numFmtId="0" fontId="3" fillId="5" borderId="1" applyAlignment="1" applyProtection="1" pivotButton="0" quotePrefix="0" xfId="0">
      <alignment vertical="top" wrapText="1"/>
      <protection locked="0" hidden="0"/>
    </xf>
    <xf numFmtId="0" fontId="3" fillId="0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3">
    <dxf>
      <font>
        <color rgb="009C0006"/>
        <sz val="10"/>
      </font>
      <fill>
        <patternFill patternType="solid">
          <bgColor rgb="00F8CBCB"/>
        </patternFill>
      </fill>
    </dxf>
    <dxf>
      <font>
        <color rgb="00006100"/>
        <sz val="10"/>
      </font>
      <fill>
        <patternFill patternType="solid">
          <bgColor rgb="00C6EFCE"/>
        </patternFill>
      </fill>
    </dxf>
    <dxf>
      <font>
        <color rgb="009C6500"/>
        <sz val="1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7" customWidth="1" min="2" max="2"/>
    <col width="22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26" customWidth="1" min="10" max="10"/>
    <col width="22" customWidth="1" min="11" max="11"/>
    <col width="13" customWidth="1" min="12" max="12"/>
    <col width="12" customWidth="1" min="13" max="13"/>
    <col width="13" customWidth="1" min="14" max="14"/>
    <col width="18" customWidth="1" min="15" max="15"/>
    <col width="10" customWidth="1" min="16" max="16"/>
    <col width="10" customWidth="1" min="17" max="17"/>
    <col width="34" customWidth="1" min="18" max="18"/>
    <col width="60" customWidth="1" min="19" max="19"/>
    <col width="10" customWidth="1" min="20" max="20"/>
    <col width="22" customWidth="1" min="21" max="21"/>
    <col width="20" customWidth="1" min="22" max="22"/>
    <col width="22" customWidth="1" min="23" max="23"/>
    <col width="15" customWidth="1" min="24" max="24"/>
    <col width="14" customWidth="1" min="25" max="25"/>
    <col width="10" customWidth="1" min="26" max="26"/>
    <col width="20" customWidth="1" min="27" max="27"/>
    <col width="32" customWidth="1" min="28" max="28"/>
    <col width="18" customWidth="1" min="29" max="29"/>
    <col width="16" customWidth="1" min="30" max="30"/>
    <col width="20" customWidth="1" min="31" max="31"/>
  </cols>
  <sheetData>
    <row r="1" ht="40" customHeight="1">
      <c r="A1" s="1" t="inlineStr">
        <is>
          <t>Référence SEAGO</t>
        </is>
      </c>
      <c r="B1" s="1" t="inlineStr">
        <is>
          <t>Gamme / série</t>
        </is>
      </c>
      <c r="C1" s="1" t="inlineStr">
        <is>
          <t>Technologie</t>
        </is>
      </c>
      <c r="D1" s="1" t="inlineStr">
        <is>
          <t>Cible</t>
        </is>
      </c>
      <c r="E1" s="1" t="inlineStr">
        <is>
          <t>Fréquence min (strokes/min)</t>
        </is>
      </c>
      <c r="F1" s="1" t="inlineStr">
        <is>
          <t>Fréquence max (strokes/min)</t>
        </is>
      </c>
      <c r="G1" s="1" t="inlineStr">
        <is>
          <t>Nombre de modes</t>
        </is>
      </c>
      <c r="H1" s="1" t="inlineStr">
        <is>
          <t>Autonomie (jours)</t>
        </is>
      </c>
      <c r="I1" s="1" t="inlineStr">
        <is>
          <t>Batterie (mAh)</t>
        </is>
      </c>
      <c r="J1" s="1" t="inlineStr">
        <is>
          <t>Type d'alimentation</t>
        </is>
      </c>
      <c r="K1" s="1" t="inlineStr">
        <is>
          <t>Mode de charge</t>
        </is>
      </c>
      <c r="L1" s="1" t="inlineStr">
        <is>
          <t>Temps de charge (h)</t>
        </is>
      </c>
      <c r="M1" s="1" t="inlineStr">
        <is>
          <t>Étanchéité (IPX)</t>
        </is>
      </c>
      <c r="N1" s="1" t="inlineStr">
        <is>
          <t>Capteur de pression</t>
        </is>
      </c>
      <c r="O1" s="1" t="inlineStr">
        <is>
          <t>Affichage</t>
        </is>
      </c>
      <c r="P1" s="1" t="inlineStr">
        <is>
          <t>Minuteur</t>
        </is>
      </c>
      <c r="Q1" s="1" t="inlineStr">
        <is>
          <t>Poids (g)</t>
        </is>
      </c>
      <c r="R1" s="1" t="inlineStr">
        <is>
          <t>Dimensions L*l*H (mm)</t>
        </is>
      </c>
      <c r="S1" s="1" t="inlineStr">
        <is>
          <t>Fonctions différenciantes</t>
        </is>
      </c>
      <c r="T1" s="1" t="inlineStr">
        <is>
          <t>Page catalogue</t>
        </is>
      </c>
      <c r="U1" s="2" t="inlineStr">
        <is>
          <t>Produit concurrent</t>
        </is>
      </c>
      <c r="V1" s="2" t="inlineStr">
        <is>
          <t>Marque concurrente</t>
        </is>
      </c>
      <c r="W1" s="2" t="inlineStr">
        <is>
          <t>Référence concurrente</t>
        </is>
      </c>
      <c r="X1" s="2" t="inlineStr">
        <is>
          <t>Prix concurrent</t>
        </is>
      </c>
      <c r="Y1" s="2" t="inlineStr">
        <is>
          <t>Prix SEAGO</t>
        </is>
      </c>
      <c r="Z1" s="2" t="inlineStr">
        <is>
          <t>Devise</t>
        </is>
      </c>
      <c r="AA1" s="2" t="inlineStr">
        <is>
          <t>Source / canal</t>
        </is>
      </c>
      <c r="AB1" s="2" t="inlineStr">
        <is>
          <t>Commentaire</t>
        </is>
      </c>
      <c r="AC1" s="3" t="inlineStr">
        <is>
          <t>Écart de prix (valeur)</t>
        </is>
      </c>
      <c r="AD1" s="3" t="inlineStr">
        <is>
          <t>Écart de prix (%)</t>
        </is>
      </c>
      <c r="AE1" s="3" t="inlineStr">
        <is>
          <t>Positionnement prix</t>
        </is>
      </c>
    </row>
    <row r="2">
      <c r="A2" s="4" t="inlineStr">
        <is>
          <t>SG-2788</t>
        </is>
      </c>
      <c r="B2" s="4" t="inlineStr">
        <is>
          <t>New Arrival</t>
        </is>
      </c>
      <c r="C2" s="4" t="inlineStr">
        <is>
          <t>Sonique</t>
        </is>
      </c>
      <c r="D2" s="4" t="inlineStr">
        <is>
          <t>Adulte</t>
        </is>
      </c>
      <c r="E2" s="5" t="n">
        <v>32000</v>
      </c>
      <c r="F2" s="5" t="n">
        <v>40000</v>
      </c>
      <c r="G2" s="6" t="n">
        <v>5</v>
      </c>
      <c r="H2" s="6" t="n">
        <v>21</v>
      </c>
      <c r="I2" s="6" t="n">
        <v>700</v>
      </c>
      <c r="J2" s="4" t="inlineStr">
        <is>
          <t>Batterie Li-ion rechargeable</t>
        </is>
      </c>
      <c r="K2" s="4" t="inlineStr">
        <is>
          <t>Type-C</t>
        </is>
      </c>
      <c r="L2" s="7" t="inlineStr">
        <is>
          <t>N/D</t>
        </is>
      </c>
      <c r="M2" s="4" t="inlineStr">
        <is>
          <t>IPX7</t>
        </is>
      </c>
      <c r="N2" s="4" t="inlineStr">
        <is>
          <t>Oui</t>
        </is>
      </c>
      <c r="O2" s="4" t="inlineStr">
        <is>
          <t>Aucun</t>
        </is>
      </c>
      <c r="P2" s="4" t="inlineStr">
        <is>
          <t>Non</t>
        </is>
      </c>
      <c r="Q2" s="8" t="n">
        <v>108.5</v>
      </c>
      <c r="R2" s="4" t="inlineStr">
        <is>
          <t>30.5*28.7*252.9</t>
        </is>
      </c>
      <c r="S2" s="9" t="inlineStr">
        <is>
          <t>Capteur de pression avec alerte sonore, montée progressive 3 s, design cuir + brillant antidérapant, bague décorative gear, système super silencieux, alerte batterie faible</t>
        </is>
      </c>
      <c r="T2" s="10" t="n">
        <v>1</v>
      </c>
      <c r="U2" s="11" t="n"/>
      <c r="V2" s="11" t="n"/>
      <c r="W2" s="11" t="n"/>
      <c r="X2" s="12" t="n"/>
      <c r="Y2" s="12" t="n"/>
      <c r="Z2" s="11" t="n"/>
      <c r="AA2" s="11" t="n"/>
      <c r="AB2" s="11" t="n"/>
      <c r="AC2" s="13">
        <f>IF(OR(Y2="",X2=""),"",Y2-X2)</f>
        <v/>
      </c>
      <c r="AD2" s="14">
        <f>IF(OR(Y2="",X2="",X2=0),"",(Y2-X2)/X2)</f>
        <v/>
      </c>
      <c r="AE2" s="15">
        <f>IF(AD2="","",IF(AD2&lt;-0.05,"Moins cher",IF(AD2&gt;0.05,"Plus cher","Équivalent")))</f>
        <v/>
      </c>
    </row>
    <row r="3">
      <c r="A3" s="16" t="inlineStr">
        <is>
          <t>SG-2801</t>
        </is>
      </c>
      <c r="B3" s="16" t="inlineStr">
        <is>
          <t>New Arrival</t>
        </is>
      </c>
      <c r="C3" s="16" t="inlineStr">
        <is>
          <t>Sonique</t>
        </is>
      </c>
      <c r="D3" s="16" t="inlineStr">
        <is>
          <t>Adulte</t>
        </is>
      </c>
      <c r="E3" s="17" t="n">
        <v>35000</v>
      </c>
      <c r="F3" s="17" t="n">
        <v>35000</v>
      </c>
      <c r="G3" s="18" t="n">
        <v>5</v>
      </c>
      <c r="H3" s="18" t="n">
        <v>180</v>
      </c>
      <c r="I3" s="18" t="n">
        <v>700</v>
      </c>
      <c r="J3" s="16" t="inlineStr">
        <is>
          <t>Batterie Li-ion rechargeable</t>
        </is>
      </c>
      <c r="K3" s="16" t="inlineStr">
        <is>
          <t>Type-C</t>
        </is>
      </c>
      <c r="L3" s="19" t="n">
        <v>3</v>
      </c>
      <c r="M3" s="16" t="inlineStr">
        <is>
          <t>IPX7</t>
        </is>
      </c>
      <c r="N3" s="16" t="inlineStr">
        <is>
          <t>Non</t>
        </is>
      </c>
      <c r="O3" s="16" t="inlineStr">
        <is>
          <t>Indicateur batterie</t>
        </is>
      </c>
      <c r="P3" s="16" t="inlineStr">
        <is>
          <t>Oui</t>
        </is>
      </c>
      <c r="Q3" s="19" t="n">
        <v>73</v>
      </c>
      <c r="R3" s="16" t="inlineStr">
        <is>
          <t>24.6*22.6*224</t>
        </is>
      </c>
      <c r="S3" s="20" t="inlineStr">
        <is>
          <t>Charge 3 h pour 180 jours (mode 3, 2x/j 2 min), mémoire intelligente, tenon métal, alerte batterie faible</t>
        </is>
      </c>
      <c r="T3" s="21" t="n">
        <v>1</v>
      </c>
      <c r="U3" s="11" t="n"/>
      <c r="V3" s="11" t="n"/>
      <c r="W3" s="11" t="n"/>
      <c r="X3" s="12" t="n"/>
      <c r="Y3" s="12" t="n"/>
      <c r="Z3" s="11" t="n"/>
      <c r="AA3" s="11" t="n"/>
      <c r="AB3" s="11" t="n"/>
      <c r="AC3" s="13">
        <f>IF(OR(Y3="",X3=""),"",Y3-X3)</f>
        <v/>
      </c>
      <c r="AD3" s="14">
        <f>IF(OR(Y3="",X3="",X3=0),"",(Y3-X3)/X3)</f>
        <v/>
      </c>
      <c r="AE3" s="15">
        <f>IF(AD3="","",IF(AD3&lt;-0.05,"Moins cher",IF(AD3&gt;0.05,"Plus cher","Équivalent")))</f>
        <v/>
      </c>
    </row>
    <row r="4">
      <c r="A4" s="4" t="inlineStr">
        <is>
          <t>SG-2803</t>
        </is>
      </c>
      <c r="B4" s="4" t="inlineStr">
        <is>
          <t>New Arrival</t>
        </is>
      </c>
      <c r="C4" s="4" t="inlineStr">
        <is>
          <t>Sonique</t>
        </is>
      </c>
      <c r="D4" s="4" t="inlineStr">
        <is>
          <t>Adulte</t>
        </is>
      </c>
      <c r="E4" s="5" t="n">
        <v>32000</v>
      </c>
      <c r="F4" s="5" t="n">
        <v>38000</v>
      </c>
      <c r="G4" s="6" t="n">
        <v>5</v>
      </c>
      <c r="H4" s="6" t="n">
        <v>30</v>
      </c>
      <c r="I4" s="6" t="n">
        <v>700</v>
      </c>
      <c r="J4" s="4" t="inlineStr">
        <is>
          <t>Batterie Li-ion rechargeable</t>
        </is>
      </c>
      <c r="K4" s="4" t="inlineStr">
        <is>
          <t>Type-C</t>
        </is>
      </c>
      <c r="L4" s="8" t="n">
        <v>3</v>
      </c>
      <c r="M4" s="4" t="inlineStr">
        <is>
          <t>IPX7</t>
        </is>
      </c>
      <c r="N4" s="4" t="inlineStr">
        <is>
          <t>Non</t>
        </is>
      </c>
      <c r="O4" s="4" t="inlineStr">
        <is>
          <t>Aucun</t>
        </is>
      </c>
      <c r="P4" s="4" t="inlineStr">
        <is>
          <t>Oui</t>
        </is>
      </c>
      <c r="Q4" s="8" t="n">
        <v>125</v>
      </c>
      <c r="R4" s="4" t="inlineStr">
        <is>
          <t>26.8*26.7*253</t>
        </is>
      </c>
      <c r="S4" s="9" t="inlineStr">
        <is>
          <t>Charge complète en 3 h, mémoire intelligente, design ergonomique, alerte batterie faible</t>
        </is>
      </c>
      <c r="T4" s="10" t="n">
        <v>2</v>
      </c>
      <c r="U4" s="11" t="n"/>
      <c r="V4" s="11" t="n"/>
      <c r="W4" s="11" t="n"/>
      <c r="X4" s="12" t="n"/>
      <c r="Y4" s="12" t="n"/>
      <c r="Z4" s="11" t="n"/>
      <c r="AA4" s="11" t="n"/>
      <c r="AB4" s="11" t="n"/>
      <c r="AC4" s="13">
        <f>IF(OR(Y4="",X4=""),"",Y4-X4)</f>
        <v/>
      </c>
      <c r="AD4" s="14">
        <f>IF(OR(Y4="",X4="",X4=0),"",(Y4-X4)/X4)</f>
        <v/>
      </c>
      <c r="AE4" s="15">
        <f>IF(AD4="","",IF(AD4&lt;-0.05,"Moins cher",IF(AD4&gt;0.05,"Plus cher","Équivalent")))</f>
        <v/>
      </c>
    </row>
    <row r="5">
      <c r="A5" s="16" t="inlineStr">
        <is>
          <t>SG-2805</t>
        </is>
      </c>
      <c r="B5" s="16" t="inlineStr">
        <is>
          <t>New Arrival</t>
        </is>
      </c>
      <c r="C5" s="16" t="inlineStr">
        <is>
          <t>Sonique</t>
        </is>
      </c>
      <c r="D5" s="16" t="inlineStr">
        <is>
          <t>Adulte</t>
        </is>
      </c>
      <c r="E5" s="17" t="n">
        <v>31000</v>
      </c>
      <c r="F5" s="17" t="n">
        <v>31000</v>
      </c>
      <c r="G5" s="18" t="n">
        <v>3</v>
      </c>
      <c r="H5" s="18" t="n">
        <v>30</v>
      </c>
      <c r="I5" s="18" t="n">
        <v>700</v>
      </c>
      <c r="J5" s="16" t="inlineStr">
        <is>
          <t>Batterie Li-ion rechargeable</t>
        </is>
      </c>
      <c r="K5" s="16" t="inlineStr">
        <is>
          <t>DC5V</t>
        </is>
      </c>
      <c r="L5" s="22" t="inlineStr">
        <is>
          <t>N/D</t>
        </is>
      </c>
      <c r="M5" s="16" t="inlineStr">
        <is>
          <t>IPX7</t>
        </is>
      </c>
      <c r="N5" s="16" t="inlineStr">
        <is>
          <t>Oui</t>
        </is>
      </c>
      <c r="O5" s="16" t="inlineStr">
        <is>
          <t>Aucun</t>
        </is>
      </c>
      <c r="P5" s="16" t="inlineStr">
        <is>
          <t>Oui</t>
        </is>
      </c>
      <c r="Q5" s="19" t="n">
        <v>115</v>
      </c>
      <c r="R5" s="16" t="inlineStr">
        <is>
          <t>D27.5*163.3</t>
        </is>
      </c>
      <c r="S5" s="20" t="inlineStr">
        <is>
          <t>Design Shoes+Hat, mémoire de vitesse intelligente, alerte batterie faible</t>
        </is>
      </c>
      <c r="T5" s="21" t="n">
        <v>2</v>
      </c>
      <c r="U5" s="11" t="n"/>
      <c r="V5" s="11" t="n"/>
      <c r="W5" s="11" t="n"/>
      <c r="X5" s="12" t="n"/>
      <c r="Y5" s="12" t="n"/>
      <c r="Z5" s="11" t="n"/>
      <c r="AA5" s="11" t="n"/>
      <c r="AB5" s="11" t="n"/>
      <c r="AC5" s="13">
        <f>IF(OR(Y5="",X5=""),"",Y5-X5)</f>
        <v/>
      </c>
      <c r="AD5" s="14">
        <f>IF(OR(Y5="",X5="",X5=0),"",(Y5-X5)/X5)</f>
        <v/>
      </c>
      <c r="AE5" s="15">
        <f>IF(AD5="","",IF(AD5&lt;-0.05,"Moins cher",IF(AD5&gt;0.05,"Plus cher","Équivalent")))</f>
        <v/>
      </c>
    </row>
    <row r="6">
      <c r="A6" s="4" t="inlineStr">
        <is>
          <t>SG-2807</t>
        </is>
      </c>
      <c r="B6" s="4" t="inlineStr">
        <is>
          <t>New Arrival</t>
        </is>
      </c>
      <c r="C6" s="4" t="inlineStr">
        <is>
          <t>Sonique</t>
        </is>
      </c>
      <c r="D6" s="4" t="inlineStr">
        <is>
          <t>Adulte</t>
        </is>
      </c>
      <c r="E6" s="5" t="n">
        <v>38000</v>
      </c>
      <c r="F6" s="5" t="n">
        <v>38000</v>
      </c>
      <c r="G6" s="6" t="n">
        <v>5</v>
      </c>
      <c r="H6" s="6" t="n">
        <v>50</v>
      </c>
      <c r="I6" s="6" t="n">
        <v>700</v>
      </c>
      <c r="J6" s="4" t="inlineStr">
        <is>
          <t>Batterie Li-ion rechargeable</t>
        </is>
      </c>
      <c r="K6" s="4" t="inlineStr">
        <is>
          <t>Magnétique</t>
        </is>
      </c>
      <c r="L6" s="7" t="inlineStr">
        <is>
          <t>N/D</t>
        </is>
      </c>
      <c r="M6" s="4" t="inlineStr">
        <is>
          <t>IPX7</t>
        </is>
      </c>
      <c r="N6" s="4" t="inlineStr">
        <is>
          <t>Non</t>
        </is>
      </c>
      <c r="O6" s="4" t="inlineStr">
        <is>
          <t>Aucun</t>
        </is>
      </c>
      <c r="P6" s="4" t="inlineStr">
        <is>
          <t>Non</t>
        </is>
      </c>
      <c r="Q6" s="8" t="n">
        <v>71</v>
      </c>
      <c r="R6" s="4" t="inlineStr">
        <is>
          <t>23.8*21.1*193.3</t>
        </is>
      </c>
      <c r="S6" s="9" t="inlineStr">
        <is>
          <t>Format voyage, charge par aimantation, design portable</t>
        </is>
      </c>
      <c r="T6" s="10" t="n">
        <v>3</v>
      </c>
      <c r="U6" s="11" t="n"/>
      <c r="V6" s="11" t="n"/>
      <c r="W6" s="11" t="n"/>
      <c r="X6" s="12" t="n"/>
      <c r="Y6" s="12" t="n"/>
      <c r="Z6" s="11" t="n"/>
      <c r="AA6" s="11" t="n"/>
      <c r="AB6" s="11" t="n"/>
      <c r="AC6" s="13">
        <f>IF(OR(Y6="",X6=""),"",Y6-X6)</f>
        <v/>
      </c>
      <c r="AD6" s="14">
        <f>IF(OR(Y6="",X6="",X6=0),"",(Y6-X6)/X6)</f>
        <v/>
      </c>
      <c r="AE6" s="15">
        <f>IF(AD6="","",IF(AD6&lt;-0.05,"Moins cher",IF(AD6&gt;0.05,"Plus cher","Équivalent")))</f>
        <v/>
      </c>
    </row>
    <row r="7">
      <c r="A7" s="16" t="inlineStr">
        <is>
          <t>SG-2808</t>
        </is>
      </c>
      <c r="B7" s="16" t="inlineStr">
        <is>
          <t>New Arrival</t>
        </is>
      </c>
      <c r="C7" s="16" t="inlineStr">
        <is>
          <t>Sonique</t>
        </is>
      </c>
      <c r="D7" s="16" t="inlineStr">
        <is>
          <t>Adulte</t>
        </is>
      </c>
      <c r="E7" s="17" t="n">
        <v>33000</v>
      </c>
      <c r="F7" s="17" t="n">
        <v>33000</v>
      </c>
      <c r="G7" s="18" t="n">
        <v>5</v>
      </c>
      <c r="H7" s="18" t="n">
        <v>100</v>
      </c>
      <c r="I7" s="18" t="n">
        <v>2000</v>
      </c>
      <c r="J7" s="16" t="inlineStr">
        <is>
          <t>Batterie Li-ion rechargeable</t>
        </is>
      </c>
      <c r="K7" s="16" t="inlineStr">
        <is>
          <t>Type-C</t>
        </is>
      </c>
      <c r="L7" s="19" t="n">
        <v>8</v>
      </c>
      <c r="M7" s="16" t="inlineStr">
        <is>
          <t>IPX7</t>
        </is>
      </c>
      <c r="N7" s="16" t="inlineStr">
        <is>
          <t>Non</t>
        </is>
      </c>
      <c r="O7" s="16" t="inlineStr">
        <is>
          <t>Indicateur batterie</t>
        </is>
      </c>
      <c r="P7" s="16" t="inlineStr">
        <is>
          <t>Oui</t>
        </is>
      </c>
      <c r="Q7" s="19" t="n">
        <v>100.5</v>
      </c>
      <c r="R7" s="16" t="inlineStr">
        <is>
          <t>27*29.2*226.8</t>
        </is>
      </c>
      <c r="S7" s="20" t="inlineStr">
        <is>
          <t>Charge 8 h pour 100 jours, mémoire intelligente, protection surcharge et décharge profonde</t>
        </is>
      </c>
      <c r="T7" s="21" t="n">
        <v>3</v>
      </c>
      <c r="U7" s="11" t="n"/>
      <c r="V7" s="11" t="n"/>
      <c r="W7" s="11" t="n"/>
      <c r="X7" s="12" t="n"/>
      <c r="Y7" s="12" t="n"/>
      <c r="Z7" s="11" t="n"/>
      <c r="AA7" s="11" t="n"/>
      <c r="AB7" s="11" t="n"/>
      <c r="AC7" s="13">
        <f>IF(OR(Y7="",X7=""),"",Y7-X7)</f>
        <v/>
      </c>
      <c r="AD7" s="14">
        <f>IF(OR(Y7="",X7="",X7=0),"",(Y7-X7)/X7)</f>
        <v/>
      </c>
      <c r="AE7" s="15">
        <f>IF(AD7="","",IF(AD7&lt;-0.05,"Moins cher",IF(AD7&gt;0.05,"Plus cher","Équivalent")))</f>
        <v/>
      </c>
    </row>
    <row r="8">
      <c r="A8" s="4" t="inlineStr">
        <is>
          <t>SG-2810</t>
        </is>
      </c>
      <c r="B8" s="4" t="inlineStr">
        <is>
          <t>New Arrival</t>
        </is>
      </c>
      <c r="C8" s="4" t="inlineStr">
        <is>
          <t>Sonique</t>
        </is>
      </c>
      <c r="D8" s="4" t="inlineStr">
        <is>
          <t>Adulte</t>
        </is>
      </c>
      <c r="E8" s="5" t="n">
        <v>33000</v>
      </c>
      <c r="F8" s="5" t="n">
        <v>33000</v>
      </c>
      <c r="G8" s="6" t="n">
        <v>5</v>
      </c>
      <c r="H8" s="6" t="n">
        <v>100</v>
      </c>
      <c r="I8" s="6" t="n">
        <v>2000</v>
      </c>
      <c r="J8" s="4" t="inlineStr">
        <is>
          <t>Batterie Li-ion rechargeable</t>
        </is>
      </c>
      <c r="K8" s="4" t="inlineStr">
        <is>
          <t>Type-C</t>
        </is>
      </c>
      <c r="L8" s="8" t="n">
        <v>8</v>
      </c>
      <c r="M8" s="4" t="inlineStr">
        <is>
          <t>IPX7</t>
        </is>
      </c>
      <c r="N8" s="4" t="inlineStr">
        <is>
          <t>Non</t>
        </is>
      </c>
      <c r="O8" s="4" t="inlineStr">
        <is>
          <t>Indicateur batterie</t>
        </is>
      </c>
      <c r="P8" s="4" t="inlineStr">
        <is>
          <t>Oui</t>
        </is>
      </c>
      <c r="Q8" s="8" t="n">
        <v>140</v>
      </c>
      <c r="R8" s="4" t="inlineStr">
        <is>
          <t>28*29*244</t>
        </is>
      </c>
      <c r="S8" s="9" t="inlineStr">
        <is>
          <t>Charge 8 h pour 100 jours, mémoire intelligente, protection surcharge et décharge profonde</t>
        </is>
      </c>
      <c r="T8" s="10" t="n">
        <v>4</v>
      </c>
      <c r="U8" s="11" t="n"/>
      <c r="V8" s="11" t="n"/>
      <c r="W8" s="11" t="n"/>
      <c r="X8" s="12" t="n"/>
      <c r="Y8" s="12" t="n"/>
      <c r="Z8" s="11" t="n"/>
      <c r="AA8" s="11" t="n"/>
      <c r="AB8" s="11" t="n"/>
      <c r="AC8" s="13">
        <f>IF(OR(Y8="",X8=""),"",Y8-X8)</f>
        <v/>
      </c>
      <c r="AD8" s="14">
        <f>IF(OR(Y8="",X8="",X8=0),"",(Y8-X8)/X8)</f>
        <v/>
      </c>
      <c r="AE8" s="15">
        <f>IF(AD8="","",IF(AD8&lt;-0.05,"Moins cher",IF(AD8&gt;0.05,"Plus cher","Équivalent")))</f>
        <v/>
      </c>
    </row>
    <row r="9">
      <c r="A9" s="16" t="inlineStr">
        <is>
          <t>SG-2811</t>
        </is>
      </c>
      <c r="B9" s="16" t="inlineStr">
        <is>
          <t>New Arrival</t>
        </is>
      </c>
      <c r="C9" s="16" t="inlineStr">
        <is>
          <t>Sonique</t>
        </is>
      </c>
      <c r="D9" s="16" t="inlineStr">
        <is>
          <t>Enfant</t>
        </is>
      </c>
      <c r="E9" s="17" t="n">
        <v>36000</v>
      </c>
      <c r="F9" s="17" t="n">
        <v>36000</v>
      </c>
      <c r="G9" s="18" t="n">
        <v>2</v>
      </c>
      <c r="H9" s="18" t="n">
        <v>80</v>
      </c>
      <c r="I9" s="23" t="inlineStr">
        <is>
          <t>N/D</t>
        </is>
      </c>
      <c r="J9" s="16" t="inlineStr">
        <is>
          <t>Piles (2x AA)</t>
        </is>
      </c>
      <c r="K9" s="16" t="inlineStr">
        <is>
          <t>Piles</t>
        </is>
      </c>
      <c r="L9" s="22" t="inlineStr">
        <is>
          <t>N/D</t>
        </is>
      </c>
      <c r="M9" s="16" t="inlineStr">
        <is>
          <t>IPX7</t>
        </is>
      </c>
      <c r="N9" s="16" t="inlineStr">
        <is>
          <t>Non</t>
        </is>
      </c>
      <c r="O9" s="16" t="inlineStr">
        <is>
          <t>Aucun</t>
        </is>
      </c>
      <c r="P9" s="16" t="inlineStr">
        <is>
          <t>Oui</t>
        </is>
      </c>
      <c r="Q9" s="22" t="inlineStr">
        <is>
          <t>N/D</t>
        </is>
      </c>
      <c r="R9" s="24" t="inlineStr">
        <is>
          <t>N/D</t>
        </is>
      </c>
      <c r="S9" s="20" t="inlineStr">
        <is>
          <t>Tête silicone alimentaire avec gratte-langue, poils souples, design sans joint anti-ingestion, anti-projection de dentifrice, sans BPA</t>
        </is>
      </c>
      <c r="T9" s="21" t="n">
        <v>4</v>
      </c>
      <c r="U9" s="11" t="n"/>
      <c r="V9" s="11" t="n"/>
      <c r="W9" s="11" t="n"/>
      <c r="X9" s="12" t="n"/>
      <c r="Y9" s="12" t="n"/>
      <c r="Z9" s="11" t="n"/>
      <c r="AA9" s="11" t="n"/>
      <c r="AB9" s="11" t="n"/>
      <c r="AC9" s="13">
        <f>IF(OR(Y9="",X9=""),"",Y9-X9)</f>
        <v/>
      </c>
      <c r="AD9" s="14">
        <f>IF(OR(Y9="",X9="",X9=0),"",(Y9-X9)/X9)</f>
        <v/>
      </c>
      <c r="AE9" s="15">
        <f>IF(AD9="","",IF(AD9&lt;-0.05,"Moins cher",IF(AD9&gt;0.05,"Plus cher","Équivalent")))</f>
        <v/>
      </c>
    </row>
    <row r="10">
      <c r="A10" s="4" t="inlineStr">
        <is>
          <t>SG-2812</t>
        </is>
      </c>
      <c r="B10" s="4" t="inlineStr">
        <is>
          <t>New Arrival</t>
        </is>
      </c>
      <c r="C10" s="4" t="inlineStr">
        <is>
          <t>Sonique</t>
        </is>
      </c>
      <c r="D10" s="4" t="inlineStr">
        <is>
          <t>Adulte</t>
        </is>
      </c>
      <c r="E10" s="5" t="n">
        <v>28000</v>
      </c>
      <c r="F10" s="5" t="n">
        <v>28000</v>
      </c>
      <c r="G10" s="25" t="inlineStr">
        <is>
          <t>N/D</t>
        </is>
      </c>
      <c r="H10" s="6" t="n">
        <v>100</v>
      </c>
      <c r="I10" s="25" t="inlineStr">
        <is>
          <t>N/D</t>
        </is>
      </c>
      <c r="J10" s="4" t="inlineStr">
        <is>
          <t>Pile (1x AA)</t>
        </is>
      </c>
      <c r="K10" s="4" t="inlineStr">
        <is>
          <t>Piles</t>
        </is>
      </c>
      <c r="L10" s="7" t="inlineStr">
        <is>
          <t>N/D</t>
        </is>
      </c>
      <c r="M10" s="4" t="inlineStr">
        <is>
          <t>IPX7</t>
        </is>
      </c>
      <c r="N10" s="4" t="inlineStr">
        <is>
          <t>Non</t>
        </is>
      </c>
      <c r="O10" s="4" t="inlineStr">
        <is>
          <t>Aucun</t>
        </is>
      </c>
      <c r="P10" s="4" t="inlineStr">
        <is>
          <t>Non</t>
        </is>
      </c>
      <c r="Q10" s="8" t="n">
        <v>56</v>
      </c>
      <c r="R10" s="4" t="inlineStr">
        <is>
          <t>23.4*23.5*220</t>
        </is>
      </c>
      <c r="S10" s="9" t="inlineStr">
        <is>
          <t>Panneau haut de gamme, tenon métal, pack 1 brosse + 3 têtes de rechange (1 an d'usage)</t>
        </is>
      </c>
      <c r="T10" s="10" t="n">
        <v>5</v>
      </c>
      <c r="U10" s="11" t="n"/>
      <c r="V10" s="11" t="n"/>
      <c r="W10" s="11" t="n"/>
      <c r="X10" s="12" t="n"/>
      <c r="Y10" s="12" t="n"/>
      <c r="Z10" s="11" t="n"/>
      <c r="AA10" s="11" t="n"/>
      <c r="AB10" s="11" t="n"/>
      <c r="AC10" s="13">
        <f>IF(OR(Y10="",X10=""),"",Y10-X10)</f>
        <v/>
      </c>
      <c r="AD10" s="14">
        <f>IF(OR(Y10="",X10="",X10=0),"",(Y10-X10)/X10)</f>
        <v/>
      </c>
      <c r="AE10" s="15">
        <f>IF(AD10="","",IF(AD10&lt;-0.05,"Moins cher",IF(AD10&gt;0.05,"Plus cher","Équivalent")))</f>
        <v/>
      </c>
    </row>
    <row r="11">
      <c r="A11" s="16" t="inlineStr">
        <is>
          <t>SG-2813</t>
        </is>
      </c>
      <c r="B11" s="16" t="inlineStr">
        <is>
          <t>New Arrival</t>
        </is>
      </c>
      <c r="C11" s="16" t="inlineStr">
        <is>
          <t>Sonique</t>
        </is>
      </c>
      <c r="D11" s="16" t="inlineStr">
        <is>
          <t>Enfant</t>
        </is>
      </c>
      <c r="E11" s="17" t="n">
        <v>36000</v>
      </c>
      <c r="F11" s="17" t="n">
        <v>36000</v>
      </c>
      <c r="G11" s="18" t="n">
        <v>3</v>
      </c>
      <c r="H11" s="18" t="n">
        <v>60</v>
      </c>
      <c r="I11" s="18" t="n">
        <v>700</v>
      </c>
      <c r="J11" s="16" t="inlineStr">
        <is>
          <t>Batterie Li-ion rechargeable</t>
        </is>
      </c>
      <c r="K11" s="16" t="inlineStr">
        <is>
          <t>Type-C</t>
        </is>
      </c>
      <c r="L11" s="22" t="inlineStr">
        <is>
          <t>N/D</t>
        </is>
      </c>
      <c r="M11" s="16" t="inlineStr">
        <is>
          <t>IPX7</t>
        </is>
      </c>
      <c r="N11" s="16" t="inlineStr">
        <is>
          <t>Oui</t>
        </is>
      </c>
      <c r="O11" s="16" t="inlineStr">
        <is>
          <t>Aucun</t>
        </is>
      </c>
      <c r="P11" s="16" t="inlineStr">
        <is>
          <t>Oui</t>
        </is>
      </c>
      <c r="Q11" s="22" t="inlineStr">
        <is>
          <t>N/D</t>
        </is>
      </c>
      <c r="R11" s="24" t="inlineStr">
        <is>
          <t>N/D</t>
        </is>
      </c>
      <c r="S11" s="20" t="inlineStr">
        <is>
          <t>Habillage silicone fraise/avocat, poils souples, design sans joint anti-ingestion, anti-projection, sans BPA, alerte batterie faible</t>
        </is>
      </c>
      <c r="T11" s="21" t="n">
        <v>5</v>
      </c>
      <c r="U11" s="11" t="n"/>
      <c r="V11" s="11" t="n"/>
      <c r="W11" s="11" t="n"/>
      <c r="X11" s="12" t="n"/>
      <c r="Y11" s="12" t="n"/>
      <c r="Z11" s="11" t="n"/>
      <c r="AA11" s="11" t="n"/>
      <c r="AB11" s="11" t="n"/>
      <c r="AC11" s="13">
        <f>IF(OR(Y11="",X11=""),"",Y11-X11)</f>
        <v/>
      </c>
      <c r="AD11" s="14">
        <f>IF(OR(Y11="",X11="",X11=0),"",(Y11-X11)/X11)</f>
        <v/>
      </c>
      <c r="AE11" s="15">
        <f>IF(AD11="","",IF(AD11&lt;-0.05,"Moins cher",IF(AD11&gt;0.05,"Plus cher","Équivalent")))</f>
        <v/>
      </c>
    </row>
    <row r="12">
      <c r="A12" s="4" t="inlineStr">
        <is>
          <t>SG-2608</t>
        </is>
      </c>
      <c r="B12" s="4" t="inlineStr">
        <is>
          <t>New Arrival</t>
        </is>
      </c>
      <c r="C12" s="4" t="inlineStr">
        <is>
          <t>Rotative / oscillante</t>
        </is>
      </c>
      <c r="D12" s="4" t="inlineStr">
        <is>
          <t>Adulte</t>
        </is>
      </c>
      <c r="E12" s="5" t="n">
        <v>8000</v>
      </c>
      <c r="F12" s="5" t="n">
        <v>8000</v>
      </c>
      <c r="G12" s="6" t="n">
        <v>5</v>
      </c>
      <c r="H12" s="6" t="n">
        <v>60</v>
      </c>
      <c r="I12" s="6" t="n">
        <v>2000</v>
      </c>
      <c r="J12" s="4" t="inlineStr">
        <is>
          <t>Batterie Li-ion rechargeable</t>
        </is>
      </c>
      <c r="K12" s="4" t="inlineStr">
        <is>
          <t>Magnétique</t>
        </is>
      </c>
      <c r="L12" s="7" t="inlineStr">
        <is>
          <t>N/D</t>
        </is>
      </c>
      <c r="M12" s="4" t="inlineStr">
        <is>
          <t>IPX7</t>
        </is>
      </c>
      <c r="N12" s="4" t="inlineStr">
        <is>
          <t>Oui</t>
        </is>
      </c>
      <c r="O12" s="4" t="inlineStr">
        <is>
          <t>Écran (6 langues)</t>
        </is>
      </c>
      <c r="P12" s="4" t="inlineStr">
        <is>
          <t>Oui</t>
        </is>
      </c>
      <c r="Q12" s="7" t="inlineStr">
        <is>
          <t>N/D</t>
        </is>
      </c>
      <c r="R12" s="4" t="inlineStr">
        <is>
          <t>29.8*29.7*238.4</t>
        </is>
      </c>
      <c r="S12" s="9" t="inlineStr">
        <is>
          <t>Écran d'affichage 6 langues, rappel de remplacement de tête, système super silencieux, alerte batterie faible</t>
        </is>
      </c>
      <c r="T12" s="10" t="n">
        <v>6</v>
      </c>
      <c r="U12" s="11" t="n"/>
      <c r="V12" s="11" t="n"/>
      <c r="W12" s="11" t="n"/>
      <c r="X12" s="12" t="n"/>
      <c r="Y12" s="12" t="n"/>
      <c r="Z12" s="11" t="n"/>
      <c r="AA12" s="11" t="n"/>
      <c r="AB12" s="11" t="n"/>
      <c r="AC12" s="13">
        <f>IF(OR(Y12="",X12=""),"",Y12-X12)</f>
        <v/>
      </c>
      <c r="AD12" s="14">
        <f>IF(OR(Y12="",X12="",X12=0),"",(Y12-X12)/X12)</f>
        <v/>
      </c>
      <c r="AE12" s="15">
        <f>IF(AD12="","",IF(AD12&lt;-0.05,"Moins cher",IF(AD12&gt;0.05,"Plus cher","Équivalent")))</f>
        <v/>
      </c>
    </row>
    <row r="13">
      <c r="A13" s="16" t="inlineStr">
        <is>
          <t>SG-2901</t>
        </is>
      </c>
      <c r="B13" s="16" t="inlineStr">
        <is>
          <t>New Arrival</t>
        </is>
      </c>
      <c r="C13" s="16" t="inlineStr">
        <is>
          <t>Sonique + tête rotative</t>
        </is>
      </c>
      <c r="D13" s="16" t="inlineStr">
        <is>
          <t>Adulte</t>
        </is>
      </c>
      <c r="E13" s="26" t="inlineStr">
        <is>
          <t>N/D</t>
        </is>
      </c>
      <c r="F13" s="26" t="inlineStr">
        <is>
          <t>N/D</t>
        </is>
      </c>
      <c r="G13" s="18" t="n">
        <v>5</v>
      </c>
      <c r="H13" s="23" t="inlineStr">
        <is>
          <t>N/D</t>
        </is>
      </c>
      <c r="I13" s="18" t="n">
        <v>1500</v>
      </c>
      <c r="J13" s="16" t="inlineStr">
        <is>
          <t>Batterie Li-ion rechargeable</t>
        </is>
      </c>
      <c r="K13" s="16" t="inlineStr">
        <is>
          <t>Inductive (socle)</t>
        </is>
      </c>
      <c r="L13" s="19" t="n">
        <v>10</v>
      </c>
      <c r="M13" s="16" t="inlineStr">
        <is>
          <t>IPX7</t>
        </is>
      </c>
      <c r="N13" s="16" t="inlineStr">
        <is>
          <t>Oui</t>
        </is>
      </c>
      <c r="O13" s="16" t="inlineStr">
        <is>
          <t>Écran LCD</t>
        </is>
      </c>
      <c r="P13" s="16" t="inlineStr">
        <is>
          <t>Oui</t>
        </is>
      </c>
      <c r="Q13" s="19" t="n">
        <v>223</v>
      </c>
      <c r="R13" s="16" t="inlineStr">
        <is>
          <t>30.3*28.4*253 (tête sonique SG-V001) / 30.3*28.4*239 (tête rotative SG-T001) ; socle 58*58*28</t>
        </is>
      </c>
      <c r="S13" s="20" t="inlineStr">
        <is>
          <t>2 technologies en une (balayage sonique + tête rotative), notation LCD et guidage temps réel, minuteur 2 min, rappel de remplacement de tête, réveil automatique, verrouillage voyage, 6 langues</t>
        </is>
      </c>
      <c r="T13" s="21" t="n">
        <v>8</v>
      </c>
      <c r="U13" s="11" t="n"/>
      <c r="V13" s="11" t="n"/>
      <c r="W13" s="11" t="n"/>
      <c r="X13" s="12" t="n"/>
      <c r="Y13" s="12" t="n"/>
      <c r="Z13" s="11" t="n"/>
      <c r="AA13" s="11" t="n"/>
      <c r="AB13" s="11" t="n"/>
      <c r="AC13" s="13">
        <f>IF(OR(Y13="",X13=""),"",Y13-X13)</f>
        <v/>
      </c>
      <c r="AD13" s="14">
        <f>IF(OR(Y13="",X13="",X13=0),"",(Y13-X13)/X13)</f>
        <v/>
      </c>
      <c r="AE13" s="15">
        <f>IF(AD13="","",IF(AD13&lt;-0.05,"Moins cher",IF(AD13&gt;0.05,"Plus cher","Équivalent")))</f>
        <v/>
      </c>
    </row>
    <row r="14">
      <c r="A14" s="4" t="inlineStr">
        <is>
          <t>SG-2773</t>
        </is>
      </c>
      <c r="B14" s="4" t="inlineStr">
        <is>
          <t>Advanced Clean</t>
        </is>
      </c>
      <c r="C14" s="4" t="inlineStr">
        <is>
          <t>Sonique</t>
        </is>
      </c>
      <c r="D14" s="4" t="inlineStr">
        <is>
          <t>Adulte</t>
        </is>
      </c>
      <c r="E14" s="5" t="n">
        <v>32000</v>
      </c>
      <c r="F14" s="5" t="n">
        <v>32000</v>
      </c>
      <c r="G14" s="6" t="n">
        <v>9</v>
      </c>
      <c r="H14" s="6" t="n">
        <v>21</v>
      </c>
      <c r="I14" s="6" t="n">
        <v>1500</v>
      </c>
      <c r="J14" s="4" t="inlineStr">
        <is>
          <t>Batterie Li-ion rechargeable</t>
        </is>
      </c>
      <c r="K14" s="4" t="inlineStr">
        <is>
          <t>Type-C</t>
        </is>
      </c>
      <c r="L14" s="7" t="inlineStr">
        <is>
          <t>N/D</t>
        </is>
      </c>
      <c r="M14" s="4" t="inlineStr">
        <is>
          <t>IPX7</t>
        </is>
      </c>
      <c r="N14" s="4" t="inlineStr">
        <is>
          <t>Oui</t>
        </is>
      </c>
      <c r="O14" s="4" t="inlineStr">
        <is>
          <t>Écran LCD</t>
        </is>
      </c>
      <c r="P14" s="4" t="inlineStr">
        <is>
          <t>Oui</t>
        </is>
      </c>
      <c r="Q14" s="8" t="n">
        <v>135</v>
      </c>
      <c r="R14" s="4" t="inlineStr">
        <is>
          <t>29.9*27.4*253</t>
        </is>
      </c>
      <c r="S14" s="9" t="inlineStr">
        <is>
          <t>Mode balayage, écran LCD de résultats de brossage, montée progressive 3 s, résistant aux projections, bouton tactile sans joint, moteur magnétique, mémoire intelligente</t>
        </is>
      </c>
      <c r="T14" s="10" t="n">
        <v>9</v>
      </c>
      <c r="U14" s="11" t="n"/>
      <c r="V14" s="11" t="n"/>
      <c r="W14" s="11" t="n"/>
      <c r="X14" s="12" t="n"/>
      <c r="Y14" s="12" t="n"/>
      <c r="Z14" s="11" t="n"/>
      <c r="AA14" s="11" t="n"/>
      <c r="AB14" s="11" t="n"/>
      <c r="AC14" s="13">
        <f>IF(OR(Y14="",X14=""),"",Y14-X14)</f>
        <v/>
      </c>
      <c r="AD14" s="14">
        <f>IF(OR(Y14="",X14="",X14=0),"",(Y14-X14)/X14)</f>
        <v/>
      </c>
      <c r="AE14" s="15">
        <f>IF(AD14="","",IF(AD14&lt;-0.05,"Moins cher",IF(AD14&gt;0.05,"Plus cher","Équivalent")))</f>
        <v/>
      </c>
    </row>
    <row r="15">
      <c r="A15" s="16" t="inlineStr">
        <is>
          <t>SG-2768</t>
        </is>
      </c>
      <c r="B15" s="16" t="inlineStr">
        <is>
          <t>Advanced Clean</t>
        </is>
      </c>
      <c r="C15" s="16" t="inlineStr">
        <is>
          <t>Sonique</t>
        </is>
      </c>
      <c r="D15" s="16" t="inlineStr">
        <is>
          <t>Adulte</t>
        </is>
      </c>
      <c r="E15" s="17" t="n">
        <v>32000</v>
      </c>
      <c r="F15" s="17" t="n">
        <v>32000</v>
      </c>
      <c r="G15" s="18" t="n">
        <v>6</v>
      </c>
      <c r="H15" s="18" t="n">
        <v>21</v>
      </c>
      <c r="I15" s="18" t="n">
        <v>700</v>
      </c>
      <c r="J15" s="16" t="inlineStr">
        <is>
          <t>Batterie Li-ion rechargeable</t>
        </is>
      </c>
      <c r="K15" s="16" t="inlineStr">
        <is>
          <t>Magnétique</t>
        </is>
      </c>
      <c r="L15" s="22" t="inlineStr">
        <is>
          <t>N/D</t>
        </is>
      </c>
      <c r="M15" s="16" t="inlineStr">
        <is>
          <t>IPX7</t>
        </is>
      </c>
      <c r="N15" s="16" t="inlineStr">
        <is>
          <t>Oui</t>
        </is>
      </c>
      <c r="O15" s="16" t="inlineStr">
        <is>
          <t>Écran LCD</t>
        </is>
      </c>
      <c r="P15" s="16" t="inlineStr">
        <is>
          <t>Oui</t>
        </is>
      </c>
      <c r="Q15" s="19" t="n">
        <v>107</v>
      </c>
      <c r="R15" s="16" t="inlineStr">
        <is>
          <t>27.5*26.6*254</t>
        </is>
      </c>
      <c r="S15" s="20" t="inlineStr">
        <is>
          <t>Écran LCD de résultats de brossage, montée progressive 3 s, minuteur 2 min avec rappel toutes les 30 s, mémoire intelligente</t>
        </is>
      </c>
      <c r="T15" s="21" t="n">
        <v>9</v>
      </c>
      <c r="U15" s="11" t="n"/>
      <c r="V15" s="11" t="n"/>
      <c r="W15" s="11" t="n"/>
      <c r="X15" s="12" t="n"/>
      <c r="Y15" s="12" t="n"/>
      <c r="Z15" s="11" t="n"/>
      <c r="AA15" s="11" t="n"/>
      <c r="AB15" s="11" t="n"/>
      <c r="AC15" s="13">
        <f>IF(OR(Y15="",X15=""),"",Y15-X15)</f>
        <v/>
      </c>
      <c r="AD15" s="14">
        <f>IF(OR(Y15="",X15="",X15=0),"",(Y15-X15)/X15)</f>
        <v/>
      </c>
      <c r="AE15" s="15">
        <f>IF(AD15="","",IF(AD15&lt;-0.05,"Moins cher",IF(AD15&gt;0.05,"Plus cher","Équivalent")))</f>
        <v/>
      </c>
    </row>
    <row r="16">
      <c r="A16" s="4" t="inlineStr">
        <is>
          <t>SG-2771</t>
        </is>
      </c>
      <c r="B16" s="4" t="inlineStr">
        <is>
          <t>Advanced Clean</t>
        </is>
      </c>
      <c r="C16" s="4" t="inlineStr">
        <is>
          <t>Sonique</t>
        </is>
      </c>
      <c r="D16" s="4" t="inlineStr">
        <is>
          <t>Adulte</t>
        </is>
      </c>
      <c r="E16" s="5" t="n">
        <v>32000</v>
      </c>
      <c r="F16" s="5" t="n">
        <v>40000</v>
      </c>
      <c r="G16" s="6" t="n">
        <v>6</v>
      </c>
      <c r="H16" s="6" t="n">
        <v>21</v>
      </c>
      <c r="I16" s="6" t="n">
        <v>700</v>
      </c>
      <c r="J16" s="4" t="inlineStr">
        <is>
          <t>Batterie Li-ion rechargeable</t>
        </is>
      </c>
      <c r="K16" s="4" t="inlineStr">
        <is>
          <t>Inductive (socle)</t>
        </is>
      </c>
      <c r="L16" s="7" t="inlineStr">
        <is>
          <t>N/D</t>
        </is>
      </c>
      <c r="M16" s="4" t="inlineStr">
        <is>
          <t>IPX7</t>
        </is>
      </c>
      <c r="N16" s="4" t="inlineStr">
        <is>
          <t>Oui</t>
        </is>
      </c>
      <c r="O16" s="4" t="inlineStr">
        <is>
          <t>Écran (6 langues)</t>
        </is>
      </c>
      <c r="P16" s="4" t="inlineStr">
        <is>
          <t>Oui</t>
        </is>
      </c>
      <c r="Q16" s="8" t="n">
        <v>222</v>
      </c>
      <c r="R16" s="4" t="inlineStr">
        <is>
          <t>27.1*28.1*255 ; chargeur 400 : 62*62*41</t>
        </is>
      </c>
      <c r="S16" s="9" t="inlineStr">
        <is>
          <t>Gyroscope 6 axes et notation sur 16 zones, rappel de remplacement de tête, indicateur de charge, moteur magnétique, système super silencieux</t>
        </is>
      </c>
      <c r="T16" s="10" t="n">
        <v>10</v>
      </c>
      <c r="U16" s="11" t="n"/>
      <c r="V16" s="11" t="n"/>
      <c r="W16" s="11" t="n"/>
      <c r="X16" s="12" t="n"/>
      <c r="Y16" s="12" t="n"/>
      <c r="Z16" s="11" t="n"/>
      <c r="AA16" s="11" t="n"/>
      <c r="AB16" s="11" t="n"/>
      <c r="AC16" s="13">
        <f>IF(OR(Y16="",X16=""),"",Y16-X16)</f>
        <v/>
      </c>
      <c r="AD16" s="14">
        <f>IF(OR(Y16="",X16="",X16=0),"",(Y16-X16)/X16)</f>
        <v/>
      </c>
      <c r="AE16" s="15">
        <f>IF(AD16="","",IF(AD16&lt;-0.05,"Moins cher",IF(AD16&gt;0.05,"Plus cher","Équivalent")))</f>
        <v/>
      </c>
    </row>
    <row r="17">
      <c r="A17" s="16" t="inlineStr">
        <is>
          <t>SG-2778</t>
        </is>
      </c>
      <c r="B17" s="16" t="inlineStr">
        <is>
          <t>Advanced Clean</t>
        </is>
      </c>
      <c r="C17" s="16" t="inlineStr">
        <is>
          <t>Sonique</t>
        </is>
      </c>
      <c r="D17" s="16" t="inlineStr">
        <is>
          <t>Adulte</t>
        </is>
      </c>
      <c r="E17" s="17" t="n">
        <v>32000</v>
      </c>
      <c r="F17" s="17" t="n">
        <v>32000</v>
      </c>
      <c r="G17" s="18" t="n">
        <v>9</v>
      </c>
      <c r="H17" s="18" t="n">
        <v>21</v>
      </c>
      <c r="I17" s="18" t="n">
        <v>2000</v>
      </c>
      <c r="J17" s="16" t="inlineStr">
        <is>
          <t>Batterie Li-ion rechargeable</t>
        </is>
      </c>
      <c r="K17" s="16" t="inlineStr">
        <is>
          <t>Type-C</t>
        </is>
      </c>
      <c r="L17" s="22" t="inlineStr">
        <is>
          <t>N/D</t>
        </is>
      </c>
      <c r="M17" s="16" t="inlineStr">
        <is>
          <t>IPX7</t>
        </is>
      </c>
      <c r="N17" s="16" t="inlineStr">
        <is>
          <t>Oui</t>
        </is>
      </c>
      <c r="O17" s="16" t="inlineStr">
        <is>
          <t>Écran LCD</t>
        </is>
      </c>
      <c r="P17" s="16" t="inlineStr">
        <is>
          <t>Oui</t>
        </is>
      </c>
      <c r="Q17" s="19" t="n">
        <v>107</v>
      </c>
      <c r="R17" s="16" t="inlineStr">
        <is>
          <t>28*30*253</t>
        </is>
      </c>
      <c r="S17" s="20" t="inlineStr">
        <is>
          <t>Technologie de balayage 3 niveaux d'intensité, oscillation grand angle 60 ± 10°, montée progressive 3 s, 6 langues, mémoire intelligente</t>
        </is>
      </c>
      <c r="T17" s="21" t="n">
        <v>10</v>
      </c>
      <c r="U17" s="11" t="n"/>
      <c r="V17" s="11" t="n"/>
      <c r="W17" s="11" t="n"/>
      <c r="X17" s="12" t="n"/>
      <c r="Y17" s="12" t="n"/>
      <c r="Z17" s="11" t="n"/>
      <c r="AA17" s="11" t="n"/>
      <c r="AB17" s="11" t="n"/>
      <c r="AC17" s="13">
        <f>IF(OR(Y17="",X17=""),"",Y17-X17)</f>
        <v/>
      </c>
      <c r="AD17" s="14">
        <f>IF(OR(Y17="",X17="",X17=0),"",(Y17-X17)/X17)</f>
        <v/>
      </c>
      <c r="AE17" s="15">
        <f>IF(AD17="","",IF(AD17&lt;-0.05,"Moins cher",IF(AD17&gt;0.05,"Plus cher","Équivalent")))</f>
        <v/>
      </c>
    </row>
    <row r="18">
      <c r="A18" s="4" t="inlineStr">
        <is>
          <t>SG-2767</t>
        </is>
      </c>
      <c r="B18" s="4" t="inlineStr">
        <is>
          <t>Advanced Clean</t>
        </is>
      </c>
      <c r="C18" s="4" t="inlineStr">
        <is>
          <t>Sonique</t>
        </is>
      </c>
      <c r="D18" s="4" t="inlineStr">
        <is>
          <t>Adulte</t>
        </is>
      </c>
      <c r="E18" s="5" t="n">
        <v>32000</v>
      </c>
      <c r="F18" s="5" t="n">
        <v>40000</v>
      </c>
      <c r="G18" s="6" t="n">
        <v>5</v>
      </c>
      <c r="H18" s="6" t="n">
        <v>60</v>
      </c>
      <c r="I18" s="6" t="n">
        <v>1600</v>
      </c>
      <c r="J18" s="4" t="inlineStr">
        <is>
          <t>Batterie Li-ion rechargeable</t>
        </is>
      </c>
      <c r="K18" s="4" t="inlineStr">
        <is>
          <t>USB</t>
        </is>
      </c>
      <c r="L18" s="7" t="inlineStr">
        <is>
          <t>N/D</t>
        </is>
      </c>
      <c r="M18" s="4" t="inlineStr">
        <is>
          <t>IPX7</t>
        </is>
      </c>
      <c r="N18" s="4" t="inlineStr">
        <is>
          <t>Oui</t>
        </is>
      </c>
      <c r="O18" s="4" t="inlineStr">
        <is>
          <t>Écran digital</t>
        </is>
      </c>
      <c r="P18" s="4" t="inlineStr">
        <is>
          <t>Oui</t>
        </is>
      </c>
      <c r="Q18" s="8" t="n">
        <v>135</v>
      </c>
      <c r="R18" s="4" t="inlineStr">
        <is>
          <t>30.0*29.3*252.3</t>
        </is>
      </c>
      <c r="S18" s="9" t="inlineStr">
        <is>
          <t>Panneau digital de changement de mode, réveil à la prise en main, montée progressive 3 s, protection surcharge et décharge profonde, indicateur batterie</t>
        </is>
      </c>
      <c r="T18" s="10" t="n">
        <v>11</v>
      </c>
      <c r="U18" s="11" t="n"/>
      <c r="V18" s="11" t="n"/>
      <c r="W18" s="11" t="n"/>
      <c r="X18" s="12" t="n"/>
      <c r="Y18" s="12" t="n"/>
      <c r="Z18" s="11" t="n"/>
      <c r="AA18" s="11" t="n"/>
      <c r="AB18" s="11" t="n"/>
      <c r="AC18" s="13">
        <f>IF(OR(Y18="",X18=""),"",Y18-X18)</f>
        <v/>
      </c>
      <c r="AD18" s="14">
        <f>IF(OR(Y18="",X18="",X18=0),"",(Y18-X18)/X18)</f>
        <v/>
      </c>
      <c r="AE18" s="15">
        <f>IF(AD18="","",IF(AD18&lt;-0.05,"Moins cher",IF(AD18&gt;0.05,"Plus cher","Équivalent")))</f>
        <v/>
      </c>
    </row>
    <row r="19">
      <c r="A19" s="16" t="inlineStr">
        <is>
          <t>SG-553</t>
        </is>
      </c>
      <c r="B19" s="16" t="inlineStr">
        <is>
          <t>Advanced Clean</t>
        </is>
      </c>
      <c r="C19" s="16" t="inlineStr">
        <is>
          <t>Sonique</t>
        </is>
      </c>
      <c r="D19" s="16" t="inlineStr">
        <is>
          <t>Adulte</t>
        </is>
      </c>
      <c r="E19" s="17" t="n">
        <v>32000</v>
      </c>
      <c r="F19" s="17" t="n">
        <v>40000</v>
      </c>
      <c r="G19" s="18" t="n">
        <v>5</v>
      </c>
      <c r="H19" s="18" t="n">
        <v>21</v>
      </c>
      <c r="I19" s="18" t="n">
        <v>700</v>
      </c>
      <c r="J19" s="16" t="inlineStr">
        <is>
          <t>Batterie Li-ion rechargeable</t>
        </is>
      </c>
      <c r="K19" s="16" t="inlineStr">
        <is>
          <t>Inductive (socle)</t>
        </is>
      </c>
      <c r="L19" s="22" t="inlineStr">
        <is>
          <t>N/D</t>
        </is>
      </c>
      <c r="M19" s="16" t="inlineStr">
        <is>
          <t>IPX7</t>
        </is>
      </c>
      <c r="N19" s="16" t="inlineStr">
        <is>
          <t>Oui</t>
        </is>
      </c>
      <c r="O19" s="16" t="inlineStr">
        <is>
          <t>Aucun</t>
        </is>
      </c>
      <c r="P19" s="16" t="inlineStr">
        <is>
          <t>Oui</t>
        </is>
      </c>
      <c r="Q19" s="19" t="n">
        <v>126.6</v>
      </c>
      <c r="R19" s="16" t="inlineStr">
        <is>
          <t>29.4*27.6*250 ; chargeur 4019 : 66.8*66.8*32.6</t>
        </is>
      </c>
      <c r="S19" s="20" t="inlineStr">
        <is>
          <t>Moteur à lévitation magnétique, amplitude 6 mm, bouton tactile sans joint, implantation sans métal, mémoire intelligente</t>
        </is>
      </c>
      <c r="T19" s="21" t="n">
        <v>11</v>
      </c>
      <c r="U19" s="11" t="n"/>
      <c r="V19" s="11" t="n"/>
      <c r="W19" s="11" t="n"/>
      <c r="X19" s="12" t="n"/>
      <c r="Y19" s="12" t="n"/>
      <c r="Z19" s="11" t="n"/>
      <c r="AA19" s="11" t="n"/>
      <c r="AB19" s="11" t="n"/>
      <c r="AC19" s="13">
        <f>IF(OR(Y19="",X19=""),"",Y19-X19)</f>
        <v/>
      </c>
      <c r="AD19" s="14">
        <f>IF(OR(Y19="",X19="",X19=0),"",(Y19-X19)/X19)</f>
        <v/>
      </c>
      <c r="AE19" s="15">
        <f>IF(AD19="","",IF(AD19&lt;-0.05,"Moins cher",IF(AD19&gt;0.05,"Plus cher","Équivalent")))</f>
        <v/>
      </c>
    </row>
    <row r="20">
      <c r="A20" s="4" t="inlineStr">
        <is>
          <t>SG-2775</t>
        </is>
      </c>
      <c r="B20" s="4" t="inlineStr">
        <is>
          <t>Advanced Clean</t>
        </is>
      </c>
      <c r="C20" s="4" t="inlineStr">
        <is>
          <t>Sonique</t>
        </is>
      </c>
      <c r="D20" s="4" t="inlineStr">
        <is>
          <t>Adulte</t>
        </is>
      </c>
      <c r="E20" s="5" t="n">
        <v>32000</v>
      </c>
      <c r="F20" s="5" t="n">
        <v>40000</v>
      </c>
      <c r="G20" s="6" t="n">
        <v>5</v>
      </c>
      <c r="H20" s="6" t="n">
        <v>21</v>
      </c>
      <c r="I20" s="6" t="n">
        <v>700</v>
      </c>
      <c r="J20" s="4" t="inlineStr">
        <is>
          <t>Batterie Li-ion rechargeable</t>
        </is>
      </c>
      <c r="K20" s="4" t="inlineStr">
        <is>
          <t>Type-C</t>
        </is>
      </c>
      <c r="L20" s="8" t="n">
        <v>4</v>
      </c>
      <c r="M20" s="4" t="inlineStr">
        <is>
          <t>IPX7</t>
        </is>
      </c>
      <c r="N20" s="4" t="inlineStr">
        <is>
          <t>Oui</t>
        </is>
      </c>
      <c r="O20" s="4" t="inlineStr">
        <is>
          <t>Aucun</t>
        </is>
      </c>
      <c r="P20" s="4" t="inlineStr">
        <is>
          <t>Oui</t>
        </is>
      </c>
      <c r="Q20" s="8" t="n">
        <v>105</v>
      </c>
      <c r="R20" s="4" t="inlineStr">
        <is>
          <t>27*27*250.3</t>
        </is>
      </c>
      <c r="S20" s="9" t="inlineStr">
        <is>
          <t>Capteur de pression avec alerte sonore, fonction anti-projection 3 s, charge complète en 4 h, mémoire intelligente</t>
        </is>
      </c>
      <c r="T20" s="10" t="n">
        <v>12</v>
      </c>
      <c r="U20" s="11" t="n"/>
      <c r="V20" s="11" t="n"/>
      <c r="W20" s="11" t="n"/>
      <c r="X20" s="12" t="n"/>
      <c r="Y20" s="12" t="n"/>
      <c r="Z20" s="11" t="n"/>
      <c r="AA20" s="11" t="n"/>
      <c r="AB20" s="11" t="n"/>
      <c r="AC20" s="13">
        <f>IF(OR(Y20="",X20=""),"",Y20-X20)</f>
        <v/>
      </c>
      <c r="AD20" s="14">
        <f>IF(OR(Y20="",X20="",X20=0),"",(Y20-X20)/X20)</f>
        <v/>
      </c>
      <c r="AE20" s="15">
        <f>IF(AD20="","",IF(AD20&lt;-0.05,"Moins cher",IF(AD20&gt;0.05,"Plus cher","Équivalent")))</f>
        <v/>
      </c>
    </row>
    <row r="21">
      <c r="A21" s="16" t="inlineStr">
        <is>
          <t>SG-2782</t>
        </is>
      </c>
      <c r="B21" s="16" t="inlineStr">
        <is>
          <t>Advanced Clean</t>
        </is>
      </c>
      <c r="C21" s="16" t="inlineStr">
        <is>
          <t>Sonique</t>
        </is>
      </c>
      <c r="D21" s="16" t="inlineStr">
        <is>
          <t>Adulte</t>
        </is>
      </c>
      <c r="E21" s="17" t="n">
        <v>32000</v>
      </c>
      <c r="F21" s="17" t="n">
        <v>40000</v>
      </c>
      <c r="G21" s="18" t="n">
        <v>5</v>
      </c>
      <c r="H21" s="18" t="n">
        <v>21</v>
      </c>
      <c r="I21" s="18" t="n">
        <v>700</v>
      </c>
      <c r="J21" s="16" t="inlineStr">
        <is>
          <t>Batterie Li-ion rechargeable</t>
        </is>
      </c>
      <c r="K21" s="16" t="inlineStr">
        <is>
          <t>Type-C</t>
        </is>
      </c>
      <c r="L21" s="22" t="inlineStr">
        <is>
          <t>N/D</t>
        </is>
      </c>
      <c r="M21" s="16" t="inlineStr">
        <is>
          <t>IPX7</t>
        </is>
      </c>
      <c r="N21" s="16" t="inlineStr">
        <is>
          <t>Oui</t>
        </is>
      </c>
      <c r="O21" s="16" t="inlineStr">
        <is>
          <t>Aucun</t>
        </is>
      </c>
      <c r="P21" s="16" t="inlineStr">
        <is>
          <t>Oui</t>
        </is>
      </c>
      <c r="Q21" s="19" t="n">
        <v>125</v>
      </c>
      <c r="R21" s="16" t="inlineStr">
        <is>
          <t>26.8*26.7*253</t>
        </is>
      </c>
      <c r="S21" s="20" t="inlineStr">
        <is>
          <t>Moteur magnétique nouvelle génération, amplitude 6 mm, montée progressive 3 s, mémoire intelligente</t>
        </is>
      </c>
      <c r="T21" s="21" t="n">
        <v>12</v>
      </c>
      <c r="U21" s="11" t="n"/>
      <c r="V21" s="11" t="n"/>
      <c r="W21" s="11" t="n"/>
      <c r="X21" s="12" t="n"/>
      <c r="Y21" s="12" t="n"/>
      <c r="Z21" s="11" t="n"/>
      <c r="AA21" s="11" t="n"/>
      <c r="AB21" s="11" t="n"/>
      <c r="AC21" s="13">
        <f>IF(OR(Y21="",X21=""),"",Y21-X21)</f>
        <v/>
      </c>
      <c r="AD21" s="14">
        <f>IF(OR(Y21="",X21="",X21=0),"",(Y21-X21)/X21)</f>
        <v/>
      </c>
      <c r="AE21" s="15">
        <f>IF(AD21="","",IF(AD21&lt;-0.05,"Moins cher",IF(AD21&gt;0.05,"Plus cher","Équivalent")))</f>
        <v/>
      </c>
    </row>
    <row r="22">
      <c r="A22" s="4" t="inlineStr">
        <is>
          <t>SG-2750</t>
        </is>
      </c>
      <c r="B22" s="4" t="inlineStr">
        <is>
          <t>Advanced Clean</t>
        </is>
      </c>
      <c r="C22" s="4" t="inlineStr">
        <is>
          <t>Sonique</t>
        </is>
      </c>
      <c r="D22" s="4" t="inlineStr">
        <is>
          <t>Adulte</t>
        </is>
      </c>
      <c r="E22" s="5" t="n">
        <v>35000</v>
      </c>
      <c r="F22" s="5" t="n">
        <v>42000</v>
      </c>
      <c r="G22" s="6" t="n">
        <v>5</v>
      </c>
      <c r="H22" s="6" t="n">
        <v>21</v>
      </c>
      <c r="I22" s="6" t="n">
        <v>700</v>
      </c>
      <c r="J22" s="4" t="inlineStr">
        <is>
          <t>Batterie Li-ion rechargeable</t>
        </is>
      </c>
      <c r="K22" s="4" t="inlineStr">
        <is>
          <t>USB</t>
        </is>
      </c>
      <c r="L22" s="7" t="inlineStr">
        <is>
          <t>N/D</t>
        </is>
      </c>
      <c r="M22" s="4" t="inlineStr">
        <is>
          <t>IPX7</t>
        </is>
      </c>
      <c r="N22" s="4" t="inlineStr">
        <is>
          <t>Non</t>
        </is>
      </c>
      <c r="O22" s="4" t="inlineStr">
        <is>
          <t>Indicateur batterie</t>
        </is>
      </c>
      <c r="P22" s="4" t="inlineStr">
        <is>
          <t>Oui</t>
        </is>
      </c>
      <c r="Q22" s="8" t="n">
        <v>98</v>
      </c>
      <c r="R22" s="4" t="inlineStr">
        <is>
          <t>26.9*26.4*179.8</t>
        </is>
      </c>
      <c r="S22" s="9" t="inlineStr">
        <is>
          <t>Moteur à lévitation magnétique, amplitude 6 mm, mémoire intelligente, protection surcharge et décharge profonde</t>
        </is>
      </c>
      <c r="T22" s="10" t="n">
        <v>13</v>
      </c>
      <c r="U22" s="11" t="n"/>
      <c r="V22" s="11" t="n"/>
      <c r="W22" s="11" t="n"/>
      <c r="X22" s="12" t="n"/>
      <c r="Y22" s="12" t="n"/>
      <c r="Z22" s="11" t="n"/>
      <c r="AA22" s="11" t="n"/>
      <c r="AB22" s="11" t="n"/>
      <c r="AC22" s="13">
        <f>IF(OR(Y22="",X22=""),"",Y22-X22)</f>
        <v/>
      </c>
      <c r="AD22" s="14">
        <f>IF(OR(Y22="",X22="",X22=0),"",(Y22-X22)/X22)</f>
        <v/>
      </c>
      <c r="AE22" s="15">
        <f>IF(AD22="","",IF(AD22&lt;-0.05,"Moins cher",IF(AD22&gt;0.05,"Plus cher","Équivalent")))</f>
        <v/>
      </c>
    </row>
    <row r="23">
      <c r="A23" s="16" t="inlineStr">
        <is>
          <t>SG-2716</t>
        </is>
      </c>
      <c r="B23" s="16" t="inlineStr">
        <is>
          <t>Advanced Clean</t>
        </is>
      </c>
      <c r="C23" s="16" t="inlineStr">
        <is>
          <t>Sonique</t>
        </is>
      </c>
      <c r="D23" s="16" t="inlineStr">
        <is>
          <t>Adulte</t>
        </is>
      </c>
      <c r="E23" s="17" t="n">
        <v>32000</v>
      </c>
      <c r="F23" s="17" t="n">
        <v>40000</v>
      </c>
      <c r="G23" s="18" t="n">
        <v>15</v>
      </c>
      <c r="H23" s="18" t="n">
        <v>35</v>
      </c>
      <c r="I23" s="18" t="n">
        <v>2000</v>
      </c>
      <c r="J23" s="16" t="inlineStr">
        <is>
          <t>Batterie Li-ion rechargeable</t>
        </is>
      </c>
      <c r="K23" s="16" t="inlineStr">
        <is>
          <t>Inductive (socle)</t>
        </is>
      </c>
      <c r="L23" s="22" t="inlineStr">
        <is>
          <t>N/D</t>
        </is>
      </c>
      <c r="M23" s="16" t="inlineStr">
        <is>
          <t>IPX7</t>
        </is>
      </c>
      <c r="N23" s="16" t="inlineStr">
        <is>
          <t>Oui</t>
        </is>
      </c>
      <c r="O23" s="16" t="inlineStr">
        <is>
          <t>Aucun</t>
        </is>
      </c>
      <c r="P23" s="16" t="inlineStr">
        <is>
          <t>Oui</t>
        </is>
      </c>
      <c r="Q23" s="19" t="n">
        <v>125</v>
      </c>
      <c r="R23" s="16" t="inlineStr">
        <is>
          <t>27*27*245 ; chargeur 4017 : 58*58*28</t>
        </is>
      </c>
      <c r="S23" s="20" t="inlineStr">
        <is>
          <t>15 combinaisons (5 modes x 3 intensités), montée progressive 3 s, réveil automatique à la prise en main, moteur à lévitation magnétique amplitude 6 mm</t>
        </is>
      </c>
      <c r="T23" s="21" t="n">
        <v>13</v>
      </c>
      <c r="U23" s="11" t="n"/>
      <c r="V23" s="11" t="n"/>
      <c r="W23" s="11" t="n"/>
      <c r="X23" s="12" t="n"/>
      <c r="Y23" s="12" t="n"/>
      <c r="Z23" s="11" t="n"/>
      <c r="AA23" s="11" t="n"/>
      <c r="AB23" s="11" t="n"/>
      <c r="AC23" s="13">
        <f>IF(OR(Y23="",X23=""),"",Y23-X23)</f>
        <v/>
      </c>
      <c r="AD23" s="14">
        <f>IF(OR(Y23="",X23="",X23=0),"",(Y23-X23)/X23)</f>
        <v/>
      </c>
      <c r="AE23" s="15">
        <f>IF(AD23="","",IF(AD23&lt;-0.05,"Moins cher",IF(AD23&gt;0.05,"Plus cher","Équivalent")))</f>
        <v/>
      </c>
    </row>
    <row r="24">
      <c r="A24" s="4" t="inlineStr">
        <is>
          <t>SG-2752</t>
        </is>
      </c>
      <c r="B24" s="4" t="inlineStr">
        <is>
          <t>Advanced Clean</t>
        </is>
      </c>
      <c r="C24" s="4" t="inlineStr">
        <is>
          <t>Sonique</t>
        </is>
      </c>
      <c r="D24" s="4" t="inlineStr">
        <is>
          <t>Adulte</t>
        </is>
      </c>
      <c r="E24" s="5" t="n">
        <v>32000</v>
      </c>
      <c r="F24" s="5" t="n">
        <v>40000</v>
      </c>
      <c r="G24" s="6" t="n">
        <v>5</v>
      </c>
      <c r="H24" s="6" t="n">
        <v>21</v>
      </c>
      <c r="I24" s="6" t="n">
        <v>700</v>
      </c>
      <c r="J24" s="4" t="inlineStr">
        <is>
          <t>Batterie Li-ion rechargeable</t>
        </is>
      </c>
      <c r="K24" s="4" t="inlineStr">
        <is>
          <t>Type-C</t>
        </is>
      </c>
      <c r="L24" s="7" t="inlineStr">
        <is>
          <t>N/D</t>
        </is>
      </c>
      <c r="M24" s="4" t="inlineStr">
        <is>
          <t>IPX7</t>
        </is>
      </c>
      <c r="N24" s="4" t="inlineStr">
        <is>
          <t>Oui</t>
        </is>
      </c>
      <c r="O24" s="4" t="inlineStr">
        <is>
          <t>Aucun</t>
        </is>
      </c>
      <c r="P24" s="4" t="inlineStr">
        <is>
          <t>Oui</t>
        </is>
      </c>
      <c r="Q24" s="8" t="n">
        <v>101.5</v>
      </c>
      <c r="R24" s="4" t="inlineStr">
        <is>
          <t>27.6*27.6*255</t>
        </is>
      </c>
      <c r="S24" s="9" t="inlineStr">
        <is>
          <t>Bouton tactile sans joint, montée progressive 3 s, double moteur magnétique, implantation sans métal, mémoire intelligente</t>
        </is>
      </c>
      <c r="T24" s="10" t="n">
        <v>14</v>
      </c>
      <c r="U24" s="11" t="n"/>
      <c r="V24" s="11" t="n"/>
      <c r="W24" s="11" t="n"/>
      <c r="X24" s="12" t="n"/>
      <c r="Y24" s="12" t="n"/>
      <c r="Z24" s="11" t="n"/>
      <c r="AA24" s="11" t="n"/>
      <c r="AB24" s="11" t="n"/>
      <c r="AC24" s="13">
        <f>IF(OR(Y24="",X24=""),"",Y24-X24)</f>
        <v/>
      </c>
      <c r="AD24" s="14">
        <f>IF(OR(Y24="",X24="",X24=0),"",(Y24-X24)/X24)</f>
        <v/>
      </c>
      <c r="AE24" s="15">
        <f>IF(AD24="","",IF(AD24&lt;-0.05,"Moins cher",IF(AD24&gt;0.05,"Plus cher","Équivalent")))</f>
        <v/>
      </c>
    </row>
    <row r="25">
      <c r="A25" s="16" t="inlineStr">
        <is>
          <t>SG-2753</t>
        </is>
      </c>
      <c r="B25" s="16" t="inlineStr">
        <is>
          <t>Advanced Clean</t>
        </is>
      </c>
      <c r="C25" s="16" t="inlineStr">
        <is>
          <t>Sonique</t>
        </is>
      </c>
      <c r="D25" s="16" t="inlineStr">
        <is>
          <t>Adulte</t>
        </is>
      </c>
      <c r="E25" s="17" t="n">
        <v>32000</v>
      </c>
      <c r="F25" s="17" t="n">
        <v>40000</v>
      </c>
      <c r="G25" s="18" t="n">
        <v>5</v>
      </c>
      <c r="H25" s="18" t="n">
        <v>21</v>
      </c>
      <c r="I25" s="18" t="n">
        <v>700</v>
      </c>
      <c r="J25" s="16" t="inlineStr">
        <is>
          <t>Batterie Li-ion rechargeable</t>
        </is>
      </c>
      <c r="K25" s="16" t="inlineStr">
        <is>
          <t>Type-C</t>
        </is>
      </c>
      <c r="L25" s="22" t="inlineStr">
        <is>
          <t>N/D</t>
        </is>
      </c>
      <c r="M25" s="16" t="inlineStr">
        <is>
          <t>IPX7</t>
        </is>
      </c>
      <c r="N25" s="16" t="inlineStr">
        <is>
          <t>Oui</t>
        </is>
      </c>
      <c r="O25" s="16" t="inlineStr">
        <is>
          <t>Aucun</t>
        </is>
      </c>
      <c r="P25" s="16" t="inlineStr">
        <is>
          <t>Oui</t>
        </is>
      </c>
      <c r="Q25" s="19" t="n">
        <v>102</v>
      </c>
      <c r="R25" s="16" t="inlineStr">
        <is>
          <t>26.5*30.0*255</t>
        </is>
      </c>
      <c r="S25" s="20" t="inlineStr">
        <is>
          <t>Bouton tactile sans joint, montée progressive 3 s, double moteur magnétique, implantation sans métal, mémoire intelligente</t>
        </is>
      </c>
      <c r="T25" s="21" t="n">
        <v>14</v>
      </c>
      <c r="U25" s="11" t="n"/>
      <c r="V25" s="11" t="n"/>
      <c r="W25" s="11" t="n"/>
      <c r="X25" s="12" t="n"/>
      <c r="Y25" s="12" t="n"/>
      <c r="Z25" s="11" t="n"/>
      <c r="AA25" s="11" t="n"/>
      <c r="AB25" s="11" t="n"/>
      <c r="AC25" s="13">
        <f>IF(OR(Y25="",X25=""),"",Y25-X25)</f>
        <v/>
      </c>
      <c r="AD25" s="14">
        <f>IF(OR(Y25="",X25="",X25=0),"",(Y25-X25)/X25)</f>
        <v/>
      </c>
      <c r="AE25" s="15">
        <f>IF(AD25="","",IF(AD25&lt;-0.05,"Moins cher",IF(AD25&gt;0.05,"Plus cher","Équivalent")))</f>
        <v/>
      </c>
    </row>
    <row r="26">
      <c r="A26" s="4" t="inlineStr">
        <is>
          <t>SG-2725</t>
        </is>
      </c>
      <c r="B26" s="4" t="inlineStr">
        <is>
          <t>Advanced Clean</t>
        </is>
      </c>
      <c r="C26" s="4" t="inlineStr">
        <is>
          <t>Sonique</t>
        </is>
      </c>
      <c r="D26" s="4" t="inlineStr">
        <is>
          <t>Adulte</t>
        </is>
      </c>
      <c r="E26" s="5" t="n">
        <v>32000</v>
      </c>
      <c r="F26" s="5" t="n">
        <v>47000</v>
      </c>
      <c r="G26" s="6" t="n">
        <v>5</v>
      </c>
      <c r="H26" s="6" t="n">
        <v>60</v>
      </c>
      <c r="I26" s="6" t="n">
        <v>1500</v>
      </c>
      <c r="J26" s="4" t="inlineStr">
        <is>
          <t>Batterie Li-ion rechargeable</t>
        </is>
      </c>
      <c r="K26" s="4" t="inlineStr">
        <is>
          <t>Type-C</t>
        </is>
      </c>
      <c r="L26" s="7" t="inlineStr">
        <is>
          <t>N/D</t>
        </is>
      </c>
      <c r="M26" s="4" t="inlineStr">
        <is>
          <t>IPX7</t>
        </is>
      </c>
      <c r="N26" s="4" t="inlineStr">
        <is>
          <t>Non</t>
        </is>
      </c>
      <c r="O26" s="4" t="inlineStr">
        <is>
          <t>Aucun</t>
        </is>
      </c>
      <c r="P26" s="4" t="inlineStr">
        <is>
          <t>Oui</t>
        </is>
      </c>
      <c r="Q26" s="8" t="n">
        <v>222</v>
      </c>
      <c r="R26" s="4" t="inlineStr">
        <is>
          <t>28.3*28.3*252</t>
        </is>
      </c>
      <c r="S26" s="9" t="inlineStr">
        <is>
          <t>Moteur magnétique renforcé, implantation sans métal avec plus de 90 % de brins arrondis, manche compatible motifs 3D, rythme de vibration cadence</t>
        </is>
      </c>
      <c r="T26" s="10" t="n">
        <v>15</v>
      </c>
      <c r="U26" s="11" t="n"/>
      <c r="V26" s="11" t="n"/>
      <c r="W26" s="11" t="n"/>
      <c r="X26" s="12" t="n"/>
      <c r="Y26" s="12" t="n"/>
      <c r="Z26" s="11" t="n"/>
      <c r="AA26" s="11" t="n"/>
      <c r="AB26" s="11" t="n"/>
      <c r="AC26" s="13">
        <f>IF(OR(Y26="",X26=""),"",Y26-X26)</f>
        <v/>
      </c>
      <c r="AD26" s="14">
        <f>IF(OR(Y26="",X26="",X26=0),"",(Y26-X26)/X26)</f>
        <v/>
      </c>
      <c r="AE26" s="15">
        <f>IF(AD26="","",IF(AD26&lt;-0.05,"Moins cher",IF(AD26&gt;0.05,"Plus cher","Équivalent")))</f>
        <v/>
      </c>
    </row>
    <row r="27">
      <c r="A27" s="16" t="inlineStr">
        <is>
          <t>SG-2015</t>
        </is>
      </c>
      <c r="B27" s="16" t="inlineStr">
        <is>
          <t>Advanced Clean</t>
        </is>
      </c>
      <c r="C27" s="16" t="inlineStr">
        <is>
          <t>Sonique</t>
        </is>
      </c>
      <c r="D27" s="16" t="inlineStr">
        <is>
          <t>Adulte</t>
        </is>
      </c>
      <c r="E27" s="17" t="n">
        <v>40000</v>
      </c>
      <c r="F27" s="17" t="n">
        <v>40000</v>
      </c>
      <c r="G27" s="18" t="n">
        <v>15</v>
      </c>
      <c r="H27" s="18" t="n">
        <v>21</v>
      </c>
      <c r="I27" s="18" t="n">
        <v>700</v>
      </c>
      <c r="J27" s="16" t="inlineStr">
        <is>
          <t>Batterie Li-ion rechargeable</t>
        </is>
      </c>
      <c r="K27" s="16" t="inlineStr">
        <is>
          <t>Inductive (socle)</t>
        </is>
      </c>
      <c r="L27" s="22" t="inlineStr">
        <is>
          <t>N/D</t>
        </is>
      </c>
      <c r="M27" s="16" t="inlineStr">
        <is>
          <t>IPX7</t>
        </is>
      </c>
      <c r="N27" s="16" t="inlineStr">
        <is>
          <t>Non</t>
        </is>
      </c>
      <c r="O27" s="16" t="inlineStr">
        <is>
          <t>Affichage digital</t>
        </is>
      </c>
      <c r="P27" s="16" t="inlineStr">
        <is>
          <t>Oui</t>
        </is>
      </c>
      <c r="Q27" s="19" t="n">
        <v>287</v>
      </c>
      <c r="R27" s="16" t="inlineStr">
        <is>
          <t>27.5*26.4*255 ; stérilisateur UV 135*60*131</t>
        </is>
      </c>
      <c r="S27" s="20" t="inlineStr">
        <is>
          <t>Socle et boîtier UV 2 en 1 (3-4 min, 99,9 % des bactéries), 15 combinaisons (3 modes x 5 intensités), double moteur magnétique</t>
        </is>
      </c>
      <c r="T27" s="21" t="n">
        <v>16</v>
      </c>
      <c r="U27" s="11" t="n"/>
      <c r="V27" s="11" t="n"/>
      <c r="W27" s="11" t="n"/>
      <c r="X27" s="12" t="n"/>
      <c r="Y27" s="12" t="n"/>
      <c r="Z27" s="11" t="n"/>
      <c r="AA27" s="11" t="n"/>
      <c r="AB27" s="11" t="n"/>
      <c r="AC27" s="13">
        <f>IF(OR(Y27="",X27=""),"",Y27-X27)</f>
        <v/>
      </c>
      <c r="AD27" s="14">
        <f>IF(OR(Y27="",X27="",X27=0),"",(Y27-X27)/X27)</f>
        <v/>
      </c>
      <c r="AE27" s="15">
        <f>IF(AD27="","",IF(AD27&lt;-0.05,"Moins cher",IF(AD27&gt;0.05,"Plus cher","Équivalent")))</f>
        <v/>
      </c>
    </row>
    <row r="28">
      <c r="A28" s="4" t="inlineStr">
        <is>
          <t>SG-2017</t>
        </is>
      </c>
      <c r="B28" s="4" t="inlineStr">
        <is>
          <t>Advanced Clean</t>
        </is>
      </c>
      <c r="C28" s="4" t="inlineStr">
        <is>
          <t>Sonique</t>
        </is>
      </c>
      <c r="D28" s="4" t="inlineStr">
        <is>
          <t>Adulte</t>
        </is>
      </c>
      <c r="E28" s="5" t="n">
        <v>32000</v>
      </c>
      <c r="F28" s="5" t="n">
        <v>40000</v>
      </c>
      <c r="G28" s="6" t="n">
        <v>15</v>
      </c>
      <c r="H28" s="6" t="n">
        <v>21</v>
      </c>
      <c r="I28" s="6" t="n">
        <v>700</v>
      </c>
      <c r="J28" s="4" t="inlineStr">
        <is>
          <t>Batterie Li-ion rechargeable</t>
        </is>
      </c>
      <c r="K28" s="4" t="inlineStr">
        <is>
          <t>Inductive (socle)</t>
        </is>
      </c>
      <c r="L28" s="7" t="inlineStr">
        <is>
          <t>N/D</t>
        </is>
      </c>
      <c r="M28" s="4" t="inlineStr">
        <is>
          <t>IPX7</t>
        </is>
      </c>
      <c r="N28" s="4" t="inlineStr">
        <is>
          <t>Non</t>
        </is>
      </c>
      <c r="O28" s="4" t="inlineStr">
        <is>
          <t>Affichage digital</t>
        </is>
      </c>
      <c r="P28" s="4" t="inlineStr">
        <is>
          <t>Oui</t>
        </is>
      </c>
      <c r="Q28" s="8" t="n">
        <v>222</v>
      </c>
      <c r="R28" s="4" t="inlineStr">
        <is>
          <t>27.1*28.1*255 ; chargeur 400 : 62*62*41</t>
        </is>
      </c>
      <c r="S28" s="9" t="inlineStr">
        <is>
          <t>15 combinaisons (3 modes x 5 intensités), moteur à lévitation magnétique amplitude 6 mm, double moteur magnétique, système super silencieux</t>
        </is>
      </c>
      <c r="T28" s="10" t="n">
        <v>16</v>
      </c>
      <c r="U28" s="11" t="n"/>
      <c r="V28" s="11" t="n"/>
      <c r="W28" s="11" t="n"/>
      <c r="X28" s="12" t="n"/>
      <c r="Y28" s="12" t="n"/>
      <c r="Z28" s="11" t="n"/>
      <c r="AA28" s="11" t="n"/>
      <c r="AB28" s="11" t="n"/>
      <c r="AC28" s="13">
        <f>IF(OR(Y28="",X28=""),"",Y28-X28)</f>
        <v/>
      </c>
      <c r="AD28" s="14">
        <f>IF(OR(Y28="",X28="",X28=0),"",(Y28-X28)/X28)</f>
        <v/>
      </c>
      <c r="AE28" s="15">
        <f>IF(AD28="","",IF(AD28&lt;-0.05,"Moins cher",IF(AD28&gt;0.05,"Plus cher","Équivalent")))</f>
        <v/>
      </c>
    </row>
    <row r="29">
      <c r="A29" s="16" t="inlineStr">
        <is>
          <t>SG-2701</t>
        </is>
      </c>
      <c r="B29" s="16" t="inlineStr">
        <is>
          <t>Advanced Clean</t>
        </is>
      </c>
      <c r="C29" s="16" t="inlineStr">
        <is>
          <t>Sonique</t>
        </is>
      </c>
      <c r="D29" s="16" t="inlineStr">
        <is>
          <t>Adulte</t>
        </is>
      </c>
      <c r="E29" s="17" t="n">
        <v>32000</v>
      </c>
      <c r="F29" s="17" t="n">
        <v>42000</v>
      </c>
      <c r="G29" s="18" t="n">
        <v>15</v>
      </c>
      <c r="H29" s="18" t="n">
        <v>60</v>
      </c>
      <c r="I29" s="18" t="n">
        <v>1500</v>
      </c>
      <c r="J29" s="16" t="inlineStr">
        <is>
          <t>Batterie Li-ion rechargeable</t>
        </is>
      </c>
      <c r="K29" s="16" t="inlineStr">
        <is>
          <t>Inductive (socle) ou USB</t>
        </is>
      </c>
      <c r="L29" s="22" t="inlineStr">
        <is>
          <t>N/D</t>
        </is>
      </c>
      <c r="M29" s="16" t="inlineStr">
        <is>
          <t>IPX7</t>
        </is>
      </c>
      <c r="N29" s="16" t="inlineStr">
        <is>
          <t>Oui</t>
        </is>
      </c>
      <c r="O29" s="16" t="inlineStr">
        <is>
          <t>Aucun</t>
        </is>
      </c>
      <c r="P29" s="16" t="inlineStr">
        <is>
          <t>Oui</t>
        </is>
      </c>
      <c r="Q29" s="19" t="n">
        <v>193</v>
      </c>
      <c r="R29" s="16" t="inlineStr">
        <is>
          <t>28*29.8*250 ; chargeur 4019 : 66.8*66.8*32.6</t>
        </is>
      </c>
      <c r="S29" s="20" t="inlineStr">
        <is>
          <t>15 combinaisons (5 modes x 3 intensités), montée progressive 3 s, résistant aux projections, mémoire intelligente</t>
        </is>
      </c>
      <c r="T29" s="21" t="n">
        <v>17</v>
      </c>
      <c r="U29" s="11" t="n"/>
      <c r="V29" s="11" t="n"/>
      <c r="W29" s="11" t="n"/>
      <c r="X29" s="12" t="n"/>
      <c r="Y29" s="12" t="n"/>
      <c r="Z29" s="11" t="n"/>
      <c r="AA29" s="11" t="n"/>
      <c r="AB29" s="11" t="n"/>
      <c r="AC29" s="13">
        <f>IF(OR(Y29="",X29=""),"",Y29-X29)</f>
        <v/>
      </c>
      <c r="AD29" s="14">
        <f>IF(OR(Y29="",X29="",X29=0),"",(Y29-X29)/X29)</f>
        <v/>
      </c>
      <c r="AE29" s="15">
        <f>IF(AD29="","",IF(AD29&lt;-0.05,"Moins cher",IF(AD29&gt;0.05,"Plus cher","Équivalent")))</f>
        <v/>
      </c>
    </row>
    <row r="30">
      <c r="A30" s="4" t="inlineStr">
        <is>
          <t>SG-982</t>
        </is>
      </c>
      <c r="B30" s="4" t="inlineStr">
        <is>
          <t>Advanced Clean</t>
        </is>
      </c>
      <c r="C30" s="4" t="inlineStr">
        <is>
          <t>Sonique</t>
        </is>
      </c>
      <c r="D30" s="4" t="inlineStr">
        <is>
          <t>Adulte</t>
        </is>
      </c>
      <c r="E30" s="5" t="n">
        <v>32000</v>
      </c>
      <c r="F30" s="5" t="n">
        <v>42000</v>
      </c>
      <c r="G30" s="6" t="n">
        <v>9</v>
      </c>
      <c r="H30" s="6" t="n">
        <v>21</v>
      </c>
      <c r="I30" s="6" t="n">
        <v>700</v>
      </c>
      <c r="J30" s="4" t="inlineStr">
        <is>
          <t>Batterie Li-ion rechargeable</t>
        </is>
      </c>
      <c r="K30" s="4" t="inlineStr">
        <is>
          <t>Inductive (socle)</t>
        </is>
      </c>
      <c r="L30" s="7" t="inlineStr">
        <is>
          <t>N/D</t>
        </is>
      </c>
      <c r="M30" s="4" t="inlineStr">
        <is>
          <t>IPX7</t>
        </is>
      </c>
      <c r="N30" s="4" t="inlineStr">
        <is>
          <t>Non</t>
        </is>
      </c>
      <c r="O30" s="4" t="inlineStr">
        <is>
          <t>Aucun</t>
        </is>
      </c>
      <c r="P30" s="4" t="inlineStr">
        <is>
          <t>Non</t>
        </is>
      </c>
      <c r="Q30" s="8" t="n">
        <v>217</v>
      </c>
      <c r="R30" s="4" t="inlineStr">
        <is>
          <t>27.1*27.1*255 ; chargeur 400 : 62*62*41</t>
        </is>
      </c>
      <c r="S30" s="9" t="inlineStr">
        <is>
          <t>9 combinaisons (3 modes x 3 intensités), moteur à lévitation magnétique amplitude 6 mm, double moteur magnétique, système super silencieux</t>
        </is>
      </c>
      <c r="T30" s="10" t="n">
        <v>17</v>
      </c>
      <c r="U30" s="11" t="n"/>
      <c r="V30" s="11" t="n"/>
      <c r="W30" s="11" t="n"/>
      <c r="X30" s="12" t="n"/>
      <c r="Y30" s="12" t="n"/>
      <c r="Z30" s="11" t="n"/>
      <c r="AA30" s="11" t="n"/>
      <c r="AB30" s="11" t="n"/>
      <c r="AC30" s="13">
        <f>IF(OR(Y30="",X30=""),"",Y30-X30)</f>
        <v/>
      </c>
      <c r="AD30" s="14">
        <f>IF(OR(Y30="",X30="",X30=0),"",(Y30-X30)/X30)</f>
        <v/>
      </c>
      <c r="AE30" s="15">
        <f>IF(AD30="","",IF(AD30&lt;-0.05,"Moins cher",IF(AD30&gt;0.05,"Plus cher","Équivalent")))</f>
        <v/>
      </c>
    </row>
    <row r="31">
      <c r="A31" s="16" t="inlineStr">
        <is>
          <t>SG-2009</t>
        </is>
      </c>
      <c r="B31" s="16" t="inlineStr">
        <is>
          <t>Advanced Clean</t>
        </is>
      </c>
      <c r="C31" s="16" t="inlineStr">
        <is>
          <t>Sonique</t>
        </is>
      </c>
      <c r="D31" s="16" t="inlineStr">
        <is>
          <t>Adulte</t>
        </is>
      </c>
      <c r="E31" s="17" t="n">
        <v>31000</v>
      </c>
      <c r="F31" s="17" t="n">
        <v>31000</v>
      </c>
      <c r="G31" s="18" t="n">
        <v>5</v>
      </c>
      <c r="H31" s="18" t="n">
        <v>21</v>
      </c>
      <c r="I31" s="18" t="n">
        <v>700</v>
      </c>
      <c r="J31" s="16" t="inlineStr">
        <is>
          <t>Batterie Li-ion rechargeable</t>
        </is>
      </c>
      <c r="K31" s="16" t="inlineStr">
        <is>
          <t>Inductive (socle)</t>
        </is>
      </c>
      <c r="L31" s="22" t="inlineStr">
        <is>
          <t>N/D</t>
        </is>
      </c>
      <c r="M31" s="16" t="inlineStr">
        <is>
          <t>IPX7</t>
        </is>
      </c>
      <c r="N31" s="16" t="inlineStr">
        <is>
          <t>Non</t>
        </is>
      </c>
      <c r="O31" s="16" t="inlineStr">
        <is>
          <t>Aucun</t>
        </is>
      </c>
      <c r="P31" s="16" t="inlineStr">
        <is>
          <t>Non</t>
        </is>
      </c>
      <c r="Q31" s="19" t="n">
        <v>238</v>
      </c>
      <c r="R31" s="16" t="inlineStr">
        <is>
          <t>26.7*26.7*252 ; chargeur 416 : 69*69*26.2</t>
        </is>
      </c>
      <c r="S31" s="20" t="inlineStr">
        <is>
          <t>Moteur à lévitation magnétique amplitude 6 mm, socle inductif haut de gamme avec éclairage LED, système super silencieux</t>
        </is>
      </c>
      <c r="T31" s="21" t="n">
        <v>18</v>
      </c>
      <c r="U31" s="11" t="n"/>
      <c r="V31" s="11" t="n"/>
      <c r="W31" s="11" t="n"/>
      <c r="X31" s="12" t="n"/>
      <c r="Y31" s="12" t="n"/>
      <c r="Z31" s="11" t="n"/>
      <c r="AA31" s="11" t="n"/>
      <c r="AB31" s="11" t="n"/>
      <c r="AC31" s="13">
        <f>IF(OR(Y31="",X31=""),"",Y31-X31)</f>
        <v/>
      </c>
      <c r="AD31" s="14">
        <f>IF(OR(Y31="",X31="",X31=0),"",(Y31-X31)/X31)</f>
        <v/>
      </c>
      <c r="AE31" s="15">
        <f>IF(AD31="","",IF(AD31&lt;-0.05,"Moins cher",IF(AD31&gt;0.05,"Plus cher","Équivalent")))</f>
        <v/>
      </c>
    </row>
    <row r="32">
      <c r="A32" s="4" t="inlineStr">
        <is>
          <t>SG-998</t>
        </is>
      </c>
      <c r="B32" s="4" t="inlineStr">
        <is>
          <t>Advanced Clean</t>
        </is>
      </c>
      <c r="C32" s="4" t="inlineStr">
        <is>
          <t>Sonique</t>
        </is>
      </c>
      <c r="D32" s="4" t="inlineStr">
        <is>
          <t>Adulte</t>
        </is>
      </c>
      <c r="E32" s="5" t="n">
        <v>31000</v>
      </c>
      <c r="F32" s="5" t="n">
        <v>42000</v>
      </c>
      <c r="G32" s="6" t="n">
        <v>5</v>
      </c>
      <c r="H32" s="6" t="n">
        <v>21</v>
      </c>
      <c r="I32" s="6" t="n">
        <v>700</v>
      </c>
      <c r="J32" s="4" t="inlineStr">
        <is>
          <t>Batterie Li-ion rechargeable</t>
        </is>
      </c>
      <c r="K32" s="4" t="inlineStr">
        <is>
          <t>Inductive (socle)</t>
        </is>
      </c>
      <c r="L32" s="7" t="inlineStr">
        <is>
          <t>N/D</t>
        </is>
      </c>
      <c r="M32" s="4" t="inlineStr">
        <is>
          <t>IPX7</t>
        </is>
      </c>
      <c r="N32" s="4" t="inlineStr">
        <is>
          <t>Non</t>
        </is>
      </c>
      <c r="O32" s="4" t="inlineStr">
        <is>
          <t>Aucun</t>
        </is>
      </c>
      <c r="P32" s="4" t="inlineStr">
        <is>
          <t>Non</t>
        </is>
      </c>
      <c r="Q32" s="8" t="n">
        <v>230</v>
      </c>
      <c r="R32" s="4" t="inlineStr">
        <is>
          <t>25.6*25.7*280 ; chargeur 416 : 69*69*26.2</t>
        </is>
      </c>
      <c r="S32" s="9" t="inlineStr">
        <is>
          <t>Moteur à lévitation magnétique amplitude 6 mm, socle inductif avec éclairage LED, double moteur magnétique</t>
        </is>
      </c>
      <c r="T32" s="10" t="n">
        <v>18</v>
      </c>
      <c r="U32" s="11" t="n"/>
      <c r="V32" s="11" t="n"/>
      <c r="W32" s="11" t="n"/>
      <c r="X32" s="12" t="n"/>
      <c r="Y32" s="12" t="n"/>
      <c r="Z32" s="11" t="n"/>
      <c r="AA32" s="11" t="n"/>
      <c r="AB32" s="11" t="n"/>
      <c r="AC32" s="13">
        <f>IF(OR(Y32="",X32=""),"",Y32-X32)</f>
        <v/>
      </c>
      <c r="AD32" s="14">
        <f>IF(OR(Y32="",X32="",X32=0),"",(Y32-X32)/X32)</f>
        <v/>
      </c>
      <c r="AE32" s="15">
        <f>IF(AD32="","",IF(AD32&lt;-0.05,"Moins cher",IF(AD32&gt;0.05,"Plus cher","Équivalent")))</f>
        <v/>
      </c>
    </row>
    <row r="33">
      <c r="A33" s="16" t="inlineStr">
        <is>
          <t>SG-986</t>
        </is>
      </c>
      <c r="B33" s="16" t="inlineStr">
        <is>
          <t>Advanced Clean</t>
        </is>
      </c>
      <c r="C33" s="16" t="inlineStr">
        <is>
          <t>Sonique</t>
        </is>
      </c>
      <c r="D33" s="16" t="inlineStr">
        <is>
          <t>Adulte</t>
        </is>
      </c>
      <c r="E33" s="17" t="n">
        <v>31000</v>
      </c>
      <c r="F33" s="17" t="n">
        <v>31000</v>
      </c>
      <c r="G33" s="18" t="n">
        <v>5</v>
      </c>
      <c r="H33" s="18" t="n">
        <v>21</v>
      </c>
      <c r="I33" s="18" t="n">
        <v>700</v>
      </c>
      <c r="J33" s="16" t="inlineStr">
        <is>
          <t>Batterie Li-ion rechargeable</t>
        </is>
      </c>
      <c r="K33" s="16" t="inlineStr">
        <is>
          <t>Inductive (socle)</t>
        </is>
      </c>
      <c r="L33" s="22" t="inlineStr">
        <is>
          <t>N/D</t>
        </is>
      </c>
      <c r="M33" s="16" t="inlineStr">
        <is>
          <t>IPX7</t>
        </is>
      </c>
      <c r="N33" s="16" t="inlineStr">
        <is>
          <t>Non</t>
        </is>
      </c>
      <c r="O33" s="16" t="inlineStr">
        <is>
          <t>Aucun</t>
        </is>
      </c>
      <c r="P33" s="16" t="inlineStr">
        <is>
          <t>Non</t>
        </is>
      </c>
      <c r="Q33" s="19" t="n">
        <v>213</v>
      </c>
      <c r="R33" s="16" t="inlineStr">
        <is>
          <t>26.4*27.6*255 ; chargeur 400 : 62*62*41</t>
        </is>
      </c>
      <c r="S33" s="20" t="inlineStr">
        <is>
          <t>Moteur à lévitation magnétique amplitude 6 mm, double moteur magnétique, système super silencieux</t>
        </is>
      </c>
      <c r="T33" s="21" t="n">
        <v>19</v>
      </c>
      <c r="U33" s="11" t="n"/>
      <c r="V33" s="11" t="n"/>
      <c r="W33" s="11" t="n"/>
      <c r="X33" s="12" t="n"/>
      <c r="Y33" s="12" t="n"/>
      <c r="Z33" s="11" t="n"/>
      <c r="AA33" s="11" t="n"/>
      <c r="AB33" s="11" t="n"/>
      <c r="AC33" s="13">
        <f>IF(OR(Y33="",X33=""),"",Y33-X33)</f>
        <v/>
      </c>
      <c r="AD33" s="14">
        <f>IF(OR(Y33="",X33="",X33=0),"",(Y33-X33)/X33)</f>
        <v/>
      </c>
      <c r="AE33" s="15">
        <f>IF(AD33="","",IF(AD33&lt;-0.05,"Moins cher",IF(AD33&gt;0.05,"Plus cher","Équivalent")))</f>
        <v/>
      </c>
    </row>
    <row r="34">
      <c r="A34" s="4" t="inlineStr">
        <is>
          <t>SG-972</t>
        </is>
      </c>
      <c r="B34" s="4" t="inlineStr">
        <is>
          <t>Advanced Clean</t>
        </is>
      </c>
      <c r="C34" s="4" t="inlineStr">
        <is>
          <t>Sonique</t>
        </is>
      </c>
      <c r="D34" s="4" t="inlineStr">
        <is>
          <t>Adulte</t>
        </is>
      </c>
      <c r="E34" s="5" t="n">
        <v>35000</v>
      </c>
      <c r="F34" s="5" t="n">
        <v>42000</v>
      </c>
      <c r="G34" s="6" t="n">
        <v>5</v>
      </c>
      <c r="H34" s="6" t="n">
        <v>21</v>
      </c>
      <c r="I34" s="6" t="n">
        <v>700</v>
      </c>
      <c r="J34" s="4" t="inlineStr">
        <is>
          <t>Batterie Li-ion rechargeable</t>
        </is>
      </c>
      <c r="K34" s="4" t="inlineStr">
        <is>
          <t>USB ou inductive</t>
        </is>
      </c>
      <c r="L34" s="7" t="inlineStr">
        <is>
          <t>N/D</t>
        </is>
      </c>
      <c r="M34" s="4" t="inlineStr">
        <is>
          <t>IPX7</t>
        </is>
      </c>
      <c r="N34" s="4" t="inlineStr">
        <is>
          <t>Non</t>
        </is>
      </c>
      <c r="O34" s="4" t="inlineStr">
        <is>
          <t>Aucun</t>
        </is>
      </c>
      <c r="P34" s="4" t="inlineStr">
        <is>
          <t>Non</t>
        </is>
      </c>
      <c r="Q34" s="8" t="n">
        <v>102</v>
      </c>
      <c r="R34" s="4" t="inlineStr">
        <is>
          <t>26.9*26.4*253</t>
        </is>
      </c>
      <c r="S34" s="9" t="inlineStr">
        <is>
          <t>Moteur à lévitation magnétique amplitude 6 mm, impression intégrale du manche possible, double moteur magnétique</t>
        </is>
      </c>
      <c r="T34" s="10" t="n">
        <v>19</v>
      </c>
      <c r="U34" s="11" t="n"/>
      <c r="V34" s="11" t="n"/>
      <c r="W34" s="11" t="n"/>
      <c r="X34" s="12" t="n"/>
      <c r="Y34" s="12" t="n"/>
      <c r="Z34" s="11" t="n"/>
      <c r="AA34" s="11" t="n"/>
      <c r="AB34" s="11" t="n"/>
      <c r="AC34" s="13">
        <f>IF(OR(Y34="",X34=""),"",Y34-X34)</f>
        <v/>
      </c>
      <c r="AD34" s="14">
        <f>IF(OR(Y34="",X34="",X34=0),"",(Y34-X34)/X34)</f>
        <v/>
      </c>
      <c r="AE34" s="15">
        <f>IF(AD34="","",IF(AD34&lt;-0.05,"Moins cher",IF(AD34&gt;0.05,"Plus cher","Équivalent")))</f>
        <v/>
      </c>
    </row>
    <row r="35">
      <c r="A35" s="16" t="inlineStr">
        <is>
          <t>SG-987</t>
        </is>
      </c>
      <c r="B35" s="16" t="inlineStr">
        <is>
          <t>Advanced Clean</t>
        </is>
      </c>
      <c r="C35" s="16" t="inlineStr">
        <is>
          <t>Sonique</t>
        </is>
      </c>
      <c r="D35" s="16" t="inlineStr">
        <is>
          <t>Adulte</t>
        </is>
      </c>
      <c r="E35" s="17" t="n">
        <v>31000</v>
      </c>
      <c r="F35" s="17" t="n">
        <v>31000</v>
      </c>
      <c r="G35" s="18" t="n">
        <v>3</v>
      </c>
      <c r="H35" s="23" t="inlineStr">
        <is>
          <t>N/D</t>
        </is>
      </c>
      <c r="I35" s="18" t="n">
        <v>700</v>
      </c>
      <c r="J35" s="16" t="inlineStr">
        <is>
          <t>Batterie Li-ion rechargeable</t>
        </is>
      </c>
      <c r="K35" s="16" t="inlineStr">
        <is>
          <t>Inductive (socle)</t>
        </is>
      </c>
      <c r="L35" s="22" t="inlineStr">
        <is>
          <t>N/D</t>
        </is>
      </c>
      <c r="M35" s="16" t="inlineStr">
        <is>
          <t>IPX7</t>
        </is>
      </c>
      <c r="N35" s="16" t="inlineStr">
        <is>
          <t>Non</t>
        </is>
      </c>
      <c r="O35" s="16" t="inlineStr">
        <is>
          <t>Aucun</t>
        </is>
      </c>
      <c r="P35" s="16" t="inlineStr">
        <is>
          <t>Non</t>
        </is>
      </c>
      <c r="Q35" s="19" t="n">
        <v>210</v>
      </c>
      <c r="R35" s="16" t="inlineStr">
        <is>
          <t>28.3*27.6*252.5 ; chargeur 400 : 62*62*41</t>
        </is>
      </c>
      <c r="S35" s="20" t="inlineStr">
        <is>
          <t>Design diamant, moteur à lévitation magnétique amplitude 6 mm, double moteur magnétique, système super silencieux</t>
        </is>
      </c>
      <c r="T35" s="21" t="n">
        <v>20</v>
      </c>
      <c r="U35" s="11" t="n"/>
      <c r="V35" s="11" t="n"/>
      <c r="W35" s="11" t="n"/>
      <c r="X35" s="12" t="n"/>
      <c r="Y35" s="12" t="n"/>
      <c r="Z35" s="11" t="n"/>
      <c r="AA35" s="11" t="n"/>
      <c r="AB35" s="11" t="n"/>
      <c r="AC35" s="13">
        <f>IF(OR(Y35="",X35=""),"",Y35-X35)</f>
        <v/>
      </c>
      <c r="AD35" s="14">
        <f>IF(OR(Y35="",X35="",X35=0),"",(Y35-X35)/X35)</f>
        <v/>
      </c>
      <c r="AE35" s="15">
        <f>IF(AD35="","",IF(AD35&lt;-0.05,"Moins cher",IF(AD35&gt;0.05,"Plus cher","Équivalent")))</f>
        <v/>
      </c>
    </row>
    <row r="36">
      <c r="A36" s="4" t="inlineStr">
        <is>
          <t>SG-585</t>
        </is>
      </c>
      <c r="B36" s="4" t="inlineStr">
        <is>
          <t>Advanced Clean</t>
        </is>
      </c>
      <c r="C36" s="4" t="inlineStr">
        <is>
          <t>Sonique</t>
        </is>
      </c>
      <c r="D36" s="4" t="inlineStr">
        <is>
          <t>Adulte</t>
        </is>
      </c>
      <c r="E36" s="5" t="n">
        <v>35000</v>
      </c>
      <c r="F36" s="5" t="n">
        <v>35000</v>
      </c>
      <c r="G36" s="6" t="n">
        <v>3</v>
      </c>
      <c r="H36" s="6" t="n">
        <v>21</v>
      </c>
      <c r="I36" s="6" t="n">
        <v>600</v>
      </c>
      <c r="J36" s="4" t="inlineStr">
        <is>
          <t>Batterie Li-ion rechargeable</t>
        </is>
      </c>
      <c r="K36" s="4" t="inlineStr">
        <is>
          <t>Magnétique</t>
        </is>
      </c>
      <c r="L36" s="7" t="inlineStr">
        <is>
          <t>N/D</t>
        </is>
      </c>
      <c r="M36" s="4" t="inlineStr">
        <is>
          <t>IPX7</t>
        </is>
      </c>
      <c r="N36" s="4" t="inlineStr">
        <is>
          <t>Non</t>
        </is>
      </c>
      <c r="O36" s="4" t="inlineStr">
        <is>
          <t>Aucun</t>
        </is>
      </c>
      <c r="P36" s="4" t="inlineStr">
        <is>
          <t>Non</t>
        </is>
      </c>
      <c r="Q36" s="8" t="n">
        <v>80</v>
      </c>
      <c r="R36" s="4" t="inlineStr">
        <is>
          <t>23.8*21.1*193.3</t>
        </is>
      </c>
      <c r="S36" s="9" t="inlineStr">
        <is>
          <t>Format voyage, moteur à lévitation magnétique, charge par aimantation, double moteur magnétique</t>
        </is>
      </c>
      <c r="T36" s="10" t="n">
        <v>20</v>
      </c>
      <c r="U36" s="11" t="n"/>
      <c r="V36" s="11" t="n"/>
      <c r="W36" s="11" t="n"/>
      <c r="X36" s="12" t="n"/>
      <c r="Y36" s="12" t="n"/>
      <c r="Z36" s="11" t="n"/>
      <c r="AA36" s="11" t="n"/>
      <c r="AB36" s="11" t="n"/>
      <c r="AC36" s="13">
        <f>IF(OR(Y36="",X36=""),"",Y36-X36)</f>
        <v/>
      </c>
      <c r="AD36" s="14">
        <f>IF(OR(Y36="",X36="",X36=0),"",(Y36-X36)/X36)</f>
        <v/>
      </c>
      <c r="AE36" s="15">
        <f>IF(AD36="","",IF(AD36&lt;-0.05,"Moins cher",IF(AD36&gt;0.05,"Plus cher","Équivalent")))</f>
        <v/>
      </c>
    </row>
    <row r="37">
      <c r="A37" s="16" t="inlineStr">
        <is>
          <t>SG-539</t>
        </is>
      </c>
      <c r="B37" s="16" t="inlineStr">
        <is>
          <t>Advanced Clean</t>
        </is>
      </c>
      <c r="C37" s="16" t="inlineStr">
        <is>
          <t>Sonique</t>
        </is>
      </c>
      <c r="D37" s="16" t="inlineStr">
        <is>
          <t>Adulte (senior)</t>
        </is>
      </c>
      <c r="E37" s="17" t="n">
        <v>32000</v>
      </c>
      <c r="F37" s="17" t="n">
        <v>42000</v>
      </c>
      <c r="G37" s="18" t="n">
        <v>2</v>
      </c>
      <c r="H37" s="18" t="n">
        <v>21</v>
      </c>
      <c r="I37" s="18" t="n">
        <v>700</v>
      </c>
      <c r="J37" s="16" t="inlineStr">
        <is>
          <t>Batterie Li-ion rechargeable</t>
        </is>
      </c>
      <c r="K37" s="16" t="inlineStr">
        <is>
          <t>Inductive (socle)</t>
        </is>
      </c>
      <c r="L37" s="22" t="inlineStr">
        <is>
          <t>N/D</t>
        </is>
      </c>
      <c r="M37" s="16" t="inlineStr">
        <is>
          <t>IPX7</t>
        </is>
      </c>
      <c r="N37" s="16" t="inlineStr">
        <is>
          <t>Non</t>
        </is>
      </c>
      <c r="O37" s="16" t="inlineStr">
        <is>
          <t>Aucun</t>
        </is>
      </c>
      <c r="P37" s="16" t="inlineStr">
        <is>
          <t>Oui</t>
        </is>
      </c>
      <c r="Q37" s="19" t="n">
        <v>244</v>
      </c>
      <c r="R37" s="16" t="inlineStr">
        <is>
          <t>34.0*29.8*220</t>
        </is>
      </c>
      <c r="S37" s="20" t="inlineStr">
        <is>
          <t>Utilisation simplifiée pensée pour les seniors, moteur à lévitation magnétique amplitude 6 mm, étui de voyage fourni</t>
        </is>
      </c>
      <c r="T37" s="21" t="n">
        <v>21</v>
      </c>
      <c r="U37" s="11" t="n"/>
      <c r="V37" s="11" t="n"/>
      <c r="W37" s="11" t="n"/>
      <c r="X37" s="12" t="n"/>
      <c r="Y37" s="12" t="n"/>
      <c r="Z37" s="11" t="n"/>
      <c r="AA37" s="11" t="n"/>
      <c r="AB37" s="11" t="n"/>
      <c r="AC37" s="13">
        <f>IF(OR(Y37="",X37=""),"",Y37-X37)</f>
        <v/>
      </c>
      <c r="AD37" s="14">
        <f>IF(OR(Y37="",X37="",X37=0),"",(Y37-X37)/X37)</f>
        <v/>
      </c>
      <c r="AE37" s="15">
        <f>IF(AD37="","",IF(AD37&lt;-0.05,"Moins cher",IF(AD37&gt;0.05,"Plus cher","Équivalent")))</f>
        <v/>
      </c>
    </row>
    <row r="38">
      <c r="A38" s="4" t="inlineStr">
        <is>
          <t>SG-540</t>
        </is>
      </c>
      <c r="B38" s="4" t="inlineStr">
        <is>
          <t>Advanced Clean</t>
        </is>
      </c>
      <c r="C38" s="4" t="inlineStr">
        <is>
          <t>Sonique</t>
        </is>
      </c>
      <c r="D38" s="4" t="inlineStr">
        <is>
          <t>Adulte</t>
        </is>
      </c>
      <c r="E38" s="5" t="n">
        <v>32000</v>
      </c>
      <c r="F38" s="5" t="n">
        <v>42000</v>
      </c>
      <c r="G38" s="6" t="n">
        <v>5</v>
      </c>
      <c r="H38" s="6" t="n">
        <v>21</v>
      </c>
      <c r="I38" s="6" t="n">
        <v>700</v>
      </c>
      <c r="J38" s="4" t="inlineStr">
        <is>
          <t>Batterie Li-ion rechargeable</t>
        </is>
      </c>
      <c r="K38" s="4" t="inlineStr">
        <is>
          <t>Inductive (socle) ou USB</t>
        </is>
      </c>
      <c r="L38" s="7" t="inlineStr">
        <is>
          <t>N/D</t>
        </is>
      </c>
      <c r="M38" s="4" t="inlineStr">
        <is>
          <t>IPX7</t>
        </is>
      </c>
      <c r="N38" s="4" t="inlineStr">
        <is>
          <t>Non</t>
        </is>
      </c>
      <c r="O38" s="4" t="inlineStr">
        <is>
          <t>Aucun</t>
        </is>
      </c>
      <c r="P38" s="4" t="inlineStr">
        <is>
          <t>Non</t>
        </is>
      </c>
      <c r="Q38" s="8" t="n">
        <v>220</v>
      </c>
      <c r="R38" s="4" t="inlineStr">
        <is>
          <t>27.2*28.6*226</t>
        </is>
      </c>
      <c r="S38" s="9" t="inlineStr">
        <is>
          <t>Moteur à lévitation magnétique amplitude 6 mm, manche antidérapant, double moteur magnétique, version USB en option</t>
        </is>
      </c>
      <c r="T38" s="10" t="n">
        <v>21</v>
      </c>
      <c r="U38" s="11" t="n"/>
      <c r="V38" s="11" t="n"/>
      <c r="W38" s="11" t="n"/>
      <c r="X38" s="12" t="n"/>
      <c r="Y38" s="12" t="n"/>
      <c r="Z38" s="11" t="n"/>
      <c r="AA38" s="11" t="n"/>
      <c r="AB38" s="11" t="n"/>
      <c r="AC38" s="13">
        <f>IF(OR(Y38="",X38=""),"",Y38-X38)</f>
        <v/>
      </c>
      <c r="AD38" s="14">
        <f>IF(OR(Y38="",X38="",X38=0),"",(Y38-X38)/X38)</f>
        <v/>
      </c>
      <c r="AE38" s="15">
        <f>IF(AD38="","",IF(AD38&lt;-0.05,"Moins cher",IF(AD38&gt;0.05,"Plus cher","Équivalent")))</f>
        <v/>
      </c>
    </row>
    <row r="39">
      <c r="A39" s="16" t="inlineStr">
        <is>
          <t>SG-2316</t>
        </is>
      </c>
      <c r="B39" s="16" t="inlineStr">
        <is>
          <t>Pro Sonic</t>
        </is>
      </c>
      <c r="C39" s="16" t="inlineStr">
        <is>
          <t>Sonique</t>
        </is>
      </c>
      <c r="D39" s="16" t="inlineStr">
        <is>
          <t>Adulte</t>
        </is>
      </c>
      <c r="E39" s="17" t="n">
        <v>35000</v>
      </c>
      <c r="F39" s="17" t="n">
        <v>35000</v>
      </c>
      <c r="G39" s="18" t="n">
        <v>3</v>
      </c>
      <c r="H39" s="18" t="n">
        <v>30</v>
      </c>
      <c r="I39" s="18" t="n">
        <v>360</v>
      </c>
      <c r="J39" s="16" t="inlineStr">
        <is>
          <t>Batterie Li-ion rechargeable</t>
        </is>
      </c>
      <c r="K39" s="16" t="inlineStr">
        <is>
          <t>Type-C</t>
        </is>
      </c>
      <c r="L39" s="19" t="n">
        <v>2.5</v>
      </c>
      <c r="M39" s="16" t="inlineStr">
        <is>
          <t>IPX7</t>
        </is>
      </c>
      <c r="N39" s="16" t="inlineStr">
        <is>
          <t>Non</t>
        </is>
      </c>
      <c r="O39" s="16" t="inlineStr">
        <is>
          <t>Aucun</t>
        </is>
      </c>
      <c r="P39" s="16" t="inlineStr">
        <is>
          <t>Oui</t>
        </is>
      </c>
      <c r="Q39" s="19" t="n">
        <v>167</v>
      </c>
      <c r="R39" s="16" t="inlineStr">
        <is>
          <t>25*25*224</t>
        </is>
      </c>
      <c r="S39" s="20" t="inlineStr">
        <is>
          <t>Charge rapide 2,5 h pour 30 jours, rappel de remplacement de tête, tête sans cuivre</t>
        </is>
      </c>
      <c r="T39" s="21" t="n">
        <v>24</v>
      </c>
      <c r="U39" s="11" t="n"/>
      <c r="V39" s="11" t="n"/>
      <c r="W39" s="11" t="n"/>
      <c r="X39" s="12" t="n"/>
      <c r="Y39" s="12" t="n"/>
      <c r="Z39" s="11" t="n"/>
      <c r="AA39" s="11" t="n"/>
      <c r="AB39" s="11" t="n"/>
      <c r="AC39" s="13">
        <f>IF(OR(Y39="",X39=""),"",Y39-X39)</f>
        <v/>
      </c>
      <c r="AD39" s="14">
        <f>IF(OR(Y39="",X39="",X39=0),"",(Y39-X39)/X39)</f>
        <v/>
      </c>
      <c r="AE39" s="15">
        <f>IF(AD39="","",IF(AD39&lt;-0.05,"Moins cher",IF(AD39&gt;0.05,"Plus cher","Équivalent")))</f>
        <v/>
      </c>
    </row>
    <row r="40">
      <c r="A40" s="4" t="inlineStr">
        <is>
          <t>SG-2320</t>
        </is>
      </c>
      <c r="B40" s="4" t="inlineStr">
        <is>
          <t>Pro Sonic</t>
        </is>
      </c>
      <c r="C40" s="4" t="inlineStr">
        <is>
          <t>Sonique</t>
        </is>
      </c>
      <c r="D40" s="4" t="inlineStr">
        <is>
          <t>Adulte</t>
        </is>
      </c>
      <c r="E40" s="5" t="n">
        <v>35000</v>
      </c>
      <c r="F40" s="5" t="n">
        <v>35000</v>
      </c>
      <c r="G40" s="6" t="n">
        <v>5</v>
      </c>
      <c r="H40" s="6" t="n">
        <v>200</v>
      </c>
      <c r="I40" s="6" t="n">
        <v>2000</v>
      </c>
      <c r="J40" s="4" t="inlineStr">
        <is>
          <t>Batterie Li-ion rechargeable</t>
        </is>
      </c>
      <c r="K40" s="4" t="inlineStr">
        <is>
          <t>USB</t>
        </is>
      </c>
      <c r="L40" s="8" t="n">
        <v>8</v>
      </c>
      <c r="M40" s="4" t="inlineStr">
        <is>
          <t>IPX7</t>
        </is>
      </c>
      <c r="N40" s="4" t="inlineStr">
        <is>
          <t>Non</t>
        </is>
      </c>
      <c r="O40" s="4" t="inlineStr">
        <is>
          <t>Indicateur batterie</t>
        </is>
      </c>
      <c r="P40" s="4" t="inlineStr">
        <is>
          <t>Oui</t>
        </is>
      </c>
      <c r="Q40" s="8" t="n">
        <v>115.1</v>
      </c>
      <c r="R40" s="4" t="inlineStr">
        <is>
          <t>201.3*29.2*27.0</t>
        </is>
      </c>
      <c r="S40" s="9" t="inlineStr">
        <is>
          <t>Charge 8 h pour 200 jours (2x/j 2 min), mémoire intelligente, protection surcharge et décharge profonde</t>
        </is>
      </c>
      <c r="T40" s="10" t="n">
        <v>24</v>
      </c>
      <c r="U40" s="11" t="n"/>
      <c r="V40" s="11" t="n"/>
      <c r="W40" s="11" t="n"/>
      <c r="X40" s="12" t="n"/>
      <c r="Y40" s="12" t="n"/>
      <c r="Z40" s="11" t="n"/>
      <c r="AA40" s="11" t="n"/>
      <c r="AB40" s="11" t="n"/>
      <c r="AC40" s="13">
        <f>IF(OR(Y40="",X40=""),"",Y40-X40)</f>
        <v/>
      </c>
      <c r="AD40" s="14">
        <f>IF(OR(Y40="",X40="",X40=0),"",(Y40-X40)/X40)</f>
        <v/>
      </c>
      <c r="AE40" s="15">
        <f>IF(AD40="","",IF(AD40&lt;-0.05,"Moins cher",IF(AD40&gt;0.05,"Plus cher","Équivalent")))</f>
        <v/>
      </c>
    </row>
    <row r="41">
      <c r="A41" s="16" t="inlineStr">
        <is>
          <t>SG-2318</t>
        </is>
      </c>
      <c r="B41" s="16" t="inlineStr">
        <is>
          <t>Pro Sonic</t>
        </is>
      </c>
      <c r="C41" s="16" t="inlineStr">
        <is>
          <t>Sonique</t>
        </is>
      </c>
      <c r="D41" s="16" t="inlineStr">
        <is>
          <t>Adulte</t>
        </is>
      </c>
      <c r="E41" s="17" t="n">
        <v>40000</v>
      </c>
      <c r="F41" s="17" t="n">
        <v>40000</v>
      </c>
      <c r="G41" s="18" t="n">
        <v>3</v>
      </c>
      <c r="H41" s="18" t="n">
        <v>90</v>
      </c>
      <c r="I41" s="23" t="inlineStr">
        <is>
          <t>N/D</t>
        </is>
      </c>
      <c r="J41" s="16" t="inlineStr">
        <is>
          <t>Piles (2x AAA)</t>
        </is>
      </c>
      <c r="K41" s="16" t="inlineStr">
        <is>
          <t>Piles</t>
        </is>
      </c>
      <c r="L41" s="22" t="inlineStr">
        <is>
          <t>N/D</t>
        </is>
      </c>
      <c r="M41" s="16" t="inlineStr">
        <is>
          <t>IPX7</t>
        </is>
      </c>
      <c r="N41" s="16" t="inlineStr">
        <is>
          <t>Non</t>
        </is>
      </c>
      <c r="O41" s="16" t="inlineStr">
        <is>
          <t>Aucun</t>
        </is>
      </c>
      <c r="P41" s="16" t="inlineStr">
        <is>
          <t>Oui</t>
        </is>
      </c>
      <c r="Q41" s="19" t="n">
        <v>59.4</v>
      </c>
      <c r="R41" s="16" t="inlineStr">
        <is>
          <t>22*22*218</t>
        </is>
      </c>
      <c r="S41" s="20" t="inlineStr">
        <is>
          <t>Tête de brosse remplaçable, poids indiqué piles comprises</t>
        </is>
      </c>
      <c r="T41" s="21" t="n">
        <v>25</v>
      </c>
      <c r="U41" s="11" t="n"/>
      <c r="V41" s="11" t="n"/>
      <c r="W41" s="11" t="n"/>
      <c r="X41" s="12" t="n"/>
      <c r="Y41" s="12" t="n"/>
      <c r="Z41" s="11" t="n"/>
      <c r="AA41" s="11" t="n"/>
      <c r="AB41" s="11" t="n"/>
      <c r="AC41" s="13">
        <f>IF(OR(Y41="",X41=""),"",Y41-X41)</f>
        <v/>
      </c>
      <c r="AD41" s="14">
        <f>IF(OR(Y41="",X41="",X41=0),"",(Y41-X41)/X41)</f>
        <v/>
      </c>
      <c r="AE41" s="15">
        <f>IF(AD41="","",IF(AD41&lt;-0.05,"Moins cher",IF(AD41&gt;0.05,"Plus cher","Équivalent")))</f>
        <v/>
      </c>
    </row>
    <row r="42">
      <c r="A42" s="4" t="inlineStr">
        <is>
          <t>SG-2319</t>
        </is>
      </c>
      <c r="B42" s="4" t="inlineStr">
        <is>
          <t>Pro Sonic</t>
        </is>
      </c>
      <c r="C42" s="4" t="inlineStr">
        <is>
          <t>Sonique</t>
        </is>
      </c>
      <c r="D42" s="4" t="inlineStr">
        <is>
          <t>Adulte</t>
        </is>
      </c>
      <c r="E42" s="5" t="n">
        <v>40000</v>
      </c>
      <c r="F42" s="5" t="n">
        <v>40000</v>
      </c>
      <c r="G42" s="6" t="n">
        <v>3</v>
      </c>
      <c r="H42" s="6" t="n">
        <v>150</v>
      </c>
      <c r="I42" s="25" t="inlineStr">
        <is>
          <t>N/D</t>
        </is>
      </c>
      <c r="J42" s="4" t="inlineStr">
        <is>
          <t>Piles (2x AA)</t>
        </is>
      </c>
      <c r="K42" s="4" t="inlineStr">
        <is>
          <t>Piles</t>
        </is>
      </c>
      <c r="L42" s="7" t="inlineStr">
        <is>
          <t>N/D</t>
        </is>
      </c>
      <c r="M42" s="4" t="inlineStr">
        <is>
          <t>IPX7</t>
        </is>
      </c>
      <c r="N42" s="4" t="inlineStr">
        <is>
          <t>Non</t>
        </is>
      </c>
      <c r="O42" s="4" t="inlineStr">
        <is>
          <t>Aucun</t>
        </is>
      </c>
      <c r="P42" s="4" t="inlineStr">
        <is>
          <t>Oui</t>
        </is>
      </c>
      <c r="Q42" s="8" t="n">
        <v>91.40000000000001</v>
      </c>
      <c r="R42" s="4" t="inlineStr">
        <is>
          <t>26*26*227</t>
        </is>
      </c>
      <c r="S42" s="9" t="inlineStr">
        <is>
          <t>Tête de brosse remplaçable, poids indiqué piles comprises</t>
        </is>
      </c>
      <c r="T42" s="10" t="n">
        <v>25</v>
      </c>
      <c r="U42" s="11" t="n"/>
      <c r="V42" s="11" t="n"/>
      <c r="W42" s="11" t="n"/>
      <c r="X42" s="12" t="n"/>
      <c r="Y42" s="12" t="n"/>
      <c r="Z42" s="11" t="n"/>
      <c r="AA42" s="11" t="n"/>
      <c r="AB42" s="11" t="n"/>
      <c r="AC42" s="13">
        <f>IF(OR(Y42="",X42=""),"",Y42-X42)</f>
        <v/>
      </c>
      <c r="AD42" s="14">
        <f>IF(OR(Y42="",X42="",X42=0),"",(Y42-X42)/X42)</f>
        <v/>
      </c>
      <c r="AE42" s="15">
        <f>IF(AD42="","",IF(AD42&lt;-0.05,"Moins cher",IF(AD42&gt;0.05,"Plus cher","Équivalent")))</f>
        <v/>
      </c>
    </row>
    <row r="43">
      <c r="A43" s="16" t="inlineStr">
        <is>
          <t>SG-917</t>
        </is>
      </c>
      <c r="B43" s="16" t="inlineStr">
        <is>
          <t>Pro Sonic</t>
        </is>
      </c>
      <c r="C43" s="16" t="inlineStr">
        <is>
          <t>Sonique</t>
        </is>
      </c>
      <c r="D43" s="16" t="inlineStr">
        <is>
          <t>Adulte</t>
        </is>
      </c>
      <c r="E43" s="17" t="n">
        <v>40000</v>
      </c>
      <c r="F43" s="17" t="n">
        <v>40000</v>
      </c>
      <c r="G43" s="18" t="n">
        <v>3</v>
      </c>
      <c r="H43" s="18" t="n">
        <v>25</v>
      </c>
      <c r="I43" s="18" t="n">
        <v>260</v>
      </c>
      <c r="J43" s="16" t="inlineStr">
        <is>
          <t>Batterie Li-ion rechargeable</t>
        </is>
      </c>
      <c r="K43" s="16" t="inlineStr">
        <is>
          <t>Adaptateur DC12V</t>
        </is>
      </c>
      <c r="L43" s="22" t="inlineStr">
        <is>
          <t>N/D</t>
        </is>
      </c>
      <c r="M43" s="16" t="inlineStr">
        <is>
          <t>IPX7</t>
        </is>
      </c>
      <c r="N43" s="16" t="inlineStr">
        <is>
          <t>Non</t>
        </is>
      </c>
      <c r="O43" s="16" t="inlineStr">
        <is>
          <t>Aucun</t>
        </is>
      </c>
      <c r="P43" s="16" t="inlineStr">
        <is>
          <t>Oui</t>
        </is>
      </c>
      <c r="Q43" s="19" t="n">
        <v>227.5</v>
      </c>
      <c r="R43" s="16" t="inlineStr">
        <is>
          <t>126*62*261</t>
        </is>
      </c>
      <c r="S43" s="20" t="inlineStr">
        <is>
          <t>Stérilisateur UVC intégré 6-8 min (99,9 % des germes, dont SARS et H1N1), tube UVC à cathode froide longue durée, 3 modes (super, normal, massage)</t>
        </is>
      </c>
      <c r="T43" s="21" t="n">
        <v>26</v>
      </c>
      <c r="U43" s="11" t="n"/>
      <c r="V43" s="11" t="n"/>
      <c r="W43" s="11" t="n"/>
      <c r="X43" s="12" t="n"/>
      <c r="Y43" s="12" t="n"/>
      <c r="Z43" s="11" t="n"/>
      <c r="AA43" s="11" t="n"/>
      <c r="AB43" s="11" t="n"/>
      <c r="AC43" s="13">
        <f>IF(OR(Y43="",X43=""),"",Y43-X43)</f>
        <v/>
      </c>
      <c r="AD43" s="14">
        <f>IF(OR(Y43="",X43="",X43=0),"",(Y43-X43)/X43)</f>
        <v/>
      </c>
      <c r="AE43" s="15">
        <f>IF(AD43="","",IF(AD43&lt;-0.05,"Moins cher",IF(AD43&gt;0.05,"Plus cher","Équivalent")))</f>
        <v/>
      </c>
    </row>
    <row r="44">
      <c r="A44" s="4" t="inlineStr">
        <is>
          <t>SG-508</t>
        </is>
      </c>
      <c r="B44" s="4" t="inlineStr">
        <is>
          <t>Pro Sonic</t>
        </is>
      </c>
      <c r="C44" s="4" t="inlineStr">
        <is>
          <t>Sonique</t>
        </is>
      </c>
      <c r="D44" s="4" t="inlineStr">
        <is>
          <t>Adulte</t>
        </is>
      </c>
      <c r="E44" s="5" t="n">
        <v>40000</v>
      </c>
      <c r="F44" s="5" t="n">
        <v>40000</v>
      </c>
      <c r="G44" s="6" t="n">
        <v>5</v>
      </c>
      <c r="H44" s="6" t="n">
        <v>25</v>
      </c>
      <c r="I44" s="25" t="inlineStr">
        <is>
          <t>N/D</t>
        </is>
      </c>
      <c r="J44" s="4" t="inlineStr">
        <is>
          <t>Batterie Li-ion rechargeable</t>
        </is>
      </c>
      <c r="K44" s="4" t="inlineStr">
        <is>
          <t>USB + sans fil (socle en option)</t>
        </is>
      </c>
      <c r="L44" s="7" t="inlineStr">
        <is>
          <t>N/D</t>
        </is>
      </c>
      <c r="M44" s="4" t="inlineStr">
        <is>
          <t>IPX7</t>
        </is>
      </c>
      <c r="N44" s="4" t="inlineStr">
        <is>
          <t>Non</t>
        </is>
      </c>
      <c r="O44" s="4" t="inlineStr">
        <is>
          <t>Aucun</t>
        </is>
      </c>
      <c r="P44" s="4" t="inlineStr">
        <is>
          <t>Oui</t>
        </is>
      </c>
      <c r="Q44" s="8" t="n">
        <v>75</v>
      </c>
      <c r="R44" s="4" t="inlineStr">
        <is>
          <t>25.4*26.5*233</t>
        </is>
      </c>
      <c r="S44" s="9" t="inlineStr">
        <is>
          <t>Socle de charge sans fil en option (USB ou inductif), mémoire intelligente</t>
        </is>
      </c>
      <c r="T44" s="10" t="n">
        <v>26</v>
      </c>
      <c r="U44" s="11" t="n"/>
      <c r="V44" s="11" t="n"/>
      <c r="W44" s="11" t="n"/>
      <c r="X44" s="12" t="n"/>
      <c r="Y44" s="12" t="n"/>
      <c r="Z44" s="11" t="n"/>
      <c r="AA44" s="11" t="n"/>
      <c r="AB44" s="11" t="n"/>
      <c r="AC44" s="13">
        <f>IF(OR(Y44="",X44=""),"",Y44-X44)</f>
        <v/>
      </c>
      <c r="AD44" s="14">
        <f>IF(OR(Y44="",X44="",X44=0),"",(Y44-X44)/X44)</f>
        <v/>
      </c>
      <c r="AE44" s="15">
        <f>IF(AD44="","",IF(AD44&lt;-0.05,"Moins cher",IF(AD44&gt;0.05,"Plus cher","Équivalent")))</f>
        <v/>
      </c>
    </row>
    <row r="45">
      <c r="A45" s="16" t="inlineStr">
        <is>
          <t>SG-949</t>
        </is>
      </c>
      <c r="B45" s="16" t="inlineStr">
        <is>
          <t>Pro Sonic</t>
        </is>
      </c>
      <c r="C45" s="16" t="inlineStr">
        <is>
          <t>Sonique</t>
        </is>
      </c>
      <c r="D45" s="16" t="inlineStr">
        <is>
          <t>Adulte</t>
        </is>
      </c>
      <c r="E45" s="17" t="n">
        <v>40000</v>
      </c>
      <c r="F45" s="17" t="n">
        <v>40000</v>
      </c>
      <c r="G45" s="18" t="n">
        <v>5</v>
      </c>
      <c r="H45" s="18" t="n">
        <v>25</v>
      </c>
      <c r="I45" s="18" t="n">
        <v>260</v>
      </c>
      <c r="J45" s="16" t="inlineStr">
        <is>
          <t>Batterie Li-ion rechargeable</t>
        </is>
      </c>
      <c r="K45" s="16" t="inlineStr">
        <is>
          <t>USB</t>
        </is>
      </c>
      <c r="L45" s="22" t="inlineStr">
        <is>
          <t>N/D</t>
        </is>
      </c>
      <c r="M45" s="16" t="inlineStr">
        <is>
          <t>IPX7</t>
        </is>
      </c>
      <c r="N45" s="16" t="inlineStr">
        <is>
          <t>Non</t>
        </is>
      </c>
      <c r="O45" s="16" t="inlineStr">
        <is>
          <t>Aucun</t>
        </is>
      </c>
      <c r="P45" s="16" t="inlineStr">
        <is>
          <t>Oui</t>
        </is>
      </c>
      <c r="Q45" s="19" t="n">
        <v>78.5</v>
      </c>
      <c r="R45" s="16" t="inlineStr">
        <is>
          <t>26.2*26.2*225</t>
        </is>
      </c>
      <c r="S45" s="20" t="inlineStr">
        <is>
          <t>Mémoire intelligente, alerte batterie faible</t>
        </is>
      </c>
      <c r="T45" s="21" t="n">
        <v>27</v>
      </c>
      <c r="U45" s="11" t="n"/>
      <c r="V45" s="11" t="n"/>
      <c r="W45" s="11" t="n"/>
      <c r="X45" s="12" t="n"/>
      <c r="Y45" s="12" t="n"/>
      <c r="Z45" s="11" t="n"/>
      <c r="AA45" s="11" t="n"/>
      <c r="AB45" s="11" t="n"/>
      <c r="AC45" s="13">
        <f>IF(OR(Y45="",X45=""),"",Y45-X45)</f>
        <v/>
      </c>
      <c r="AD45" s="14">
        <f>IF(OR(Y45="",X45="",X45=0),"",(Y45-X45)/X45)</f>
        <v/>
      </c>
      <c r="AE45" s="15">
        <f>IF(AD45="","",IF(AD45&lt;-0.05,"Moins cher",IF(AD45&gt;0.05,"Plus cher","Équivalent")))</f>
        <v/>
      </c>
    </row>
    <row r="46">
      <c r="A46" s="4" t="inlineStr">
        <is>
          <t>SG-575</t>
        </is>
      </c>
      <c r="B46" s="4" t="inlineStr">
        <is>
          <t>Pro Sonic</t>
        </is>
      </c>
      <c r="C46" s="4" t="inlineStr">
        <is>
          <t>Sonique</t>
        </is>
      </c>
      <c r="D46" s="4" t="inlineStr">
        <is>
          <t>Adulte</t>
        </is>
      </c>
      <c r="E46" s="5" t="n">
        <v>40000</v>
      </c>
      <c r="F46" s="5" t="n">
        <v>40000</v>
      </c>
      <c r="G46" s="6" t="n">
        <v>5</v>
      </c>
      <c r="H46" s="6" t="n">
        <v>300</v>
      </c>
      <c r="I46" s="6" t="n">
        <v>1500</v>
      </c>
      <c r="J46" s="4" t="inlineStr">
        <is>
          <t>Batterie Li-ion rechargeable</t>
        </is>
      </c>
      <c r="K46" s="4" t="inlineStr">
        <is>
          <t>USB</t>
        </is>
      </c>
      <c r="L46" s="8" t="n">
        <v>8</v>
      </c>
      <c r="M46" s="4" t="inlineStr">
        <is>
          <t>IPX7</t>
        </is>
      </c>
      <c r="N46" s="4" t="inlineStr">
        <is>
          <t>Non</t>
        </is>
      </c>
      <c r="O46" s="4" t="inlineStr">
        <is>
          <t>Indicateur batterie</t>
        </is>
      </c>
      <c r="P46" s="4" t="inlineStr">
        <is>
          <t>Oui</t>
        </is>
      </c>
      <c r="Q46" s="8" t="n">
        <v>109</v>
      </c>
      <c r="R46" s="4" t="inlineStr">
        <is>
          <t>28.7*266*240 (valeur catalogue)</t>
        </is>
      </c>
      <c r="S46" s="9" t="inlineStr">
        <is>
          <t>Charge 8 h pour 300 jours (2x/j 2 min), batterie surdimensionnée, mémoire intelligente</t>
        </is>
      </c>
      <c r="T46" s="10" t="n">
        <v>27</v>
      </c>
      <c r="U46" s="11" t="n"/>
      <c r="V46" s="11" t="n"/>
      <c r="W46" s="11" t="n"/>
      <c r="X46" s="12" t="n"/>
      <c r="Y46" s="12" t="n"/>
      <c r="Z46" s="11" t="n"/>
      <c r="AA46" s="11" t="n"/>
      <c r="AB46" s="11" t="n"/>
      <c r="AC46" s="13">
        <f>IF(OR(Y46="",X46=""),"",Y46-X46)</f>
        <v/>
      </c>
      <c r="AD46" s="14">
        <f>IF(OR(Y46="",X46="",X46=0),"",(Y46-X46)/X46)</f>
        <v/>
      </c>
      <c r="AE46" s="15">
        <f>IF(AD46="","",IF(AD46&lt;-0.05,"Moins cher",IF(AD46&gt;0.05,"Plus cher","Équivalent")))</f>
        <v/>
      </c>
    </row>
    <row r="47">
      <c r="A47" s="16" t="inlineStr">
        <is>
          <t>SG-2303</t>
        </is>
      </c>
      <c r="B47" s="16" t="inlineStr">
        <is>
          <t>Pro Sonic</t>
        </is>
      </c>
      <c r="C47" s="16" t="inlineStr">
        <is>
          <t>Sonique</t>
        </is>
      </c>
      <c r="D47" s="16" t="inlineStr">
        <is>
          <t>Adulte</t>
        </is>
      </c>
      <c r="E47" s="17" t="n">
        <v>40000</v>
      </c>
      <c r="F47" s="17" t="n">
        <v>40000</v>
      </c>
      <c r="G47" s="18" t="n">
        <v>5</v>
      </c>
      <c r="H47" s="18" t="n">
        <v>60</v>
      </c>
      <c r="I47" s="18" t="n">
        <v>700</v>
      </c>
      <c r="J47" s="16" t="inlineStr">
        <is>
          <t>Batterie Li-ion rechargeable</t>
        </is>
      </c>
      <c r="K47" s="16" t="inlineStr">
        <is>
          <t>USB</t>
        </is>
      </c>
      <c r="L47" s="19" t="n">
        <v>4</v>
      </c>
      <c r="M47" s="16" t="inlineStr">
        <is>
          <t>IPX7</t>
        </is>
      </c>
      <c r="N47" s="16" t="inlineStr">
        <is>
          <t>Non</t>
        </is>
      </c>
      <c r="O47" s="16" t="inlineStr">
        <is>
          <t>Indicateur batterie</t>
        </is>
      </c>
      <c r="P47" s="16" t="inlineStr">
        <is>
          <t>Oui</t>
        </is>
      </c>
      <c r="Q47" s="19" t="n">
        <v>77</v>
      </c>
      <c r="R47" s="16" t="inlineStr">
        <is>
          <t>22.6*23.8*230</t>
        </is>
      </c>
      <c r="S47" s="20" t="inlineStr">
        <is>
          <t>Charge 4 h pour 60 jours (2x/j 2 min), mémoire intelligente</t>
        </is>
      </c>
      <c r="T47" s="21" t="n">
        <v>28</v>
      </c>
      <c r="U47" s="11" t="n"/>
      <c r="V47" s="11" t="n"/>
      <c r="W47" s="11" t="n"/>
      <c r="X47" s="12" t="n"/>
      <c r="Y47" s="12" t="n"/>
      <c r="Z47" s="11" t="n"/>
      <c r="AA47" s="11" t="n"/>
      <c r="AB47" s="11" t="n"/>
      <c r="AC47" s="13">
        <f>IF(OR(Y47="",X47=""),"",Y47-X47)</f>
        <v/>
      </c>
      <c r="AD47" s="14">
        <f>IF(OR(Y47="",X47="",X47=0),"",(Y47-X47)/X47)</f>
        <v/>
      </c>
      <c r="AE47" s="15">
        <f>IF(AD47="","",IF(AD47&lt;-0.05,"Moins cher",IF(AD47&gt;0.05,"Plus cher","Équivalent")))</f>
        <v/>
      </c>
    </row>
    <row r="48">
      <c r="A48" s="4" t="inlineStr">
        <is>
          <t>SG-507</t>
        </is>
      </c>
      <c r="B48" s="4" t="inlineStr">
        <is>
          <t>Pro Sonic</t>
        </is>
      </c>
      <c r="C48" s="4" t="inlineStr">
        <is>
          <t>Sonique</t>
        </is>
      </c>
      <c r="D48" s="4" t="inlineStr">
        <is>
          <t>Adulte</t>
        </is>
      </c>
      <c r="E48" s="5" t="n">
        <v>40000</v>
      </c>
      <c r="F48" s="5" t="n">
        <v>40000</v>
      </c>
      <c r="G48" s="6" t="n">
        <v>5</v>
      </c>
      <c r="H48" s="6" t="n">
        <v>25</v>
      </c>
      <c r="I48" s="6" t="n">
        <v>260</v>
      </c>
      <c r="J48" s="4" t="inlineStr">
        <is>
          <t>Batterie Li-ion rechargeable</t>
        </is>
      </c>
      <c r="K48" s="4" t="inlineStr">
        <is>
          <t>USB + sans fil (socle en option)</t>
        </is>
      </c>
      <c r="L48" s="7" t="inlineStr">
        <is>
          <t>N/D</t>
        </is>
      </c>
      <c r="M48" s="4" t="inlineStr">
        <is>
          <t>IPX7</t>
        </is>
      </c>
      <c r="N48" s="4" t="inlineStr">
        <is>
          <t>Non</t>
        </is>
      </c>
      <c r="O48" s="4" t="inlineStr">
        <is>
          <t>Aucun</t>
        </is>
      </c>
      <c r="P48" s="4" t="inlineStr">
        <is>
          <t>Oui</t>
        </is>
      </c>
      <c r="Q48" s="8" t="n">
        <v>77.5</v>
      </c>
      <c r="R48" s="4" t="inlineStr">
        <is>
          <t>25.6*25.5*225</t>
        </is>
      </c>
      <c r="S48" s="9" t="inlineStr">
        <is>
          <t>Socle de charge sans fil en option (USB ou inductif), mémoire intelligente</t>
        </is>
      </c>
      <c r="T48" s="10" t="n">
        <v>28</v>
      </c>
      <c r="U48" s="11" t="n"/>
      <c r="V48" s="11" t="n"/>
      <c r="W48" s="11" t="n"/>
      <c r="X48" s="12" t="n"/>
      <c r="Y48" s="12" t="n"/>
      <c r="Z48" s="11" t="n"/>
      <c r="AA48" s="11" t="n"/>
      <c r="AB48" s="11" t="n"/>
      <c r="AC48" s="13">
        <f>IF(OR(Y48="",X48=""),"",Y48-X48)</f>
        <v/>
      </c>
      <c r="AD48" s="14">
        <f>IF(OR(Y48="",X48="",X48=0),"",(Y48-X48)/X48)</f>
        <v/>
      </c>
      <c r="AE48" s="15">
        <f>IF(AD48="","",IF(AD48&lt;-0.05,"Moins cher",IF(AD48&gt;0.05,"Plus cher","Équivalent")))</f>
        <v/>
      </c>
    </row>
    <row r="49">
      <c r="A49" s="16" t="inlineStr">
        <is>
          <t>SG-958</t>
        </is>
      </c>
      <c r="B49" s="16" t="inlineStr">
        <is>
          <t>Pro Sonic</t>
        </is>
      </c>
      <c r="C49" s="16" t="inlineStr">
        <is>
          <t>Sonique</t>
        </is>
      </c>
      <c r="D49" s="16" t="inlineStr">
        <is>
          <t>Adulte</t>
        </is>
      </c>
      <c r="E49" s="17" t="n">
        <v>40000</v>
      </c>
      <c r="F49" s="17" t="n">
        <v>40000</v>
      </c>
      <c r="G49" s="18" t="n">
        <v>5</v>
      </c>
      <c r="H49" s="18" t="n">
        <v>25</v>
      </c>
      <c r="I49" s="18" t="n">
        <v>260</v>
      </c>
      <c r="J49" s="16" t="inlineStr">
        <is>
          <t>Batterie Li-ion rechargeable</t>
        </is>
      </c>
      <c r="K49" s="16" t="inlineStr">
        <is>
          <t>USB</t>
        </is>
      </c>
      <c r="L49" s="22" t="inlineStr">
        <is>
          <t>N/D</t>
        </is>
      </c>
      <c r="M49" s="16" t="inlineStr">
        <is>
          <t>IPX7</t>
        </is>
      </c>
      <c r="N49" s="16" t="inlineStr">
        <is>
          <t>Non</t>
        </is>
      </c>
      <c r="O49" s="16" t="inlineStr">
        <is>
          <t>Indicateur batterie</t>
        </is>
      </c>
      <c r="P49" s="16" t="inlineStr">
        <is>
          <t>Oui</t>
        </is>
      </c>
      <c r="Q49" s="19" t="n">
        <v>79</v>
      </c>
      <c r="R49" s="16" t="inlineStr">
        <is>
          <t>27.6*26*227</t>
        </is>
      </c>
      <c r="S49" s="20" t="inlineStr">
        <is>
          <t>Mémoire intelligente, alerte batterie faible</t>
        </is>
      </c>
      <c r="T49" s="21" t="n">
        <v>29</v>
      </c>
      <c r="U49" s="11" t="n"/>
      <c r="V49" s="11" t="n"/>
      <c r="W49" s="11" t="n"/>
      <c r="X49" s="12" t="n"/>
      <c r="Y49" s="12" t="n"/>
      <c r="Z49" s="11" t="n"/>
      <c r="AA49" s="11" t="n"/>
      <c r="AB49" s="11" t="n"/>
      <c r="AC49" s="13">
        <f>IF(OR(Y49="",X49=""),"",Y49-X49)</f>
        <v/>
      </c>
      <c r="AD49" s="14">
        <f>IF(OR(Y49="",X49="",X49=0),"",(Y49-X49)/X49)</f>
        <v/>
      </c>
      <c r="AE49" s="15">
        <f>IF(AD49="","",IF(AD49&lt;-0.05,"Moins cher",IF(AD49&gt;0.05,"Plus cher","Équivalent")))</f>
        <v/>
      </c>
    </row>
    <row r="50">
      <c r="A50" s="4" t="inlineStr">
        <is>
          <t>SG-548</t>
        </is>
      </c>
      <c r="B50" s="4" t="inlineStr">
        <is>
          <t>Pro Sonic</t>
        </is>
      </c>
      <c r="C50" s="4" t="inlineStr">
        <is>
          <t>Sonique</t>
        </is>
      </c>
      <c r="D50" s="4" t="inlineStr">
        <is>
          <t>Adulte</t>
        </is>
      </c>
      <c r="E50" s="5" t="n">
        <v>38000</v>
      </c>
      <c r="F50" s="5" t="n">
        <v>38000</v>
      </c>
      <c r="G50" s="6" t="n">
        <v>5</v>
      </c>
      <c r="H50" s="6" t="n">
        <v>25</v>
      </c>
      <c r="I50" s="6" t="n">
        <v>600</v>
      </c>
      <c r="J50" s="4" t="inlineStr">
        <is>
          <t>Batterie Ni-MH rechargeable</t>
        </is>
      </c>
      <c r="K50" s="4" t="inlineStr">
        <is>
          <t>USB</t>
        </is>
      </c>
      <c r="L50" s="8" t="n">
        <v>4</v>
      </c>
      <c r="M50" s="4" t="inlineStr">
        <is>
          <t>IPX7</t>
        </is>
      </c>
      <c r="N50" s="4" t="inlineStr">
        <is>
          <t>Non</t>
        </is>
      </c>
      <c r="O50" s="4" t="inlineStr">
        <is>
          <t>Aucun</t>
        </is>
      </c>
      <c r="P50" s="4" t="inlineStr">
        <is>
          <t>Oui</t>
        </is>
      </c>
      <c r="Q50" s="8" t="n">
        <v>43</v>
      </c>
      <c r="R50" s="4" t="inlineStr">
        <is>
          <t>D20*227</t>
        </is>
      </c>
      <c r="S50" s="9" t="inlineStr">
        <is>
          <t>Charge rapide 3-4 h pour 25 jours, mémoire intelligente, batterie Ni-MH 1,2 V</t>
        </is>
      </c>
      <c r="T50" s="10" t="n">
        <v>29</v>
      </c>
      <c r="U50" s="11" t="n"/>
      <c r="V50" s="11" t="n"/>
      <c r="W50" s="11" t="n"/>
      <c r="X50" s="12" t="n"/>
      <c r="Y50" s="12" t="n"/>
      <c r="Z50" s="11" t="n"/>
      <c r="AA50" s="11" t="n"/>
      <c r="AB50" s="11" t="n"/>
      <c r="AC50" s="13">
        <f>IF(OR(Y50="",X50=""),"",Y50-X50)</f>
        <v/>
      </c>
      <c r="AD50" s="14">
        <f>IF(OR(Y50="",X50="",X50=0),"",(Y50-X50)/X50)</f>
        <v/>
      </c>
      <c r="AE50" s="15">
        <f>IF(AD50="","",IF(AD50&lt;-0.05,"Moins cher",IF(AD50&gt;0.05,"Plus cher","Équivalent")))</f>
        <v/>
      </c>
    </row>
    <row r="51">
      <c r="A51" s="16" t="inlineStr">
        <is>
          <t>SG-551</t>
        </is>
      </c>
      <c r="B51" s="16" t="inlineStr">
        <is>
          <t>Pro Sonic</t>
        </is>
      </c>
      <c r="C51" s="16" t="inlineStr">
        <is>
          <t>Sonique</t>
        </is>
      </c>
      <c r="D51" s="16" t="inlineStr">
        <is>
          <t>Adulte</t>
        </is>
      </c>
      <c r="E51" s="17" t="n">
        <v>40000</v>
      </c>
      <c r="F51" s="17" t="n">
        <v>40000</v>
      </c>
      <c r="G51" s="18" t="n">
        <v>4</v>
      </c>
      <c r="H51" s="18" t="n">
        <v>25</v>
      </c>
      <c r="I51" s="18" t="n">
        <v>260</v>
      </c>
      <c r="J51" s="16" t="inlineStr">
        <is>
          <t>Batterie Li-ion rechargeable</t>
        </is>
      </c>
      <c r="K51" s="16" t="inlineStr">
        <is>
          <t>USB</t>
        </is>
      </c>
      <c r="L51" s="22" t="inlineStr">
        <is>
          <t>N/D</t>
        </is>
      </c>
      <c r="M51" s="16" t="inlineStr">
        <is>
          <t>IPX7</t>
        </is>
      </c>
      <c r="N51" s="16" t="inlineStr">
        <is>
          <t>Non</t>
        </is>
      </c>
      <c r="O51" s="16" t="inlineStr">
        <is>
          <t>Aucun</t>
        </is>
      </c>
      <c r="P51" s="16" t="inlineStr">
        <is>
          <t>Oui</t>
        </is>
      </c>
      <c r="Q51" s="19" t="n">
        <v>57</v>
      </c>
      <c r="R51" s="16" t="inlineStr">
        <is>
          <t>19.6*20.4*210</t>
        </is>
      </c>
      <c r="S51" s="20" t="inlineStr">
        <is>
          <t>Mémoire intelligente, alerte batterie faible</t>
        </is>
      </c>
      <c r="T51" s="21" t="n">
        <v>30</v>
      </c>
      <c r="U51" s="11" t="n"/>
      <c r="V51" s="11" t="n"/>
      <c r="W51" s="11" t="n"/>
      <c r="X51" s="12" t="n"/>
      <c r="Y51" s="12" t="n"/>
      <c r="Z51" s="11" t="n"/>
      <c r="AA51" s="11" t="n"/>
      <c r="AB51" s="11" t="n"/>
      <c r="AC51" s="13">
        <f>IF(OR(Y51="",X51=""),"",Y51-X51)</f>
        <v/>
      </c>
      <c r="AD51" s="14">
        <f>IF(OR(Y51="",X51="",X51=0),"",(Y51-X51)/X51)</f>
        <v/>
      </c>
      <c r="AE51" s="15">
        <f>IF(AD51="","",IF(AD51&lt;-0.05,"Moins cher",IF(AD51&gt;0.05,"Plus cher","Équivalent")))</f>
        <v/>
      </c>
    </row>
    <row r="52">
      <c r="A52" s="4" t="inlineStr">
        <is>
          <t>SG-2315</t>
        </is>
      </c>
      <c r="B52" s="4" t="inlineStr">
        <is>
          <t>Pro Sonic</t>
        </is>
      </c>
      <c r="C52" s="4" t="inlineStr">
        <is>
          <t>Sonique</t>
        </is>
      </c>
      <c r="D52" s="4" t="inlineStr">
        <is>
          <t>Adulte</t>
        </is>
      </c>
      <c r="E52" s="5" t="n">
        <v>36000</v>
      </c>
      <c r="F52" s="5" t="n">
        <v>36000</v>
      </c>
      <c r="G52" s="6" t="n">
        <v>3</v>
      </c>
      <c r="H52" s="6" t="n">
        <v>25</v>
      </c>
      <c r="I52" s="6" t="n">
        <v>600</v>
      </c>
      <c r="J52" s="4" t="inlineStr">
        <is>
          <t>Batterie Ni-MH rechargeable</t>
        </is>
      </c>
      <c r="K52" s="4" t="inlineStr">
        <is>
          <t>USB</t>
        </is>
      </c>
      <c r="L52" s="7" t="inlineStr">
        <is>
          <t>N/D</t>
        </is>
      </c>
      <c r="M52" s="4" t="inlineStr">
        <is>
          <t>IPX7</t>
        </is>
      </c>
      <c r="N52" s="4" t="inlineStr">
        <is>
          <t>Non</t>
        </is>
      </c>
      <c r="O52" s="4" t="inlineStr">
        <is>
          <t>Aucun</t>
        </is>
      </c>
      <c r="P52" s="4" t="inlineStr">
        <is>
          <t>Oui</t>
        </is>
      </c>
      <c r="Q52" s="8" t="n">
        <v>49</v>
      </c>
      <c r="R52" s="4" t="inlineStr">
        <is>
          <t>229*D20</t>
        </is>
      </c>
      <c r="S52" s="9" t="inlineStr">
        <is>
          <t>Manche fin et léger, impression intégrale du manche possible, mémoire intelligente</t>
        </is>
      </c>
      <c r="T52" s="10" t="n">
        <v>30</v>
      </c>
      <c r="U52" s="11" t="n"/>
      <c r="V52" s="11" t="n"/>
      <c r="W52" s="11" t="n"/>
      <c r="X52" s="12" t="n"/>
      <c r="Y52" s="12" t="n"/>
      <c r="Z52" s="11" t="n"/>
      <c r="AA52" s="11" t="n"/>
      <c r="AB52" s="11" t="n"/>
      <c r="AC52" s="13">
        <f>IF(OR(Y52="",X52=""),"",Y52-X52)</f>
        <v/>
      </c>
      <c r="AD52" s="14">
        <f>IF(OR(Y52="",X52="",X52=0),"",(Y52-X52)/X52)</f>
        <v/>
      </c>
      <c r="AE52" s="15">
        <f>IF(AD52="","",IF(AD52&lt;-0.05,"Moins cher",IF(AD52&gt;0.05,"Plus cher","Équivalent")))</f>
        <v/>
      </c>
    </row>
    <row r="53">
      <c r="A53" s="16" t="inlineStr">
        <is>
          <t>SG-2308</t>
        </is>
      </c>
      <c r="B53" s="16" t="inlineStr">
        <is>
          <t>Pro Sonic</t>
        </is>
      </c>
      <c r="C53" s="16" t="inlineStr">
        <is>
          <t>Sonique</t>
        </is>
      </c>
      <c r="D53" s="16" t="inlineStr">
        <is>
          <t>Adulte</t>
        </is>
      </c>
      <c r="E53" s="17" t="n">
        <v>35000</v>
      </c>
      <c r="F53" s="17" t="n">
        <v>35000</v>
      </c>
      <c r="G53" s="18" t="n">
        <v>5</v>
      </c>
      <c r="H53" s="18" t="n">
        <v>60</v>
      </c>
      <c r="I53" s="18" t="n">
        <v>700</v>
      </c>
      <c r="J53" s="16" t="inlineStr">
        <is>
          <t>Batterie Li-ion rechargeable</t>
        </is>
      </c>
      <c r="K53" s="16" t="inlineStr">
        <is>
          <t>USB</t>
        </is>
      </c>
      <c r="L53" s="19" t="n">
        <v>3</v>
      </c>
      <c r="M53" s="16" t="inlineStr">
        <is>
          <t>IPX7</t>
        </is>
      </c>
      <c r="N53" s="16" t="inlineStr">
        <is>
          <t>Non</t>
        </is>
      </c>
      <c r="O53" s="16" t="inlineStr">
        <is>
          <t>Aucun</t>
        </is>
      </c>
      <c r="P53" s="16" t="inlineStr">
        <is>
          <t>Oui</t>
        </is>
      </c>
      <c r="Q53" s="19" t="n">
        <v>93</v>
      </c>
      <c r="R53" s="16" t="inlineStr">
        <is>
          <t>D25.0*233.5</t>
        </is>
      </c>
      <c r="S53" s="20" t="inlineStr">
        <is>
          <t>Charge rapide 2-3 h pour 60 jours, alerte batterie faible</t>
        </is>
      </c>
      <c r="T53" s="21" t="n">
        <v>31</v>
      </c>
      <c r="U53" s="11" t="n"/>
      <c r="V53" s="11" t="n"/>
      <c r="W53" s="11" t="n"/>
      <c r="X53" s="12" t="n"/>
      <c r="Y53" s="12" t="n"/>
      <c r="Z53" s="11" t="n"/>
      <c r="AA53" s="11" t="n"/>
      <c r="AB53" s="11" t="n"/>
      <c r="AC53" s="13">
        <f>IF(OR(Y53="",X53=""),"",Y53-X53)</f>
        <v/>
      </c>
      <c r="AD53" s="14">
        <f>IF(OR(Y53="",X53="",X53=0),"",(Y53-X53)/X53)</f>
        <v/>
      </c>
      <c r="AE53" s="15">
        <f>IF(AD53="","",IF(AD53&lt;-0.05,"Moins cher",IF(AD53&gt;0.05,"Plus cher","Équivalent")))</f>
        <v/>
      </c>
    </row>
    <row r="54">
      <c r="A54" s="4" t="inlineStr">
        <is>
          <t>SG-515</t>
        </is>
      </c>
      <c r="B54" s="4" t="inlineStr">
        <is>
          <t>Pro Sonic</t>
        </is>
      </c>
      <c r="C54" s="4" t="inlineStr">
        <is>
          <t>Sonique</t>
        </is>
      </c>
      <c r="D54" s="4" t="inlineStr">
        <is>
          <t>Adulte</t>
        </is>
      </c>
      <c r="E54" s="5" t="n">
        <v>40000</v>
      </c>
      <c r="F54" s="5" t="n">
        <v>40000</v>
      </c>
      <c r="G54" s="6" t="n">
        <v>3</v>
      </c>
      <c r="H54" s="6" t="n">
        <v>25</v>
      </c>
      <c r="I54" s="6" t="n">
        <v>260</v>
      </c>
      <c r="J54" s="4" t="inlineStr">
        <is>
          <t>Batterie Li-ion rechargeable</t>
        </is>
      </c>
      <c r="K54" s="4" t="inlineStr">
        <is>
          <t>USB</t>
        </is>
      </c>
      <c r="L54" s="7" t="inlineStr">
        <is>
          <t>N/D</t>
        </is>
      </c>
      <c r="M54" s="4" t="inlineStr">
        <is>
          <t>IPX6</t>
        </is>
      </c>
      <c r="N54" s="4" t="inlineStr">
        <is>
          <t>Non</t>
        </is>
      </c>
      <c r="O54" s="4" t="inlineStr">
        <is>
          <t>Aucun</t>
        </is>
      </c>
      <c r="P54" s="4" t="inlineStr">
        <is>
          <t>Oui</t>
        </is>
      </c>
      <c r="Q54" s="8" t="n">
        <v>51.5</v>
      </c>
      <c r="R54" s="4" t="inlineStr">
        <is>
          <t>19.6*23.2*192</t>
        </is>
      </c>
      <c r="S54" s="9" t="inlineStr">
        <is>
          <t>Format voyage, mémoire intelligente, alerte batterie faible</t>
        </is>
      </c>
      <c r="T54" s="10" t="n">
        <v>31</v>
      </c>
      <c r="U54" s="11" t="n"/>
      <c r="V54" s="11" t="n"/>
      <c r="W54" s="11" t="n"/>
      <c r="X54" s="12" t="n"/>
      <c r="Y54" s="12" t="n"/>
      <c r="Z54" s="11" t="n"/>
      <c r="AA54" s="11" t="n"/>
      <c r="AB54" s="11" t="n"/>
      <c r="AC54" s="13">
        <f>IF(OR(Y54="",X54=""),"",Y54-X54)</f>
        <v/>
      </c>
      <c r="AD54" s="14">
        <f>IF(OR(Y54="",X54="",X54=0),"",(Y54-X54)/X54)</f>
        <v/>
      </c>
      <c r="AE54" s="15">
        <f>IF(AD54="","",IF(AD54&lt;-0.05,"Moins cher",IF(AD54&gt;0.05,"Plus cher","Équivalent")))</f>
        <v/>
      </c>
    </row>
    <row r="55">
      <c r="A55" s="16" t="inlineStr">
        <is>
          <t>SG-910</t>
        </is>
      </c>
      <c r="B55" s="16" t="inlineStr">
        <is>
          <t>Pro Sonic</t>
        </is>
      </c>
      <c r="C55" s="16" t="inlineStr">
        <is>
          <t>Sonique</t>
        </is>
      </c>
      <c r="D55" s="16" t="inlineStr">
        <is>
          <t>Adulte</t>
        </is>
      </c>
      <c r="E55" s="17" t="n">
        <v>40000</v>
      </c>
      <c r="F55" s="17" t="n">
        <v>40000</v>
      </c>
      <c r="G55" s="18" t="n">
        <v>2</v>
      </c>
      <c r="H55" s="18" t="n">
        <v>150</v>
      </c>
      <c r="I55" s="23" t="inlineStr">
        <is>
          <t>N/D</t>
        </is>
      </c>
      <c r="J55" s="16" t="inlineStr">
        <is>
          <t>Piles (2x AA)</t>
        </is>
      </c>
      <c r="K55" s="16" t="inlineStr">
        <is>
          <t>Piles</t>
        </is>
      </c>
      <c r="L55" s="22" t="inlineStr">
        <is>
          <t>N/D</t>
        </is>
      </c>
      <c r="M55" s="16" t="inlineStr">
        <is>
          <t>IPX7</t>
        </is>
      </c>
      <c r="N55" s="16" t="inlineStr">
        <is>
          <t>Non</t>
        </is>
      </c>
      <c r="O55" s="16" t="inlineStr">
        <is>
          <t>Aucun</t>
        </is>
      </c>
      <c r="P55" s="16" t="inlineStr">
        <is>
          <t>Oui</t>
        </is>
      </c>
      <c r="Q55" s="19" t="n">
        <v>45</v>
      </c>
      <c r="R55" s="16" t="inlineStr">
        <is>
          <t>26*26*228</t>
        </is>
      </c>
      <c r="S55" s="20" t="inlineStr">
        <is>
          <t>Tête de brosse remplaçable</t>
        </is>
      </c>
      <c r="T55" s="21" t="n">
        <v>32</v>
      </c>
      <c r="U55" s="11" t="n"/>
      <c r="V55" s="11" t="n"/>
      <c r="W55" s="11" t="n"/>
      <c r="X55" s="12" t="n"/>
      <c r="Y55" s="12" t="n"/>
      <c r="Z55" s="11" t="n"/>
      <c r="AA55" s="11" t="n"/>
      <c r="AB55" s="11" t="n"/>
      <c r="AC55" s="13">
        <f>IF(OR(Y55="",X55=""),"",Y55-X55)</f>
        <v/>
      </c>
      <c r="AD55" s="14">
        <f>IF(OR(Y55="",X55="",X55=0),"",(Y55-X55)/X55)</f>
        <v/>
      </c>
      <c r="AE55" s="15">
        <f>IF(AD55="","",IF(AD55&lt;-0.05,"Moins cher",IF(AD55&gt;0.05,"Plus cher","Équivalent")))</f>
        <v/>
      </c>
    </row>
    <row r="56">
      <c r="A56" s="4" t="inlineStr">
        <is>
          <t>SG-959</t>
        </is>
      </c>
      <c r="B56" s="4" t="inlineStr">
        <is>
          <t>Pro Sonic</t>
        </is>
      </c>
      <c r="C56" s="4" t="inlineStr">
        <is>
          <t>Sonique</t>
        </is>
      </c>
      <c r="D56" s="4" t="inlineStr">
        <is>
          <t>Adulte</t>
        </is>
      </c>
      <c r="E56" s="5" t="n">
        <v>40000</v>
      </c>
      <c r="F56" s="5" t="n">
        <v>40000</v>
      </c>
      <c r="G56" s="6" t="n">
        <v>3</v>
      </c>
      <c r="H56" s="6" t="n">
        <v>90</v>
      </c>
      <c r="I56" s="25" t="inlineStr">
        <is>
          <t>N/D</t>
        </is>
      </c>
      <c r="J56" s="4" t="inlineStr">
        <is>
          <t>Piles (2x AAA)</t>
        </is>
      </c>
      <c r="K56" s="4" t="inlineStr">
        <is>
          <t>Piles</t>
        </is>
      </c>
      <c r="L56" s="7" t="inlineStr">
        <is>
          <t>N/D</t>
        </is>
      </c>
      <c r="M56" s="4" t="inlineStr">
        <is>
          <t>IPX7</t>
        </is>
      </c>
      <c r="N56" s="4" t="inlineStr">
        <is>
          <t>Non</t>
        </is>
      </c>
      <c r="O56" s="4" t="inlineStr">
        <is>
          <t>Aucun</t>
        </is>
      </c>
      <c r="P56" s="4" t="inlineStr">
        <is>
          <t>Oui</t>
        </is>
      </c>
      <c r="Q56" s="8" t="n">
        <v>35.5</v>
      </c>
      <c r="R56" s="4" t="inlineStr">
        <is>
          <t>22*22*218</t>
        </is>
      </c>
      <c r="S56" s="9" t="inlineStr">
        <is>
          <t>Tête de brosse remplaçable, fonction mémoire</t>
        </is>
      </c>
      <c r="T56" s="10" t="n">
        <v>32</v>
      </c>
      <c r="U56" s="11" t="n"/>
      <c r="V56" s="11" t="n"/>
      <c r="W56" s="11" t="n"/>
      <c r="X56" s="12" t="n"/>
      <c r="Y56" s="12" t="n"/>
      <c r="Z56" s="11" t="n"/>
      <c r="AA56" s="11" t="n"/>
      <c r="AB56" s="11" t="n"/>
      <c r="AC56" s="13">
        <f>IF(OR(Y56="",X56=""),"",Y56-X56)</f>
        <v/>
      </c>
      <c r="AD56" s="14">
        <f>IF(OR(Y56="",X56="",X56=0),"",(Y56-X56)/X56)</f>
        <v/>
      </c>
      <c r="AE56" s="15">
        <f>IF(AD56="","",IF(AD56&lt;-0.05,"Moins cher",IF(AD56&gt;0.05,"Plus cher","Équivalent")))</f>
        <v/>
      </c>
    </row>
    <row r="57">
      <c r="A57" s="16" t="inlineStr">
        <is>
          <t>SG-549</t>
        </is>
      </c>
      <c r="B57" s="16" t="inlineStr">
        <is>
          <t>Pro Sonic</t>
        </is>
      </c>
      <c r="C57" s="16" t="inlineStr">
        <is>
          <t>Sonique</t>
        </is>
      </c>
      <c r="D57" s="16" t="inlineStr">
        <is>
          <t>Adulte</t>
        </is>
      </c>
      <c r="E57" s="17" t="n">
        <v>40000</v>
      </c>
      <c r="F57" s="17" t="n">
        <v>40000</v>
      </c>
      <c r="G57" s="18" t="n">
        <v>3</v>
      </c>
      <c r="H57" s="18" t="n">
        <v>90</v>
      </c>
      <c r="I57" s="23" t="inlineStr">
        <is>
          <t>N/D</t>
        </is>
      </c>
      <c r="J57" s="16" t="inlineStr">
        <is>
          <t>Piles (2x AAA)</t>
        </is>
      </c>
      <c r="K57" s="16" t="inlineStr">
        <is>
          <t>Piles</t>
        </is>
      </c>
      <c r="L57" s="22" t="inlineStr">
        <is>
          <t>N/D</t>
        </is>
      </c>
      <c r="M57" s="16" t="inlineStr">
        <is>
          <t>IPX7</t>
        </is>
      </c>
      <c r="N57" s="16" t="inlineStr">
        <is>
          <t>Non</t>
        </is>
      </c>
      <c r="O57" s="16" t="inlineStr">
        <is>
          <t>Aucun</t>
        </is>
      </c>
      <c r="P57" s="16" t="inlineStr">
        <is>
          <t>Oui</t>
        </is>
      </c>
      <c r="Q57" s="19" t="n">
        <v>34</v>
      </c>
      <c r="R57" s="16" t="inlineStr">
        <is>
          <t>19.9*20.8*220</t>
        </is>
      </c>
      <c r="S57" s="20" t="inlineStr">
        <is>
          <t>Tête de brosse remplaçable, fonction mémoire</t>
        </is>
      </c>
      <c r="T57" s="21" t="n">
        <v>33</v>
      </c>
      <c r="U57" s="11" t="n"/>
      <c r="V57" s="11" t="n"/>
      <c r="W57" s="11" t="n"/>
      <c r="X57" s="12" t="n"/>
      <c r="Y57" s="12" t="n"/>
      <c r="Z57" s="11" t="n"/>
      <c r="AA57" s="11" t="n"/>
      <c r="AB57" s="11" t="n"/>
      <c r="AC57" s="13">
        <f>IF(OR(Y57="",X57=""),"",Y57-X57)</f>
        <v/>
      </c>
      <c r="AD57" s="14">
        <f>IF(OR(Y57="",X57="",X57=0),"",(Y57-X57)/X57)</f>
        <v/>
      </c>
      <c r="AE57" s="15">
        <f>IF(AD57="","",IF(AD57&lt;-0.05,"Moins cher",IF(AD57&gt;0.05,"Plus cher","Équivalent")))</f>
        <v/>
      </c>
    </row>
    <row r="58">
      <c r="A58" s="4" t="inlineStr">
        <is>
          <t>SG-2011</t>
        </is>
      </c>
      <c r="B58" s="4" t="inlineStr">
        <is>
          <t>Pro Sonic</t>
        </is>
      </c>
      <c r="C58" s="4" t="inlineStr">
        <is>
          <t>Sonique</t>
        </is>
      </c>
      <c r="D58" s="4" t="inlineStr">
        <is>
          <t>Adulte</t>
        </is>
      </c>
      <c r="E58" s="5" t="n">
        <v>40000</v>
      </c>
      <c r="F58" s="5" t="n">
        <v>40000</v>
      </c>
      <c r="G58" s="6" t="n">
        <v>5</v>
      </c>
      <c r="H58" s="6" t="n">
        <v>90</v>
      </c>
      <c r="I58" s="25" t="inlineStr">
        <is>
          <t>N/D</t>
        </is>
      </c>
      <c r="J58" s="4" t="inlineStr">
        <is>
          <t>Piles (2x AAA)</t>
        </is>
      </c>
      <c r="K58" s="4" t="inlineStr">
        <is>
          <t>Piles</t>
        </is>
      </c>
      <c r="L58" s="7" t="inlineStr">
        <is>
          <t>N/D</t>
        </is>
      </c>
      <c r="M58" s="4" t="inlineStr">
        <is>
          <t>IPX7</t>
        </is>
      </c>
      <c r="N58" s="4" t="inlineStr">
        <is>
          <t>Non</t>
        </is>
      </c>
      <c r="O58" s="4" t="inlineStr">
        <is>
          <t>Aucun</t>
        </is>
      </c>
      <c r="P58" s="4" t="inlineStr">
        <is>
          <t>Oui</t>
        </is>
      </c>
      <c r="Q58" s="8" t="n">
        <v>36.5</v>
      </c>
      <c r="R58" s="4" t="inlineStr">
        <is>
          <t>21*20.9*218</t>
        </is>
      </c>
      <c r="S58" s="9" t="inlineStr">
        <is>
          <t>Tête de brosse remplaçable</t>
        </is>
      </c>
      <c r="T58" s="10" t="n">
        <v>33</v>
      </c>
      <c r="U58" s="11" t="n"/>
      <c r="V58" s="11" t="n"/>
      <c r="W58" s="11" t="n"/>
      <c r="X58" s="12" t="n"/>
      <c r="Y58" s="12" t="n"/>
      <c r="Z58" s="11" t="n"/>
      <c r="AA58" s="11" t="n"/>
      <c r="AB58" s="11" t="n"/>
      <c r="AC58" s="13">
        <f>IF(OR(Y58="",X58=""),"",Y58-X58)</f>
        <v/>
      </c>
      <c r="AD58" s="14">
        <f>IF(OR(Y58="",X58="",X58=0),"",(Y58-X58)/X58)</f>
        <v/>
      </c>
      <c r="AE58" s="15">
        <f>IF(AD58="","",IF(AD58&lt;-0.05,"Moins cher",IF(AD58&gt;0.05,"Plus cher","Équivalent")))</f>
        <v/>
      </c>
    </row>
    <row r="59">
      <c r="A59" s="16" t="inlineStr">
        <is>
          <t>SG-503</t>
        </is>
      </c>
      <c r="B59" s="16" t="inlineStr">
        <is>
          <t>Pro Sonic</t>
        </is>
      </c>
      <c r="C59" s="16" t="inlineStr">
        <is>
          <t>Sonique</t>
        </is>
      </c>
      <c r="D59" s="16" t="inlineStr">
        <is>
          <t>Adulte</t>
        </is>
      </c>
      <c r="E59" s="17" t="n">
        <v>40000</v>
      </c>
      <c r="F59" s="17" t="n">
        <v>40000</v>
      </c>
      <c r="G59" s="23" t="inlineStr">
        <is>
          <t>N/D</t>
        </is>
      </c>
      <c r="H59" s="18" t="n">
        <v>90</v>
      </c>
      <c r="I59" s="23" t="inlineStr">
        <is>
          <t>N/D</t>
        </is>
      </c>
      <c r="J59" s="16" t="inlineStr">
        <is>
          <t>Piles (2x AAA)</t>
        </is>
      </c>
      <c r="K59" s="16" t="inlineStr">
        <is>
          <t>Piles</t>
        </is>
      </c>
      <c r="L59" s="22" t="inlineStr">
        <is>
          <t>N/D</t>
        </is>
      </c>
      <c r="M59" s="16" t="inlineStr">
        <is>
          <t>IPX7</t>
        </is>
      </c>
      <c r="N59" s="16" t="inlineStr">
        <is>
          <t>Non</t>
        </is>
      </c>
      <c r="O59" s="16" t="inlineStr">
        <is>
          <t>Aucun</t>
        </is>
      </c>
      <c r="P59" s="16" t="inlineStr">
        <is>
          <t>Non</t>
        </is>
      </c>
      <c r="Q59" s="19" t="n">
        <v>37.5</v>
      </c>
      <c r="R59" s="16" t="inlineStr">
        <is>
          <t>25*25*219</t>
        </is>
      </c>
      <c r="S59" s="20" t="inlineStr">
        <is>
          <t>Commande à un seul bouton, tête de brosse remplaçable</t>
        </is>
      </c>
      <c r="T59" s="21" t="n">
        <v>34</v>
      </c>
      <c r="U59" s="11" t="n"/>
      <c r="V59" s="11" t="n"/>
      <c r="W59" s="11" t="n"/>
      <c r="X59" s="12" t="n"/>
      <c r="Y59" s="12" t="n"/>
      <c r="Z59" s="11" t="n"/>
      <c r="AA59" s="11" t="n"/>
      <c r="AB59" s="11" t="n"/>
      <c r="AC59" s="13">
        <f>IF(OR(Y59="",X59=""),"",Y59-X59)</f>
        <v/>
      </c>
      <c r="AD59" s="14">
        <f>IF(OR(Y59="",X59="",X59=0),"",(Y59-X59)/X59)</f>
        <v/>
      </c>
      <c r="AE59" s="15">
        <f>IF(AD59="","",IF(AD59&lt;-0.05,"Moins cher",IF(AD59&gt;0.05,"Plus cher","Équivalent")))</f>
        <v/>
      </c>
    </row>
    <row r="60">
      <c r="A60" s="4" t="inlineStr">
        <is>
          <t>SG-2301</t>
        </is>
      </c>
      <c r="B60" s="4" t="inlineStr">
        <is>
          <t>Pro Sonic</t>
        </is>
      </c>
      <c r="C60" s="4" t="inlineStr">
        <is>
          <t>Sonique</t>
        </is>
      </c>
      <c r="D60" s="4" t="inlineStr">
        <is>
          <t>Adulte</t>
        </is>
      </c>
      <c r="E60" s="5" t="n">
        <v>40000</v>
      </c>
      <c r="F60" s="5" t="n">
        <v>40000</v>
      </c>
      <c r="G60" s="25" t="inlineStr">
        <is>
          <t>N/D</t>
        </is>
      </c>
      <c r="H60" s="6" t="n">
        <v>90</v>
      </c>
      <c r="I60" s="25" t="inlineStr">
        <is>
          <t>N/D</t>
        </is>
      </c>
      <c r="J60" s="4" t="inlineStr">
        <is>
          <t>Piles (2x AAA)</t>
        </is>
      </c>
      <c r="K60" s="4" t="inlineStr">
        <is>
          <t>Piles</t>
        </is>
      </c>
      <c r="L60" s="7" t="inlineStr">
        <is>
          <t>N/D</t>
        </is>
      </c>
      <c r="M60" s="4" t="inlineStr">
        <is>
          <t>IPX7</t>
        </is>
      </c>
      <c r="N60" s="4" t="inlineStr">
        <is>
          <t>Non</t>
        </is>
      </c>
      <c r="O60" s="4" t="inlineStr">
        <is>
          <t>Aucun</t>
        </is>
      </c>
      <c r="P60" s="4" t="inlineStr">
        <is>
          <t>Non</t>
        </is>
      </c>
      <c r="Q60" s="8" t="n">
        <v>35</v>
      </c>
      <c r="R60" s="4" t="inlineStr">
        <is>
          <t>22.4*22.4*217.6</t>
        </is>
      </c>
      <c r="S60" s="9" t="inlineStr">
        <is>
          <t>Manche fin et léger, commande à un seul bouton, tête remplaçable</t>
        </is>
      </c>
      <c r="T60" s="10" t="n">
        <v>34</v>
      </c>
      <c r="U60" s="11" t="n"/>
      <c r="V60" s="11" t="n"/>
      <c r="W60" s="11" t="n"/>
      <c r="X60" s="12" t="n"/>
      <c r="Y60" s="12" t="n"/>
      <c r="Z60" s="11" t="n"/>
      <c r="AA60" s="11" t="n"/>
      <c r="AB60" s="11" t="n"/>
      <c r="AC60" s="13">
        <f>IF(OR(Y60="",X60=""),"",Y60-X60)</f>
        <v/>
      </c>
      <c r="AD60" s="14">
        <f>IF(OR(Y60="",X60="",X60=0),"",(Y60-X60)/X60)</f>
        <v/>
      </c>
      <c r="AE60" s="15">
        <f>IF(AD60="","",IF(AD60&lt;-0.05,"Moins cher",IF(AD60&gt;0.05,"Plus cher","Équivalent")))</f>
        <v/>
      </c>
    </row>
    <row r="61">
      <c r="A61" s="16" t="inlineStr">
        <is>
          <t>SG-552</t>
        </is>
      </c>
      <c r="B61" s="16" t="inlineStr">
        <is>
          <t>Pro Sonic</t>
        </is>
      </c>
      <c r="C61" s="16" t="inlineStr">
        <is>
          <t>Sonique</t>
        </is>
      </c>
      <c r="D61" s="16" t="inlineStr">
        <is>
          <t>Adulte</t>
        </is>
      </c>
      <c r="E61" s="17" t="n">
        <v>28000</v>
      </c>
      <c r="F61" s="17" t="n">
        <v>28000</v>
      </c>
      <c r="G61" s="23" t="inlineStr">
        <is>
          <t>N/D</t>
        </is>
      </c>
      <c r="H61" s="18" t="n">
        <v>150</v>
      </c>
      <c r="I61" s="23" t="inlineStr">
        <is>
          <t>N/D</t>
        </is>
      </c>
      <c r="J61" s="16" t="inlineStr">
        <is>
          <t>Pile (1x AA)</t>
        </is>
      </c>
      <c r="K61" s="16" t="inlineStr">
        <is>
          <t>Piles</t>
        </is>
      </c>
      <c r="L61" s="22" t="inlineStr">
        <is>
          <t>N/D</t>
        </is>
      </c>
      <c r="M61" s="16" t="inlineStr">
        <is>
          <t>IPX7</t>
        </is>
      </c>
      <c r="N61" s="16" t="inlineStr">
        <is>
          <t>Non</t>
        </is>
      </c>
      <c r="O61" s="16" t="inlineStr">
        <is>
          <t>Aucun</t>
        </is>
      </c>
      <c r="P61" s="16" t="inlineStr">
        <is>
          <t>Non</t>
        </is>
      </c>
      <c r="Q61" s="19" t="n">
        <v>29.5</v>
      </c>
      <c r="R61" s="16" t="inlineStr">
        <is>
          <t>20*20*222</t>
        </is>
      </c>
      <c r="S61" s="20" t="inlineStr">
        <is>
          <t>Manche fin et léger, tête de brosse remplaçable</t>
        </is>
      </c>
      <c r="T61" s="21" t="n">
        <v>35</v>
      </c>
      <c r="U61" s="11" t="n"/>
      <c r="V61" s="11" t="n"/>
      <c r="W61" s="11" t="n"/>
      <c r="X61" s="12" t="n"/>
      <c r="Y61" s="12" t="n"/>
      <c r="Z61" s="11" t="n"/>
      <c r="AA61" s="11" t="n"/>
      <c r="AB61" s="11" t="n"/>
      <c r="AC61" s="13">
        <f>IF(OR(Y61="",X61=""),"",Y61-X61)</f>
        <v/>
      </c>
      <c r="AD61" s="14">
        <f>IF(OR(Y61="",X61="",X61=0),"",(Y61-X61)/X61)</f>
        <v/>
      </c>
      <c r="AE61" s="15">
        <f>IF(AD61="","",IF(AD61&lt;-0.05,"Moins cher",IF(AD61&gt;0.05,"Plus cher","Équivalent")))</f>
        <v/>
      </c>
    </row>
    <row r="62">
      <c r="A62" s="4" t="inlineStr">
        <is>
          <t>SG-2309</t>
        </is>
      </c>
      <c r="B62" s="4" t="inlineStr">
        <is>
          <t>Pro Sonic</t>
        </is>
      </c>
      <c r="C62" s="4" t="inlineStr">
        <is>
          <t>Sonique</t>
        </is>
      </c>
      <c r="D62" s="4" t="inlineStr">
        <is>
          <t>Adulte</t>
        </is>
      </c>
      <c r="E62" s="5" t="n">
        <v>40000</v>
      </c>
      <c r="F62" s="5" t="n">
        <v>40000</v>
      </c>
      <c r="G62" s="25" t="inlineStr">
        <is>
          <t>N/D</t>
        </is>
      </c>
      <c r="H62" s="6" t="n">
        <v>90</v>
      </c>
      <c r="I62" s="25" t="inlineStr">
        <is>
          <t>N/D</t>
        </is>
      </c>
      <c r="J62" s="4" t="inlineStr">
        <is>
          <t>Piles (2x AAA)</t>
        </is>
      </c>
      <c r="K62" s="4" t="inlineStr">
        <is>
          <t>Piles</t>
        </is>
      </c>
      <c r="L62" s="7" t="inlineStr">
        <is>
          <t>N/D</t>
        </is>
      </c>
      <c r="M62" s="4" t="inlineStr">
        <is>
          <t>IPX7</t>
        </is>
      </c>
      <c r="N62" s="4" t="inlineStr">
        <is>
          <t>Non</t>
        </is>
      </c>
      <c r="O62" s="4" t="inlineStr">
        <is>
          <t>Aucun</t>
        </is>
      </c>
      <c r="P62" s="4" t="inlineStr">
        <is>
          <t>Non</t>
        </is>
      </c>
      <c r="Q62" s="8" t="n">
        <v>43.5</v>
      </c>
      <c r="R62" s="4" t="inlineStr">
        <is>
          <t>19.9*20.8*220</t>
        </is>
      </c>
      <c r="S62" s="9" t="inlineStr">
        <is>
          <t>Commande à un seul bouton, manche fin et léger, tête remplaçable</t>
        </is>
      </c>
      <c r="T62" s="10" t="n">
        <v>35</v>
      </c>
      <c r="U62" s="11" t="n"/>
      <c r="V62" s="11" t="n"/>
      <c r="W62" s="11" t="n"/>
      <c r="X62" s="12" t="n"/>
      <c r="Y62" s="12" t="n"/>
      <c r="Z62" s="11" t="n"/>
      <c r="AA62" s="11" t="n"/>
      <c r="AB62" s="11" t="n"/>
      <c r="AC62" s="13">
        <f>IF(OR(Y62="",X62=""),"",Y62-X62)</f>
        <v/>
      </c>
      <c r="AD62" s="14">
        <f>IF(OR(Y62="",X62="",X62=0),"",(Y62-X62)/X62)</f>
        <v/>
      </c>
      <c r="AE62" s="15">
        <f>IF(AD62="","",IF(AD62&lt;-0.05,"Moins cher",IF(AD62&gt;0.05,"Plus cher","Équivalent")))</f>
        <v/>
      </c>
    </row>
    <row r="63">
      <c r="A63" s="16" t="inlineStr">
        <is>
          <t>SG-983</t>
        </is>
      </c>
      <c r="B63" s="16" t="inlineStr">
        <is>
          <t>Pro Sonic</t>
        </is>
      </c>
      <c r="C63" s="16" t="inlineStr">
        <is>
          <t>Sonique</t>
        </is>
      </c>
      <c r="D63" s="16" t="inlineStr">
        <is>
          <t>Adulte</t>
        </is>
      </c>
      <c r="E63" s="17" t="n">
        <v>32000</v>
      </c>
      <c r="F63" s="17" t="n">
        <v>32000</v>
      </c>
      <c r="G63" s="18" t="n">
        <v>2</v>
      </c>
      <c r="H63" s="18" t="n">
        <v>25</v>
      </c>
      <c r="I63" s="18" t="n">
        <v>260</v>
      </c>
      <c r="J63" s="16" t="inlineStr">
        <is>
          <t>Batterie Li-ion rechargeable</t>
        </is>
      </c>
      <c r="K63" s="16" t="inlineStr">
        <is>
          <t>Inductive (socle)</t>
        </is>
      </c>
      <c r="L63" s="22" t="inlineStr">
        <is>
          <t>N/D</t>
        </is>
      </c>
      <c r="M63" s="16" t="inlineStr">
        <is>
          <t>IPX7</t>
        </is>
      </c>
      <c r="N63" s="16" t="inlineStr">
        <is>
          <t>Non</t>
        </is>
      </c>
      <c r="O63" s="16" t="inlineStr">
        <is>
          <t>Aucun</t>
        </is>
      </c>
      <c r="P63" s="16" t="inlineStr">
        <is>
          <t>Oui</t>
        </is>
      </c>
      <c r="Q63" s="19" t="n">
        <v>74</v>
      </c>
      <c r="R63" s="16" t="inlineStr">
        <is>
          <t>26.3*28.0*231.7</t>
        </is>
      </c>
      <c r="S63" s="20" t="inlineStr">
        <is>
          <t>2 LED bleues de blanchiment activant les agents blanchissants du dentifrice, mémoire intelligente</t>
        </is>
      </c>
      <c r="T63" s="21" t="n">
        <v>36</v>
      </c>
      <c r="U63" s="11" t="n"/>
      <c r="V63" s="11" t="n"/>
      <c r="W63" s="11" t="n"/>
      <c r="X63" s="12" t="n"/>
      <c r="Y63" s="12" t="n"/>
      <c r="Z63" s="11" t="n"/>
      <c r="AA63" s="11" t="n"/>
      <c r="AB63" s="11" t="n"/>
      <c r="AC63" s="13">
        <f>IF(OR(Y63="",X63=""),"",Y63-X63)</f>
        <v/>
      </c>
      <c r="AD63" s="14">
        <f>IF(OR(Y63="",X63="",X63=0),"",(Y63-X63)/X63)</f>
        <v/>
      </c>
      <c r="AE63" s="15">
        <f>IF(AD63="","",IF(AD63&lt;-0.05,"Moins cher",IF(AD63&gt;0.05,"Plus cher","Équivalent")))</f>
        <v/>
      </c>
    </row>
    <row r="64">
      <c r="A64" s="4" t="inlineStr">
        <is>
          <t>SG-501</t>
        </is>
      </c>
      <c r="B64" s="4" t="inlineStr">
        <is>
          <t>Daily Clean</t>
        </is>
      </c>
      <c r="C64" s="4" t="inlineStr">
        <is>
          <t>Sonique</t>
        </is>
      </c>
      <c r="D64" s="4" t="inlineStr">
        <is>
          <t>Adulte</t>
        </is>
      </c>
      <c r="E64" s="5" t="n">
        <v>28000</v>
      </c>
      <c r="F64" s="5" t="n">
        <v>28000</v>
      </c>
      <c r="G64" s="6" t="n">
        <v>2</v>
      </c>
      <c r="H64" s="6" t="n">
        <v>120</v>
      </c>
      <c r="I64" s="25" t="inlineStr">
        <is>
          <t>N/D</t>
        </is>
      </c>
      <c r="J64" s="4" t="inlineStr">
        <is>
          <t>Pile (1x AAA)</t>
        </is>
      </c>
      <c r="K64" s="4" t="inlineStr">
        <is>
          <t>Piles</t>
        </is>
      </c>
      <c r="L64" s="7" t="inlineStr">
        <is>
          <t>N/D</t>
        </is>
      </c>
      <c r="M64" s="4" t="inlineStr">
        <is>
          <t>IPX7</t>
        </is>
      </c>
      <c r="N64" s="4" t="inlineStr">
        <is>
          <t>Non</t>
        </is>
      </c>
      <c r="O64" s="4" t="inlineStr">
        <is>
          <t>Aucun</t>
        </is>
      </c>
      <c r="P64" s="4" t="inlineStr">
        <is>
          <t>Oui</t>
        </is>
      </c>
      <c r="Q64" s="8" t="n">
        <v>33</v>
      </c>
      <c r="R64" s="4" t="inlineStr">
        <is>
          <t>179.00*20.48*20.51</t>
        </is>
      </c>
      <c r="S64" s="9" t="inlineStr">
        <is>
          <t>Design rouge à lèvres fin, format voyage</t>
        </is>
      </c>
      <c r="T64" s="10" t="n">
        <v>38</v>
      </c>
      <c r="U64" s="11" t="n"/>
      <c r="V64" s="11" t="n"/>
      <c r="W64" s="11" t="n"/>
      <c r="X64" s="12" t="n"/>
      <c r="Y64" s="12" t="n"/>
      <c r="Z64" s="11" t="n"/>
      <c r="AA64" s="11" t="n"/>
      <c r="AB64" s="11" t="n"/>
      <c r="AC64" s="13">
        <f>IF(OR(Y64="",X64=""),"",Y64-X64)</f>
        <v/>
      </c>
      <c r="AD64" s="14">
        <f>IF(OR(Y64="",X64="",X64=0),"",(Y64-X64)/X64)</f>
        <v/>
      </c>
      <c r="AE64" s="15">
        <f>IF(AD64="","",IF(AD64&lt;-0.05,"Moins cher",IF(AD64&gt;0.05,"Plus cher","Équivalent")))</f>
        <v/>
      </c>
    </row>
    <row r="65">
      <c r="A65" s="16" t="inlineStr">
        <is>
          <t>SG-505</t>
        </is>
      </c>
      <c r="B65" s="16" t="inlineStr">
        <is>
          <t>Daily Clean</t>
        </is>
      </c>
      <c r="C65" s="16" t="inlineStr">
        <is>
          <t>Sonique</t>
        </is>
      </c>
      <c r="D65" s="16" t="inlineStr">
        <is>
          <t>Adulte</t>
        </is>
      </c>
      <c r="E65" s="17" t="n">
        <v>24000</v>
      </c>
      <c r="F65" s="17" t="n">
        <v>24000</v>
      </c>
      <c r="G65" s="18" t="n">
        <v>2</v>
      </c>
      <c r="H65" s="18" t="n">
        <v>120</v>
      </c>
      <c r="I65" s="23" t="inlineStr">
        <is>
          <t>N/D</t>
        </is>
      </c>
      <c r="J65" s="16" t="inlineStr">
        <is>
          <t>Pile (1x AAA)</t>
        </is>
      </c>
      <c r="K65" s="16" t="inlineStr">
        <is>
          <t>Piles</t>
        </is>
      </c>
      <c r="L65" s="22" t="inlineStr">
        <is>
          <t>N/D</t>
        </is>
      </c>
      <c r="M65" s="16" t="inlineStr">
        <is>
          <t>IPX7</t>
        </is>
      </c>
      <c r="N65" s="16" t="inlineStr">
        <is>
          <t>Non</t>
        </is>
      </c>
      <c r="O65" s="16" t="inlineStr">
        <is>
          <t>Aucun</t>
        </is>
      </c>
      <c r="P65" s="16" t="inlineStr">
        <is>
          <t>Oui</t>
        </is>
      </c>
      <c r="Q65" s="19" t="n">
        <v>29.4</v>
      </c>
      <c r="R65" s="16" t="inlineStr">
        <is>
          <t>19.6*168.4</t>
        </is>
      </c>
      <c r="S65" s="20" t="inlineStr">
        <is>
          <t>Design rouge à lèvres fin, minuteur 2 min avec rappel toutes les 30 s, format voyage</t>
        </is>
      </c>
      <c r="T65" s="21" t="n">
        <v>38</v>
      </c>
      <c r="U65" s="11" t="n"/>
      <c r="V65" s="11" t="n"/>
      <c r="W65" s="11" t="n"/>
      <c r="X65" s="12" t="n"/>
      <c r="Y65" s="12" t="n"/>
      <c r="Z65" s="11" t="n"/>
      <c r="AA65" s="11" t="n"/>
      <c r="AB65" s="11" t="n"/>
      <c r="AC65" s="13">
        <f>IF(OR(Y65="",X65=""),"",Y65-X65)</f>
        <v/>
      </c>
      <c r="AD65" s="14">
        <f>IF(OR(Y65="",X65="",X65=0),"",(Y65-X65)/X65)</f>
        <v/>
      </c>
      <c r="AE65" s="15">
        <f>IF(AD65="","",IF(AD65&lt;-0.05,"Moins cher",IF(AD65&gt;0.05,"Plus cher","Équivalent")))</f>
        <v/>
      </c>
    </row>
    <row r="66">
      <c r="A66" s="4" t="inlineStr">
        <is>
          <t>SG-929</t>
        </is>
      </c>
      <c r="B66" s="4" t="inlineStr">
        <is>
          <t>Daily Clean</t>
        </is>
      </c>
      <c r="C66" s="4" t="inlineStr">
        <is>
          <t>Sonique</t>
        </is>
      </c>
      <c r="D66" s="4" t="inlineStr">
        <is>
          <t>Adulte</t>
        </is>
      </c>
      <c r="E66" s="5" t="n">
        <v>22000</v>
      </c>
      <c r="F66" s="5" t="n">
        <v>22000</v>
      </c>
      <c r="G66" s="25" t="inlineStr">
        <is>
          <t>N/D</t>
        </is>
      </c>
      <c r="H66" s="6" t="n">
        <v>120</v>
      </c>
      <c r="I66" s="25" t="inlineStr">
        <is>
          <t>N/D</t>
        </is>
      </c>
      <c r="J66" s="4" t="inlineStr">
        <is>
          <t>Piles (1x AAA brosse + 2x AAA stérilisateur)</t>
        </is>
      </c>
      <c r="K66" s="4" t="inlineStr">
        <is>
          <t>Piles</t>
        </is>
      </c>
      <c r="L66" s="7" t="inlineStr">
        <is>
          <t>N/D</t>
        </is>
      </c>
      <c r="M66" s="27" t="inlineStr">
        <is>
          <t>N/D</t>
        </is>
      </c>
      <c r="N66" s="4" t="inlineStr">
        <is>
          <t>Non</t>
        </is>
      </c>
      <c r="O66" s="4" t="inlineStr">
        <is>
          <t>Aucun</t>
        </is>
      </c>
      <c r="P66" s="4" t="inlineStr">
        <is>
          <t>Non</t>
        </is>
      </c>
      <c r="Q66" s="8" t="n">
        <v>74</v>
      </c>
      <c r="R66" s="4" t="inlineStr">
        <is>
          <t>40.5*20*172</t>
        </is>
      </c>
      <c r="S66" s="9" t="inlineStr">
        <is>
          <t>Stérilisateur UV intégré (99,9 % des bactéries), intensité UV supérieure à 230 µW/cm², durée de vie du tube supérieure à 8000 h, autonomie UV 30 jours, tenon plastique</t>
        </is>
      </c>
      <c r="T66" s="10" t="n">
        <v>39</v>
      </c>
      <c r="U66" s="11" t="n"/>
      <c r="V66" s="11" t="n"/>
      <c r="W66" s="11" t="n"/>
      <c r="X66" s="12" t="n"/>
      <c r="Y66" s="12" t="n"/>
      <c r="Z66" s="11" t="n"/>
      <c r="AA66" s="11" t="n"/>
      <c r="AB66" s="11" t="n"/>
      <c r="AC66" s="13">
        <f>IF(OR(Y66="",X66=""),"",Y66-X66)</f>
        <v/>
      </c>
      <c r="AD66" s="14">
        <f>IF(OR(Y66="",X66="",X66=0),"",(Y66-X66)/X66)</f>
        <v/>
      </c>
      <c r="AE66" s="15">
        <f>IF(AD66="","",IF(AD66&lt;-0.05,"Moins cher",IF(AD66&gt;0.05,"Plus cher","Équivalent")))</f>
        <v/>
      </c>
    </row>
    <row r="67">
      <c r="A67" s="16" t="inlineStr">
        <is>
          <t>SG-933</t>
        </is>
      </c>
      <c r="B67" s="16" t="inlineStr">
        <is>
          <t>Daily Clean</t>
        </is>
      </c>
      <c r="C67" s="16" t="inlineStr">
        <is>
          <t>Sonique</t>
        </is>
      </c>
      <c r="D67" s="16" t="inlineStr">
        <is>
          <t>Adulte</t>
        </is>
      </c>
      <c r="E67" s="17" t="n">
        <v>24000</v>
      </c>
      <c r="F67" s="17" t="n">
        <v>24000</v>
      </c>
      <c r="G67" s="23" t="inlineStr">
        <is>
          <t>N/D</t>
        </is>
      </c>
      <c r="H67" s="18" t="n">
        <v>120</v>
      </c>
      <c r="I67" s="23" t="inlineStr">
        <is>
          <t>N/D</t>
        </is>
      </c>
      <c r="J67" s="16" t="inlineStr">
        <is>
          <t>Pile (1x AAA)</t>
        </is>
      </c>
      <c r="K67" s="16" t="inlineStr">
        <is>
          <t>Piles</t>
        </is>
      </c>
      <c r="L67" s="22" t="inlineStr">
        <is>
          <t>N/D</t>
        </is>
      </c>
      <c r="M67" s="16" t="inlineStr">
        <is>
          <t>IPX7</t>
        </is>
      </c>
      <c r="N67" s="16" t="inlineStr">
        <is>
          <t>Non</t>
        </is>
      </c>
      <c r="O67" s="16" t="inlineStr">
        <is>
          <t>Aucun</t>
        </is>
      </c>
      <c r="P67" s="16" t="inlineStr">
        <is>
          <t>Non</t>
        </is>
      </c>
      <c r="Q67" s="19" t="n">
        <v>30</v>
      </c>
      <c r="R67" s="16" t="inlineStr">
        <is>
          <t>20*20*163.5</t>
        </is>
      </c>
      <c r="S67" s="20" t="inlineStr">
        <is>
          <t>Design rouge à lèvres fin, format voyage, tenon plastique</t>
        </is>
      </c>
      <c r="T67" s="21" t="n">
        <v>39</v>
      </c>
      <c r="U67" s="11" t="n"/>
      <c r="V67" s="11" t="n"/>
      <c r="W67" s="11" t="n"/>
      <c r="X67" s="12" t="n"/>
      <c r="Y67" s="12" t="n"/>
      <c r="Z67" s="11" t="n"/>
      <c r="AA67" s="11" t="n"/>
      <c r="AB67" s="11" t="n"/>
      <c r="AC67" s="13">
        <f>IF(OR(Y67="",X67=""),"",Y67-X67)</f>
        <v/>
      </c>
      <c r="AD67" s="14">
        <f>IF(OR(Y67="",X67="",X67=0),"",(Y67-X67)/X67)</f>
        <v/>
      </c>
      <c r="AE67" s="15">
        <f>IF(AD67="","",IF(AD67&lt;-0.05,"Moins cher",IF(AD67&gt;0.05,"Plus cher","Équivalent")))</f>
        <v/>
      </c>
    </row>
    <row r="68">
      <c r="A68" s="4" t="inlineStr">
        <is>
          <t>SG-928</t>
        </is>
      </c>
      <c r="B68" s="4" t="inlineStr">
        <is>
          <t>Daily Clean</t>
        </is>
      </c>
      <c r="C68" s="4" t="inlineStr">
        <is>
          <t>Sonique</t>
        </is>
      </c>
      <c r="D68" s="4" t="inlineStr">
        <is>
          <t>Adulte</t>
        </is>
      </c>
      <c r="E68" s="5" t="n">
        <v>24000</v>
      </c>
      <c r="F68" s="5" t="n">
        <v>24000</v>
      </c>
      <c r="G68" s="25" t="inlineStr">
        <is>
          <t>N/D</t>
        </is>
      </c>
      <c r="H68" s="6" t="n">
        <v>120</v>
      </c>
      <c r="I68" s="25" t="inlineStr">
        <is>
          <t>N/D</t>
        </is>
      </c>
      <c r="J68" s="4" t="inlineStr">
        <is>
          <t>Pile (1x AAA)</t>
        </is>
      </c>
      <c r="K68" s="4" t="inlineStr">
        <is>
          <t>Piles</t>
        </is>
      </c>
      <c r="L68" s="7" t="inlineStr">
        <is>
          <t>N/D</t>
        </is>
      </c>
      <c r="M68" s="4" t="inlineStr">
        <is>
          <t>IPX7</t>
        </is>
      </c>
      <c r="N68" s="4" t="inlineStr">
        <is>
          <t>Non</t>
        </is>
      </c>
      <c r="O68" s="4" t="inlineStr">
        <is>
          <t>Aucun</t>
        </is>
      </c>
      <c r="P68" s="4" t="inlineStr">
        <is>
          <t>Non</t>
        </is>
      </c>
      <c r="Q68" s="8" t="n">
        <v>30</v>
      </c>
      <c r="R68" s="4" t="inlineStr">
        <is>
          <t>22.8*22.8*182.5</t>
        </is>
      </c>
      <c r="S68" s="9" t="inlineStr">
        <is>
          <t>Design rouge à lèvres fin, format voyage, tenon plastique</t>
        </is>
      </c>
      <c r="T68" s="10" t="n">
        <v>40</v>
      </c>
      <c r="U68" s="11" t="n"/>
      <c r="V68" s="11" t="n"/>
      <c r="W68" s="11" t="n"/>
      <c r="X68" s="12" t="n"/>
      <c r="Y68" s="12" t="n"/>
      <c r="Z68" s="11" t="n"/>
      <c r="AA68" s="11" t="n"/>
      <c r="AB68" s="11" t="n"/>
      <c r="AC68" s="13">
        <f>IF(OR(Y68="",X68=""),"",Y68-X68)</f>
        <v/>
      </c>
      <c r="AD68" s="14">
        <f>IF(OR(Y68="",X68="",X68=0),"",(Y68-X68)/X68)</f>
        <v/>
      </c>
      <c r="AE68" s="15">
        <f>IF(AD68="","",IF(AD68&lt;-0.05,"Moins cher",IF(AD68&gt;0.05,"Plus cher","Équivalent")))</f>
        <v/>
      </c>
    </row>
    <row r="69">
      <c r="A69" s="16" t="inlineStr">
        <is>
          <t>SG-923</t>
        </is>
      </c>
      <c r="B69" s="16" t="inlineStr">
        <is>
          <t>Daily Clean</t>
        </is>
      </c>
      <c r="C69" s="16" t="inlineStr">
        <is>
          <t>Sonique</t>
        </is>
      </c>
      <c r="D69" s="16" t="inlineStr">
        <is>
          <t>Adulte</t>
        </is>
      </c>
      <c r="E69" s="17" t="n">
        <v>24000</v>
      </c>
      <c r="F69" s="17" t="n">
        <v>24000</v>
      </c>
      <c r="G69" s="23" t="inlineStr">
        <is>
          <t>N/D</t>
        </is>
      </c>
      <c r="H69" s="18" t="n">
        <v>120</v>
      </c>
      <c r="I69" s="23" t="inlineStr">
        <is>
          <t>N/D</t>
        </is>
      </c>
      <c r="J69" s="16" t="inlineStr">
        <is>
          <t>Pile (1x AAA)</t>
        </is>
      </c>
      <c r="K69" s="16" t="inlineStr">
        <is>
          <t>Piles</t>
        </is>
      </c>
      <c r="L69" s="22" t="inlineStr">
        <is>
          <t>N/D</t>
        </is>
      </c>
      <c r="M69" s="16" t="inlineStr">
        <is>
          <t>IPX7</t>
        </is>
      </c>
      <c r="N69" s="16" t="inlineStr">
        <is>
          <t>Non</t>
        </is>
      </c>
      <c r="O69" s="16" t="inlineStr">
        <is>
          <t>Aucun</t>
        </is>
      </c>
      <c r="P69" s="16" t="inlineStr">
        <is>
          <t>Non</t>
        </is>
      </c>
      <c r="Q69" s="19" t="n">
        <v>30</v>
      </c>
      <c r="R69" s="16" t="inlineStr">
        <is>
          <t>20*20*162</t>
        </is>
      </c>
      <c r="S69" s="20" t="inlineStr">
        <is>
          <t>Design rouge à lèvres fin, impression ou motif en option, tenon plastique</t>
        </is>
      </c>
      <c r="T69" s="21" t="n">
        <v>40</v>
      </c>
      <c r="U69" s="11" t="n"/>
      <c r="V69" s="11" t="n"/>
      <c r="W69" s="11" t="n"/>
      <c r="X69" s="12" t="n"/>
      <c r="Y69" s="12" t="n"/>
      <c r="Z69" s="11" t="n"/>
      <c r="AA69" s="11" t="n"/>
      <c r="AB69" s="11" t="n"/>
      <c r="AC69" s="13">
        <f>IF(OR(Y69="",X69=""),"",Y69-X69)</f>
        <v/>
      </c>
      <c r="AD69" s="14">
        <f>IF(OR(Y69="",X69="",X69=0),"",(Y69-X69)/X69)</f>
        <v/>
      </c>
      <c r="AE69" s="15">
        <f>IF(AD69="","",IF(AD69&lt;-0.05,"Moins cher",IF(AD69&gt;0.05,"Plus cher","Équivalent")))</f>
        <v/>
      </c>
    </row>
    <row r="70">
      <c r="A70" s="4" t="inlineStr">
        <is>
          <t>SG-932</t>
        </is>
      </c>
      <c r="B70" s="4" t="inlineStr">
        <is>
          <t>Daily Clean</t>
        </is>
      </c>
      <c r="C70" s="4" t="inlineStr">
        <is>
          <t>Sonique</t>
        </is>
      </c>
      <c r="D70" s="4" t="inlineStr">
        <is>
          <t>Adulte</t>
        </is>
      </c>
      <c r="E70" s="5" t="n">
        <v>24000</v>
      </c>
      <c r="F70" s="5" t="n">
        <v>24000</v>
      </c>
      <c r="G70" s="25" t="inlineStr">
        <is>
          <t>N/D</t>
        </is>
      </c>
      <c r="H70" s="6" t="n">
        <v>120</v>
      </c>
      <c r="I70" s="25" t="inlineStr">
        <is>
          <t>N/D</t>
        </is>
      </c>
      <c r="J70" s="4" t="inlineStr">
        <is>
          <t>Pile (1x AAA)</t>
        </is>
      </c>
      <c r="K70" s="4" t="inlineStr">
        <is>
          <t>Piles</t>
        </is>
      </c>
      <c r="L70" s="7" t="inlineStr">
        <is>
          <t>N/D</t>
        </is>
      </c>
      <c r="M70" s="4" t="inlineStr">
        <is>
          <t>IPX7</t>
        </is>
      </c>
      <c r="N70" s="4" t="inlineStr">
        <is>
          <t>Non</t>
        </is>
      </c>
      <c r="O70" s="4" t="inlineStr">
        <is>
          <t>Aucun</t>
        </is>
      </c>
      <c r="P70" s="4" t="inlineStr">
        <is>
          <t>Non</t>
        </is>
      </c>
      <c r="Q70" s="8" t="n">
        <v>30</v>
      </c>
      <c r="R70" s="4" t="inlineStr">
        <is>
          <t>20*19*171</t>
        </is>
      </c>
      <c r="S70" s="9" t="inlineStr">
        <is>
          <t>Design rouge à lèvres fin, format voyage</t>
        </is>
      </c>
      <c r="T70" s="10" t="n">
        <v>41</v>
      </c>
      <c r="U70" s="11" t="n"/>
      <c r="V70" s="11" t="n"/>
      <c r="W70" s="11" t="n"/>
      <c r="X70" s="12" t="n"/>
      <c r="Y70" s="12" t="n"/>
      <c r="Z70" s="11" t="n"/>
      <c r="AA70" s="11" t="n"/>
      <c r="AB70" s="11" t="n"/>
      <c r="AC70" s="13">
        <f>IF(OR(Y70="",X70=""),"",Y70-X70)</f>
        <v/>
      </c>
      <c r="AD70" s="14">
        <f>IF(OR(Y70="",X70="",X70=0),"",(Y70-X70)/X70)</f>
        <v/>
      </c>
      <c r="AE70" s="15">
        <f>IF(AD70="","",IF(AD70&lt;-0.05,"Moins cher",IF(AD70&gt;0.05,"Plus cher","Équivalent")))</f>
        <v/>
      </c>
    </row>
    <row r="71">
      <c r="A71" s="16" t="inlineStr">
        <is>
          <t>SG-956</t>
        </is>
      </c>
      <c r="B71" s="16" t="inlineStr">
        <is>
          <t>Daily Clean</t>
        </is>
      </c>
      <c r="C71" s="16" t="inlineStr">
        <is>
          <t>Sonique</t>
        </is>
      </c>
      <c r="D71" s="16" t="inlineStr">
        <is>
          <t>Adulte</t>
        </is>
      </c>
      <c r="E71" s="17" t="n">
        <v>28000</v>
      </c>
      <c r="F71" s="17" t="n">
        <v>28000</v>
      </c>
      <c r="G71" s="18" t="n">
        <v>2</v>
      </c>
      <c r="H71" s="18" t="n">
        <v>120</v>
      </c>
      <c r="I71" s="23" t="inlineStr">
        <is>
          <t>N/D</t>
        </is>
      </c>
      <c r="J71" s="16" t="inlineStr">
        <is>
          <t>Pile (1x AAA)</t>
        </is>
      </c>
      <c r="K71" s="16" t="inlineStr">
        <is>
          <t>Piles</t>
        </is>
      </c>
      <c r="L71" s="22" t="inlineStr">
        <is>
          <t>N/D</t>
        </is>
      </c>
      <c r="M71" s="16" t="inlineStr">
        <is>
          <t>IPX7</t>
        </is>
      </c>
      <c r="N71" s="16" t="inlineStr">
        <is>
          <t>Non</t>
        </is>
      </c>
      <c r="O71" s="16" t="inlineStr">
        <is>
          <t>Aucun</t>
        </is>
      </c>
      <c r="P71" s="16" t="inlineStr">
        <is>
          <t>Oui</t>
        </is>
      </c>
      <c r="Q71" s="19" t="n">
        <v>19</v>
      </c>
      <c r="R71" s="16" t="inlineStr">
        <is>
          <t>21*21*172</t>
        </is>
      </c>
      <c r="S71" s="20" t="inlineStr">
        <is>
          <t>Design rouge à lèvres fin, minuteur 2 min avec rappel toutes les 30 s</t>
        </is>
      </c>
      <c r="T71" s="21" t="n">
        <v>41</v>
      </c>
      <c r="U71" s="11" t="n"/>
      <c r="V71" s="11" t="n"/>
      <c r="W71" s="11" t="n"/>
      <c r="X71" s="12" t="n"/>
      <c r="Y71" s="12" t="n"/>
      <c r="Z71" s="11" t="n"/>
      <c r="AA71" s="11" t="n"/>
      <c r="AB71" s="11" t="n"/>
      <c r="AC71" s="13">
        <f>IF(OR(Y71="",X71=""),"",Y71-X71)</f>
        <v/>
      </c>
      <c r="AD71" s="14">
        <f>IF(OR(Y71="",X71="",X71=0),"",(Y71-X71)/X71)</f>
        <v/>
      </c>
      <c r="AE71" s="15">
        <f>IF(AD71="","",IF(AD71&lt;-0.05,"Moins cher",IF(AD71&gt;0.05,"Plus cher","Équivalent")))</f>
        <v/>
      </c>
    </row>
    <row r="72">
      <c r="A72" s="4" t="inlineStr">
        <is>
          <t>SG-522</t>
        </is>
      </c>
      <c r="B72" s="4" t="inlineStr">
        <is>
          <t>Daily Clean</t>
        </is>
      </c>
      <c r="C72" s="4" t="inlineStr">
        <is>
          <t>Sonique</t>
        </is>
      </c>
      <c r="D72" s="4" t="inlineStr">
        <is>
          <t>Adulte</t>
        </is>
      </c>
      <c r="E72" s="5" t="n">
        <v>28000</v>
      </c>
      <c r="F72" s="5" t="n">
        <v>28000</v>
      </c>
      <c r="G72" s="25" t="inlineStr">
        <is>
          <t>N/D</t>
        </is>
      </c>
      <c r="H72" s="6" t="n">
        <v>120</v>
      </c>
      <c r="I72" s="25" t="inlineStr">
        <is>
          <t>N/D</t>
        </is>
      </c>
      <c r="J72" s="4" t="inlineStr">
        <is>
          <t>Pile (1x AAA)</t>
        </is>
      </c>
      <c r="K72" s="4" t="inlineStr">
        <is>
          <t>Piles</t>
        </is>
      </c>
      <c r="L72" s="7" t="inlineStr">
        <is>
          <t>N/D</t>
        </is>
      </c>
      <c r="M72" s="4" t="inlineStr">
        <is>
          <t>IPX7</t>
        </is>
      </c>
      <c r="N72" s="4" t="inlineStr">
        <is>
          <t>Non</t>
        </is>
      </c>
      <c r="O72" s="4" t="inlineStr">
        <is>
          <t>Aucun</t>
        </is>
      </c>
      <c r="P72" s="4" t="inlineStr">
        <is>
          <t>Optionnel</t>
        </is>
      </c>
      <c r="Q72" s="8" t="n">
        <v>22</v>
      </c>
      <c r="R72" s="4" t="inlineStr">
        <is>
          <t>16*16*190</t>
        </is>
      </c>
      <c r="S72" s="9" t="inlineStr">
        <is>
          <t>Manche antidérapant fin, pack 1 brosse + 3 têtes de rechange (1 an d'usage), tenon plastique, minuteur en option</t>
        </is>
      </c>
      <c r="T72" s="10" t="n">
        <v>42</v>
      </c>
      <c r="U72" s="11" t="n"/>
      <c r="V72" s="11" t="n"/>
      <c r="W72" s="11" t="n"/>
      <c r="X72" s="12" t="n"/>
      <c r="Y72" s="12" t="n"/>
      <c r="Z72" s="11" t="n"/>
      <c r="AA72" s="11" t="n"/>
      <c r="AB72" s="11" t="n"/>
      <c r="AC72" s="13">
        <f>IF(OR(Y72="",X72=""),"",Y72-X72)</f>
        <v/>
      </c>
      <c r="AD72" s="14">
        <f>IF(OR(Y72="",X72="",X72=0),"",(Y72-X72)/X72)</f>
        <v/>
      </c>
      <c r="AE72" s="15">
        <f>IF(AD72="","",IF(AD72&lt;-0.05,"Moins cher",IF(AD72&gt;0.05,"Plus cher","Équivalent")))</f>
        <v/>
      </c>
    </row>
    <row r="73">
      <c r="A73" s="16" t="inlineStr">
        <is>
          <t>SG-915</t>
        </is>
      </c>
      <c r="B73" s="16" t="inlineStr">
        <is>
          <t>Daily Clean</t>
        </is>
      </c>
      <c r="C73" s="16" t="inlineStr">
        <is>
          <t>Sonique</t>
        </is>
      </c>
      <c r="D73" s="16" t="inlineStr">
        <is>
          <t>Adulte</t>
        </is>
      </c>
      <c r="E73" s="17" t="n">
        <v>28000</v>
      </c>
      <c r="F73" s="17" t="n">
        <v>28000</v>
      </c>
      <c r="G73" s="23" t="inlineStr">
        <is>
          <t>N/D</t>
        </is>
      </c>
      <c r="H73" s="18" t="n">
        <v>120</v>
      </c>
      <c r="I73" s="23" t="inlineStr">
        <is>
          <t>N/D</t>
        </is>
      </c>
      <c r="J73" s="16" t="inlineStr">
        <is>
          <t>Pile (1x AAA)</t>
        </is>
      </c>
      <c r="K73" s="16" t="inlineStr">
        <is>
          <t>Piles</t>
        </is>
      </c>
      <c r="L73" s="22" t="inlineStr">
        <is>
          <t>N/D</t>
        </is>
      </c>
      <c r="M73" s="16" t="inlineStr">
        <is>
          <t>IPX7</t>
        </is>
      </c>
      <c r="N73" s="16" t="inlineStr">
        <is>
          <t>Non</t>
        </is>
      </c>
      <c r="O73" s="16" t="inlineStr">
        <is>
          <t>Aucun</t>
        </is>
      </c>
      <c r="P73" s="16" t="inlineStr">
        <is>
          <t>Non</t>
        </is>
      </c>
      <c r="Q73" s="19" t="n">
        <v>22</v>
      </c>
      <c r="R73" s="16" t="inlineStr">
        <is>
          <t>19*19*179</t>
        </is>
      </c>
      <c r="S73" s="20" t="inlineStr">
        <is>
          <t>Pack 1 brosse + 3 têtes de rechange (1 an d'usage), design fin, tenon plastique</t>
        </is>
      </c>
      <c r="T73" s="21" t="n">
        <v>42</v>
      </c>
      <c r="U73" s="11" t="n"/>
      <c r="V73" s="11" t="n"/>
      <c r="W73" s="11" t="n"/>
      <c r="X73" s="12" t="n"/>
      <c r="Y73" s="12" t="n"/>
      <c r="Z73" s="11" t="n"/>
      <c r="AA73" s="11" t="n"/>
      <c r="AB73" s="11" t="n"/>
      <c r="AC73" s="13">
        <f>IF(OR(Y73="",X73=""),"",Y73-X73)</f>
        <v/>
      </c>
      <c r="AD73" s="14">
        <f>IF(OR(Y73="",X73="",X73=0),"",(Y73-X73)/X73)</f>
        <v/>
      </c>
      <c r="AE73" s="15">
        <f>IF(AD73="","",IF(AD73&lt;-0.05,"Moins cher",IF(AD73&gt;0.05,"Plus cher","Équivalent")))</f>
        <v/>
      </c>
    </row>
    <row r="74">
      <c r="A74" s="4" t="inlineStr">
        <is>
          <t>SG-920</t>
        </is>
      </c>
      <c r="B74" s="4" t="inlineStr">
        <is>
          <t>Daily Clean</t>
        </is>
      </c>
      <c r="C74" s="4" t="inlineStr">
        <is>
          <t>Sonique</t>
        </is>
      </c>
      <c r="D74" s="4" t="inlineStr">
        <is>
          <t>Adulte</t>
        </is>
      </c>
      <c r="E74" s="5" t="n">
        <v>24000</v>
      </c>
      <c r="F74" s="5" t="n">
        <v>24000</v>
      </c>
      <c r="G74" s="25" t="inlineStr">
        <is>
          <t>N/D</t>
        </is>
      </c>
      <c r="H74" s="6" t="n">
        <v>120</v>
      </c>
      <c r="I74" s="25" t="inlineStr">
        <is>
          <t>N/D</t>
        </is>
      </c>
      <c r="J74" s="4" t="inlineStr">
        <is>
          <t>Pile (1x AAA)</t>
        </is>
      </c>
      <c r="K74" s="4" t="inlineStr">
        <is>
          <t>Piles</t>
        </is>
      </c>
      <c r="L74" s="7" t="inlineStr">
        <is>
          <t>N/D</t>
        </is>
      </c>
      <c r="M74" s="4" t="inlineStr">
        <is>
          <t>IPX7</t>
        </is>
      </c>
      <c r="N74" s="4" t="inlineStr">
        <is>
          <t>Non</t>
        </is>
      </c>
      <c r="O74" s="4" t="inlineStr">
        <is>
          <t>Aucun</t>
        </is>
      </c>
      <c r="P74" s="4" t="inlineStr">
        <is>
          <t>Non</t>
        </is>
      </c>
      <c r="Q74" s="8" t="n">
        <v>23</v>
      </c>
      <c r="R74" s="4" t="inlineStr">
        <is>
          <t>18*18*197</t>
        </is>
      </c>
      <c r="S74" s="9" t="inlineStr">
        <is>
          <t>Pack 1 brosse + 3 têtes de rechange, design fin, tenon plastique</t>
        </is>
      </c>
      <c r="T74" s="10" t="n">
        <v>43</v>
      </c>
      <c r="U74" s="11" t="n"/>
      <c r="V74" s="11" t="n"/>
      <c r="W74" s="11" t="n"/>
      <c r="X74" s="12" t="n"/>
      <c r="Y74" s="12" t="n"/>
      <c r="Z74" s="11" t="n"/>
      <c r="AA74" s="11" t="n"/>
      <c r="AB74" s="11" t="n"/>
      <c r="AC74" s="13">
        <f>IF(OR(Y74="",X74=""),"",Y74-X74)</f>
        <v/>
      </c>
      <c r="AD74" s="14">
        <f>IF(OR(Y74="",X74="",X74=0),"",(Y74-X74)/X74)</f>
        <v/>
      </c>
      <c r="AE74" s="15">
        <f>IF(AD74="","",IF(AD74&lt;-0.05,"Moins cher",IF(AD74&gt;0.05,"Plus cher","Équivalent")))</f>
        <v/>
      </c>
    </row>
    <row r="75">
      <c r="A75" s="16" t="inlineStr">
        <is>
          <t>SG-963</t>
        </is>
      </c>
      <c r="B75" s="16" t="inlineStr">
        <is>
          <t>Daily Clean</t>
        </is>
      </c>
      <c r="C75" s="16" t="inlineStr">
        <is>
          <t>Sonique</t>
        </is>
      </c>
      <c r="D75" s="16" t="inlineStr">
        <is>
          <t>Adulte</t>
        </is>
      </c>
      <c r="E75" s="17" t="n">
        <v>20000</v>
      </c>
      <c r="F75" s="17" t="n">
        <v>20000</v>
      </c>
      <c r="G75" s="18" t="n">
        <v>2</v>
      </c>
      <c r="H75" s="18" t="n">
        <v>120</v>
      </c>
      <c r="I75" s="23" t="inlineStr">
        <is>
          <t>N/D</t>
        </is>
      </c>
      <c r="J75" s="16" t="inlineStr">
        <is>
          <t>Pile (1x AAA)</t>
        </is>
      </c>
      <c r="K75" s="16" t="inlineStr">
        <is>
          <t>Piles</t>
        </is>
      </c>
      <c r="L75" s="22" t="inlineStr">
        <is>
          <t>N/D</t>
        </is>
      </c>
      <c r="M75" s="16" t="inlineStr">
        <is>
          <t>IPX7</t>
        </is>
      </c>
      <c r="N75" s="16" t="inlineStr">
        <is>
          <t>Non</t>
        </is>
      </c>
      <c r="O75" s="16" t="inlineStr">
        <is>
          <t>Aucun</t>
        </is>
      </c>
      <c r="P75" s="16" t="inlineStr">
        <is>
          <t>Oui</t>
        </is>
      </c>
      <c r="Q75" s="19" t="n">
        <v>29</v>
      </c>
      <c r="R75" s="16" t="inlineStr">
        <is>
          <t>19.8*19.8*216.6</t>
        </is>
      </c>
      <c r="S75" s="20" t="inlineStr">
        <is>
          <t>Pack 1 brosse + 3 têtes de rechange, tête avec gratte-langue, tenon plastique</t>
        </is>
      </c>
      <c r="T75" s="21" t="n">
        <v>43</v>
      </c>
      <c r="U75" s="11" t="n"/>
      <c r="V75" s="11" t="n"/>
      <c r="W75" s="11" t="n"/>
      <c r="X75" s="12" t="n"/>
      <c r="Y75" s="12" t="n"/>
      <c r="Z75" s="11" t="n"/>
      <c r="AA75" s="11" t="n"/>
      <c r="AB75" s="11" t="n"/>
      <c r="AC75" s="13">
        <f>IF(OR(Y75="",X75=""),"",Y75-X75)</f>
        <v/>
      </c>
      <c r="AD75" s="14">
        <f>IF(OR(Y75="",X75="",X75=0),"",(Y75-X75)/X75)</f>
        <v/>
      </c>
      <c r="AE75" s="15">
        <f>IF(AD75="","",IF(AD75&lt;-0.05,"Moins cher",IF(AD75&gt;0.05,"Plus cher","Équivalent")))</f>
        <v/>
      </c>
    </row>
    <row r="76">
      <c r="A76" s="4" t="inlineStr">
        <is>
          <t>SG-912</t>
        </is>
      </c>
      <c r="B76" s="4" t="inlineStr">
        <is>
          <t>Daily Clean</t>
        </is>
      </c>
      <c r="C76" s="4" t="inlineStr">
        <is>
          <t>Sonique</t>
        </is>
      </c>
      <c r="D76" s="4" t="inlineStr">
        <is>
          <t>Adulte</t>
        </is>
      </c>
      <c r="E76" s="5" t="n">
        <v>24000</v>
      </c>
      <c r="F76" s="5" t="n">
        <v>24000</v>
      </c>
      <c r="G76" s="25" t="inlineStr">
        <is>
          <t>N/D</t>
        </is>
      </c>
      <c r="H76" s="6" t="n">
        <v>120</v>
      </c>
      <c r="I76" s="25" t="inlineStr">
        <is>
          <t>N/D</t>
        </is>
      </c>
      <c r="J76" s="4" t="inlineStr">
        <is>
          <t>Pile (1x AAA)</t>
        </is>
      </c>
      <c r="K76" s="4" t="inlineStr">
        <is>
          <t>Piles</t>
        </is>
      </c>
      <c r="L76" s="7" t="inlineStr">
        <is>
          <t>N/D</t>
        </is>
      </c>
      <c r="M76" s="4" t="inlineStr">
        <is>
          <t>IPX7</t>
        </is>
      </c>
      <c r="N76" s="4" t="inlineStr">
        <is>
          <t>Non</t>
        </is>
      </c>
      <c r="O76" s="4" t="inlineStr">
        <is>
          <t>Aucun</t>
        </is>
      </c>
      <c r="P76" s="4" t="inlineStr">
        <is>
          <t>Non</t>
        </is>
      </c>
      <c r="Q76" s="8" t="n">
        <v>22</v>
      </c>
      <c r="R76" s="4" t="inlineStr">
        <is>
          <t>18*18*179</t>
        </is>
      </c>
      <c r="S76" s="9" t="inlineStr">
        <is>
          <t>Pack 1 brosse + 3 têtes de rechange, design fin, tenon plastique</t>
        </is>
      </c>
      <c r="T76" s="10" t="n">
        <v>44</v>
      </c>
      <c r="U76" s="11" t="n"/>
      <c r="V76" s="11" t="n"/>
      <c r="W76" s="11" t="n"/>
      <c r="X76" s="12" t="n"/>
      <c r="Y76" s="12" t="n"/>
      <c r="Z76" s="11" t="n"/>
      <c r="AA76" s="11" t="n"/>
      <c r="AB76" s="11" t="n"/>
      <c r="AC76" s="13">
        <f>IF(OR(Y76="",X76=""),"",Y76-X76)</f>
        <v/>
      </c>
      <c r="AD76" s="14">
        <f>IF(OR(Y76="",X76="",X76=0),"",(Y76-X76)/X76)</f>
        <v/>
      </c>
      <c r="AE76" s="15">
        <f>IF(AD76="","",IF(AD76&lt;-0.05,"Moins cher",IF(AD76&gt;0.05,"Plus cher","Équivalent")))</f>
        <v/>
      </c>
    </row>
    <row r="77">
      <c r="A77" s="16" t="inlineStr">
        <is>
          <t>SG-967</t>
        </is>
      </c>
      <c r="B77" s="16" t="inlineStr">
        <is>
          <t>Daily Clean</t>
        </is>
      </c>
      <c r="C77" s="16" t="inlineStr">
        <is>
          <t>Sonique</t>
        </is>
      </c>
      <c r="D77" s="16" t="inlineStr">
        <is>
          <t>Adulte</t>
        </is>
      </c>
      <c r="E77" s="17" t="n">
        <v>20000</v>
      </c>
      <c r="F77" s="17" t="n">
        <v>20000</v>
      </c>
      <c r="G77" s="23" t="inlineStr">
        <is>
          <t>N/D</t>
        </is>
      </c>
      <c r="H77" s="18" t="n">
        <v>120</v>
      </c>
      <c r="I77" s="23" t="inlineStr">
        <is>
          <t>N/D</t>
        </is>
      </c>
      <c r="J77" s="16" t="inlineStr">
        <is>
          <t>Pile (1x AAA)</t>
        </is>
      </c>
      <c r="K77" s="16" t="inlineStr">
        <is>
          <t>Piles</t>
        </is>
      </c>
      <c r="L77" s="22" t="inlineStr">
        <is>
          <t>N/D</t>
        </is>
      </c>
      <c r="M77" s="16" t="inlineStr">
        <is>
          <t>IPX7</t>
        </is>
      </c>
      <c r="N77" s="16" t="inlineStr">
        <is>
          <t>Non</t>
        </is>
      </c>
      <c r="O77" s="16" t="inlineStr">
        <is>
          <t>Aucun</t>
        </is>
      </c>
      <c r="P77" s="16" t="inlineStr">
        <is>
          <t>Non</t>
        </is>
      </c>
      <c r="Q77" s="19" t="n">
        <v>22</v>
      </c>
      <c r="R77" s="16" t="inlineStr">
        <is>
          <t>18*18*193</t>
        </is>
      </c>
      <c r="S77" s="20" t="inlineStr">
        <is>
          <t>Pack 1 brosse + 3 têtes de rechange, design fin, tenon plastique</t>
        </is>
      </c>
      <c r="T77" s="21" t="n">
        <v>44</v>
      </c>
      <c r="U77" s="11" t="n"/>
      <c r="V77" s="11" t="n"/>
      <c r="W77" s="11" t="n"/>
      <c r="X77" s="12" t="n"/>
      <c r="Y77" s="12" t="n"/>
      <c r="Z77" s="11" t="n"/>
      <c r="AA77" s="11" t="n"/>
      <c r="AB77" s="11" t="n"/>
      <c r="AC77" s="13">
        <f>IF(OR(Y77="",X77=""),"",Y77-X77)</f>
        <v/>
      </c>
      <c r="AD77" s="14">
        <f>IF(OR(Y77="",X77="",X77=0),"",(Y77-X77)/X77)</f>
        <v/>
      </c>
      <c r="AE77" s="15">
        <f>IF(AD77="","",IF(AD77&lt;-0.05,"Moins cher",IF(AD77&gt;0.05,"Plus cher","Équivalent")))</f>
        <v/>
      </c>
    </row>
    <row r="78">
      <c r="A78" s="4" t="inlineStr">
        <is>
          <t>SG-582</t>
        </is>
      </c>
      <c r="B78" s="4" t="inlineStr">
        <is>
          <t>Daily Clean</t>
        </is>
      </c>
      <c r="C78" s="4" t="inlineStr">
        <is>
          <t>Sonique</t>
        </is>
      </c>
      <c r="D78" s="4" t="inlineStr">
        <is>
          <t>Adulte</t>
        </is>
      </c>
      <c r="E78" s="5" t="n">
        <v>28000</v>
      </c>
      <c r="F78" s="5" t="n">
        <v>28000</v>
      </c>
      <c r="G78" s="25" t="inlineStr">
        <is>
          <t>N/D</t>
        </is>
      </c>
      <c r="H78" s="6" t="n">
        <v>120</v>
      </c>
      <c r="I78" s="25" t="inlineStr">
        <is>
          <t>N/D</t>
        </is>
      </c>
      <c r="J78" s="4" t="inlineStr">
        <is>
          <t>Pile (1x AAA)</t>
        </is>
      </c>
      <c r="K78" s="4" t="inlineStr">
        <is>
          <t>Piles</t>
        </is>
      </c>
      <c r="L78" s="7" t="inlineStr">
        <is>
          <t>N/D</t>
        </is>
      </c>
      <c r="M78" s="4" t="inlineStr">
        <is>
          <t>IPX7</t>
        </is>
      </c>
      <c r="N78" s="4" t="inlineStr">
        <is>
          <t>Non</t>
        </is>
      </c>
      <c r="O78" s="4" t="inlineStr">
        <is>
          <t>Aucun</t>
        </is>
      </c>
      <c r="P78" s="4" t="inlineStr">
        <is>
          <t>Non</t>
        </is>
      </c>
      <c r="Q78" s="8" t="n">
        <v>18</v>
      </c>
      <c r="R78" s="4" t="inlineStr">
        <is>
          <t>16.6*16.6*193</t>
        </is>
      </c>
      <c r="S78" s="9" t="inlineStr">
        <is>
          <t>Pack 1 brosse + 3 têtes de rechange, design fin, tenon plastique</t>
        </is>
      </c>
      <c r="T78" s="10" t="n">
        <v>45</v>
      </c>
      <c r="U78" s="11" t="n"/>
      <c r="V78" s="11" t="n"/>
      <c r="W78" s="11" t="n"/>
      <c r="X78" s="12" t="n"/>
      <c r="Y78" s="12" t="n"/>
      <c r="Z78" s="11" t="n"/>
      <c r="AA78" s="11" t="n"/>
      <c r="AB78" s="11" t="n"/>
      <c r="AC78" s="13">
        <f>IF(OR(Y78="",X78=""),"",Y78-X78)</f>
        <v/>
      </c>
      <c r="AD78" s="14">
        <f>IF(OR(Y78="",X78="",X78=0),"",(Y78-X78)/X78)</f>
        <v/>
      </c>
      <c r="AE78" s="15">
        <f>IF(AD78="","",IF(AD78&lt;-0.05,"Moins cher",IF(AD78&gt;0.05,"Plus cher","Équivalent")))</f>
        <v/>
      </c>
    </row>
    <row r="79">
      <c r="A79" s="16" t="inlineStr">
        <is>
          <t>SG-2007</t>
        </is>
      </c>
      <c r="B79" s="16" t="inlineStr">
        <is>
          <t>Daily Clean</t>
        </is>
      </c>
      <c r="C79" s="16" t="inlineStr">
        <is>
          <t>Sonique</t>
        </is>
      </c>
      <c r="D79" s="16" t="inlineStr">
        <is>
          <t>Adulte</t>
        </is>
      </c>
      <c r="E79" s="17" t="n">
        <v>24000</v>
      </c>
      <c r="F79" s="17" t="n">
        <v>24000</v>
      </c>
      <c r="G79" s="18" t="n">
        <v>2</v>
      </c>
      <c r="H79" s="18" t="n">
        <v>120</v>
      </c>
      <c r="I79" s="23" t="inlineStr">
        <is>
          <t>N/D</t>
        </is>
      </c>
      <c r="J79" s="16" t="inlineStr">
        <is>
          <t>Pile (1x AAA)</t>
        </is>
      </c>
      <c r="K79" s="16" t="inlineStr">
        <is>
          <t>Piles</t>
        </is>
      </c>
      <c r="L79" s="22" t="inlineStr">
        <is>
          <t>N/D</t>
        </is>
      </c>
      <c r="M79" s="16" t="inlineStr">
        <is>
          <t>IPX7</t>
        </is>
      </c>
      <c r="N79" s="16" t="inlineStr">
        <is>
          <t>Non</t>
        </is>
      </c>
      <c r="O79" s="16" t="inlineStr">
        <is>
          <t>Aucun</t>
        </is>
      </c>
      <c r="P79" s="16" t="inlineStr">
        <is>
          <t>Oui</t>
        </is>
      </c>
      <c r="Q79" s="19" t="n">
        <v>26</v>
      </c>
      <c r="R79" s="16" t="inlineStr">
        <is>
          <t>18.3*18.3*190</t>
        </is>
      </c>
      <c r="S79" s="20" t="inlineStr">
        <is>
          <t>Design fin avec tenon métal, minuteur 2 min avec rappel toutes les 30 s</t>
        </is>
      </c>
      <c r="T79" s="21" t="n">
        <v>45</v>
      </c>
      <c r="U79" s="11" t="n"/>
      <c r="V79" s="11" t="n"/>
      <c r="W79" s="11" t="n"/>
      <c r="X79" s="12" t="n"/>
      <c r="Y79" s="12" t="n"/>
      <c r="Z79" s="11" t="n"/>
      <c r="AA79" s="11" t="n"/>
      <c r="AB79" s="11" t="n"/>
      <c r="AC79" s="13">
        <f>IF(OR(Y79="",X79=""),"",Y79-X79)</f>
        <v/>
      </c>
      <c r="AD79" s="14">
        <f>IF(OR(Y79="",X79="",X79=0),"",(Y79-X79)/X79)</f>
        <v/>
      </c>
      <c r="AE79" s="15">
        <f>IF(AD79="","",IF(AD79&lt;-0.05,"Moins cher",IF(AD79&gt;0.05,"Plus cher","Équivalent")))</f>
        <v/>
      </c>
    </row>
    <row r="80">
      <c r="A80" s="4" t="inlineStr">
        <is>
          <t>SG-557A</t>
        </is>
      </c>
      <c r="B80" s="4" t="inlineStr">
        <is>
          <t>Daily Clean</t>
        </is>
      </c>
      <c r="C80" s="4" t="inlineStr">
        <is>
          <t>Sonique</t>
        </is>
      </c>
      <c r="D80" s="4" t="inlineStr">
        <is>
          <t>Adulte</t>
        </is>
      </c>
      <c r="E80" s="5" t="n">
        <v>18000</v>
      </c>
      <c r="F80" s="5" t="n">
        <v>18000</v>
      </c>
      <c r="G80" s="25" t="inlineStr">
        <is>
          <t>N/D</t>
        </is>
      </c>
      <c r="H80" s="6" t="n">
        <v>120</v>
      </c>
      <c r="I80" s="25" t="inlineStr">
        <is>
          <t>N/D</t>
        </is>
      </c>
      <c r="J80" s="4" t="inlineStr">
        <is>
          <t>Pile (1x AAA)</t>
        </is>
      </c>
      <c r="K80" s="4" t="inlineStr">
        <is>
          <t>Piles</t>
        </is>
      </c>
      <c r="L80" s="7" t="inlineStr">
        <is>
          <t>N/D</t>
        </is>
      </c>
      <c r="M80" s="4" t="inlineStr">
        <is>
          <t>IPX7</t>
        </is>
      </c>
      <c r="N80" s="4" t="inlineStr">
        <is>
          <t>Non</t>
        </is>
      </c>
      <c r="O80" s="4" t="inlineStr">
        <is>
          <t>Aucun</t>
        </is>
      </c>
      <c r="P80" s="4" t="inlineStr">
        <is>
          <t>Non</t>
        </is>
      </c>
      <c r="Q80" s="8" t="n">
        <v>20</v>
      </c>
      <c r="R80" s="4" t="inlineStr">
        <is>
          <t>16*16*180</t>
        </is>
      </c>
      <c r="S80" s="9" t="inlineStr">
        <is>
          <t>Design fin avec tenon métal, pack 1 brosse + 3 têtes de rechange</t>
        </is>
      </c>
      <c r="T80" s="10" t="n">
        <v>46</v>
      </c>
      <c r="U80" s="11" t="n"/>
      <c r="V80" s="11" t="n"/>
      <c r="W80" s="11" t="n"/>
      <c r="X80" s="12" t="n"/>
      <c r="Y80" s="12" t="n"/>
      <c r="Z80" s="11" t="n"/>
      <c r="AA80" s="11" t="n"/>
      <c r="AB80" s="11" t="n"/>
      <c r="AC80" s="13">
        <f>IF(OR(Y80="",X80=""),"",Y80-X80)</f>
        <v/>
      </c>
      <c r="AD80" s="14">
        <f>IF(OR(Y80="",X80="",X80=0),"",(Y80-X80)/X80)</f>
        <v/>
      </c>
      <c r="AE80" s="15">
        <f>IF(AD80="","",IF(AD80&lt;-0.05,"Moins cher",IF(AD80&gt;0.05,"Plus cher","Équivalent")))</f>
        <v/>
      </c>
    </row>
    <row r="81">
      <c r="A81" s="16" t="inlineStr">
        <is>
          <t>SG-557B</t>
        </is>
      </c>
      <c r="B81" s="16" t="inlineStr">
        <is>
          <t>Daily Clean</t>
        </is>
      </c>
      <c r="C81" s="16" t="inlineStr">
        <is>
          <t>Sonique</t>
        </is>
      </c>
      <c r="D81" s="16" t="inlineStr">
        <is>
          <t>Adulte</t>
        </is>
      </c>
      <c r="E81" s="17" t="n">
        <v>18000</v>
      </c>
      <c r="F81" s="17" t="n">
        <v>18000</v>
      </c>
      <c r="G81" s="18" t="n">
        <v>2</v>
      </c>
      <c r="H81" s="18" t="n">
        <v>120</v>
      </c>
      <c r="I81" s="23" t="inlineStr">
        <is>
          <t>N/D</t>
        </is>
      </c>
      <c r="J81" s="16" t="inlineStr">
        <is>
          <t>Pile (1x AAA)</t>
        </is>
      </c>
      <c r="K81" s="16" t="inlineStr">
        <is>
          <t>Piles</t>
        </is>
      </c>
      <c r="L81" s="22" t="inlineStr">
        <is>
          <t>N/D</t>
        </is>
      </c>
      <c r="M81" s="16" t="inlineStr">
        <is>
          <t>IPX7</t>
        </is>
      </c>
      <c r="N81" s="16" t="inlineStr">
        <is>
          <t>Non</t>
        </is>
      </c>
      <c r="O81" s="16" t="inlineStr">
        <is>
          <t>Aucun</t>
        </is>
      </c>
      <c r="P81" s="16" t="inlineStr">
        <is>
          <t>Oui</t>
        </is>
      </c>
      <c r="Q81" s="19" t="n">
        <v>20</v>
      </c>
      <c r="R81" s="16" t="inlineStr">
        <is>
          <t>16*16*180</t>
        </is>
      </c>
      <c r="S81" s="20" t="inlineStr">
        <is>
          <t>Design fin avec tenon métal, minuteur 2 min avec rappel toutes les 30 s</t>
        </is>
      </c>
      <c r="T81" s="21" t="n">
        <v>46</v>
      </c>
      <c r="U81" s="11" t="n"/>
      <c r="V81" s="11" t="n"/>
      <c r="W81" s="11" t="n"/>
      <c r="X81" s="12" t="n"/>
      <c r="Y81" s="12" t="n"/>
      <c r="Z81" s="11" t="n"/>
      <c r="AA81" s="11" t="n"/>
      <c r="AB81" s="11" t="n"/>
      <c r="AC81" s="13">
        <f>IF(OR(Y81="",X81=""),"",Y81-X81)</f>
        <v/>
      </c>
      <c r="AD81" s="14">
        <f>IF(OR(Y81="",X81="",X81=0),"",(Y81-X81)/X81)</f>
        <v/>
      </c>
      <c r="AE81" s="15">
        <f>IF(AD81="","",IF(AD81&lt;-0.05,"Moins cher",IF(AD81&gt;0.05,"Plus cher","Équivalent")))</f>
        <v/>
      </c>
    </row>
    <row r="82">
      <c r="A82" s="4" t="inlineStr">
        <is>
          <t>SG-523</t>
        </is>
      </c>
      <c r="B82" s="4" t="inlineStr">
        <is>
          <t>Daily Clean</t>
        </is>
      </c>
      <c r="C82" s="4" t="inlineStr">
        <is>
          <t>Sonique</t>
        </is>
      </c>
      <c r="D82" s="4" t="inlineStr">
        <is>
          <t>Adulte</t>
        </is>
      </c>
      <c r="E82" s="5" t="n">
        <v>18000</v>
      </c>
      <c r="F82" s="5" t="n">
        <v>18000</v>
      </c>
      <c r="G82" s="6" t="n">
        <v>2</v>
      </c>
      <c r="H82" s="6" t="n">
        <v>120</v>
      </c>
      <c r="I82" s="25" t="inlineStr">
        <is>
          <t>N/D</t>
        </is>
      </c>
      <c r="J82" s="4" t="inlineStr">
        <is>
          <t>Pile (1x AAA)</t>
        </is>
      </c>
      <c r="K82" s="4" t="inlineStr">
        <is>
          <t>Piles</t>
        </is>
      </c>
      <c r="L82" s="7" t="inlineStr">
        <is>
          <t>N/D</t>
        </is>
      </c>
      <c r="M82" s="4" t="inlineStr">
        <is>
          <t>IPX7</t>
        </is>
      </c>
      <c r="N82" s="4" t="inlineStr">
        <is>
          <t>Non</t>
        </is>
      </c>
      <c r="O82" s="4" t="inlineStr">
        <is>
          <t>Aucun</t>
        </is>
      </c>
      <c r="P82" s="4" t="inlineStr">
        <is>
          <t>Oui</t>
        </is>
      </c>
      <c r="Q82" s="8" t="n">
        <v>31</v>
      </c>
      <c r="R82" s="4" t="inlineStr">
        <is>
          <t>16*16*196</t>
        </is>
      </c>
      <c r="S82" s="9" t="inlineStr">
        <is>
          <t>Design fin avec tenon métal, minuteur 2 min avec rappel toutes les 30 s</t>
        </is>
      </c>
      <c r="T82" s="10" t="n">
        <v>47</v>
      </c>
      <c r="U82" s="11" t="n"/>
      <c r="V82" s="11" t="n"/>
      <c r="W82" s="11" t="n"/>
      <c r="X82" s="12" t="n"/>
      <c r="Y82" s="12" t="n"/>
      <c r="Z82" s="11" t="n"/>
      <c r="AA82" s="11" t="n"/>
      <c r="AB82" s="11" t="n"/>
      <c r="AC82" s="13">
        <f>IF(OR(Y82="",X82=""),"",Y82-X82)</f>
        <v/>
      </c>
      <c r="AD82" s="14">
        <f>IF(OR(Y82="",X82="",X82=0),"",(Y82-X82)/X82)</f>
        <v/>
      </c>
      <c r="AE82" s="15">
        <f>IF(AD82="","",IF(AD82&lt;-0.05,"Moins cher",IF(AD82&gt;0.05,"Plus cher","Équivalent")))</f>
        <v/>
      </c>
    </row>
    <row r="83">
      <c r="A83" s="16" t="inlineStr">
        <is>
          <t>SG-526</t>
        </is>
      </c>
      <c r="B83" s="16" t="inlineStr">
        <is>
          <t>Daily Clean</t>
        </is>
      </c>
      <c r="C83" s="16" t="inlineStr">
        <is>
          <t>Sonique</t>
        </is>
      </c>
      <c r="D83" s="16" t="inlineStr">
        <is>
          <t>Adulte</t>
        </is>
      </c>
      <c r="E83" s="17" t="n">
        <v>18000</v>
      </c>
      <c r="F83" s="17" t="n">
        <v>18000</v>
      </c>
      <c r="G83" s="23" t="inlineStr">
        <is>
          <t>N/D</t>
        </is>
      </c>
      <c r="H83" s="18" t="n">
        <v>120</v>
      </c>
      <c r="I83" s="23" t="inlineStr">
        <is>
          <t>N/D</t>
        </is>
      </c>
      <c r="J83" s="16" t="inlineStr">
        <is>
          <t>Pile (1x AAA)</t>
        </is>
      </c>
      <c r="K83" s="16" t="inlineStr">
        <is>
          <t>Piles</t>
        </is>
      </c>
      <c r="L83" s="22" t="inlineStr">
        <is>
          <t>N/D</t>
        </is>
      </c>
      <c r="M83" s="16" t="inlineStr">
        <is>
          <t>IPX7</t>
        </is>
      </c>
      <c r="N83" s="16" t="inlineStr">
        <is>
          <t>Non</t>
        </is>
      </c>
      <c r="O83" s="16" t="inlineStr">
        <is>
          <t>Aucun</t>
        </is>
      </c>
      <c r="P83" s="16" t="inlineStr">
        <is>
          <t>Non</t>
        </is>
      </c>
      <c r="Q83" s="19" t="n">
        <v>31</v>
      </c>
      <c r="R83" s="16" t="inlineStr">
        <is>
          <t>16*16*196</t>
        </is>
      </c>
      <c r="S83" s="20" t="inlineStr">
        <is>
          <t>Design fin avec tenon métal, pack 1 brosse + 3 têtes de rechange</t>
        </is>
      </c>
      <c r="T83" s="21" t="n">
        <v>47</v>
      </c>
      <c r="U83" s="11" t="n"/>
      <c r="V83" s="11" t="n"/>
      <c r="W83" s="11" t="n"/>
      <c r="X83" s="12" t="n"/>
      <c r="Y83" s="12" t="n"/>
      <c r="Z83" s="11" t="n"/>
      <c r="AA83" s="11" t="n"/>
      <c r="AB83" s="11" t="n"/>
      <c r="AC83" s="13">
        <f>IF(OR(Y83="",X83=""),"",Y83-X83)</f>
        <v/>
      </c>
      <c r="AD83" s="14">
        <f>IF(OR(Y83="",X83="",X83=0),"",(Y83-X83)/X83)</f>
        <v/>
      </c>
      <c r="AE83" s="15">
        <f>IF(AD83="","",IF(AD83&lt;-0.05,"Moins cher",IF(AD83&gt;0.05,"Plus cher","Équivalent")))</f>
        <v/>
      </c>
    </row>
    <row r="84">
      <c r="A84" s="4" t="inlineStr">
        <is>
          <t>SG-981</t>
        </is>
      </c>
      <c r="B84" s="4" t="inlineStr">
        <is>
          <t>Daily Clean</t>
        </is>
      </c>
      <c r="C84" s="4" t="inlineStr">
        <is>
          <t>Sonique</t>
        </is>
      </c>
      <c r="D84" s="4" t="inlineStr">
        <is>
          <t>Adulte</t>
        </is>
      </c>
      <c r="E84" s="5" t="n">
        <v>28000</v>
      </c>
      <c r="F84" s="5" t="n">
        <v>28000</v>
      </c>
      <c r="G84" s="6" t="n">
        <v>2</v>
      </c>
      <c r="H84" s="6" t="n">
        <v>100</v>
      </c>
      <c r="I84" s="25" t="inlineStr">
        <is>
          <t>N/D</t>
        </is>
      </c>
      <c r="J84" s="4" t="inlineStr">
        <is>
          <t>Pile (1x AAA)</t>
        </is>
      </c>
      <c r="K84" s="4" t="inlineStr">
        <is>
          <t>Piles</t>
        </is>
      </c>
      <c r="L84" s="7" t="inlineStr">
        <is>
          <t>N/D</t>
        </is>
      </c>
      <c r="M84" s="4" t="inlineStr">
        <is>
          <t>IPX7</t>
        </is>
      </c>
      <c r="N84" s="4" t="inlineStr">
        <is>
          <t>Non</t>
        </is>
      </c>
      <c r="O84" s="4" t="inlineStr">
        <is>
          <t>Aucun</t>
        </is>
      </c>
      <c r="P84" s="4" t="inlineStr">
        <is>
          <t>Oui</t>
        </is>
      </c>
      <c r="Q84" s="8" t="n">
        <v>33</v>
      </c>
      <c r="R84" s="4" t="inlineStr">
        <is>
          <t>22*21*202</t>
        </is>
      </c>
      <c r="S84" s="9" t="inlineStr">
        <is>
          <t>Manche antidérapant avec tenon métal, minuteur 2 min avec rappel toutes les 30 s</t>
        </is>
      </c>
      <c r="T84" s="10" t="n">
        <v>48</v>
      </c>
      <c r="U84" s="11" t="n"/>
      <c r="V84" s="11" t="n"/>
      <c r="W84" s="11" t="n"/>
      <c r="X84" s="12" t="n"/>
      <c r="Y84" s="12" t="n"/>
      <c r="Z84" s="11" t="n"/>
      <c r="AA84" s="11" t="n"/>
      <c r="AB84" s="11" t="n"/>
      <c r="AC84" s="13">
        <f>IF(OR(Y84="",X84=""),"",Y84-X84)</f>
        <v/>
      </c>
      <c r="AD84" s="14">
        <f>IF(OR(Y84="",X84="",X84=0),"",(Y84-X84)/X84)</f>
        <v/>
      </c>
      <c r="AE84" s="15">
        <f>IF(AD84="","",IF(AD84&lt;-0.05,"Moins cher",IF(AD84&gt;0.05,"Plus cher","Équivalent")))</f>
        <v/>
      </c>
    </row>
    <row r="85">
      <c r="A85" s="16" t="inlineStr">
        <is>
          <t>SG-2102</t>
        </is>
      </c>
      <c r="B85" s="16" t="inlineStr">
        <is>
          <t>Daily Clean</t>
        </is>
      </c>
      <c r="C85" s="16" t="inlineStr">
        <is>
          <t>Sonique</t>
        </is>
      </c>
      <c r="D85" s="16" t="inlineStr">
        <is>
          <t>Adulte</t>
        </is>
      </c>
      <c r="E85" s="17" t="n">
        <v>28000</v>
      </c>
      <c r="F85" s="17" t="n">
        <v>28000</v>
      </c>
      <c r="G85" s="18" t="n">
        <v>2</v>
      </c>
      <c r="H85" s="18" t="n">
        <v>120</v>
      </c>
      <c r="I85" s="23" t="inlineStr">
        <is>
          <t>N/D</t>
        </is>
      </c>
      <c r="J85" s="16" t="inlineStr">
        <is>
          <t>Pile (1x AAA)</t>
        </is>
      </c>
      <c r="K85" s="16" t="inlineStr">
        <is>
          <t>Piles</t>
        </is>
      </c>
      <c r="L85" s="22" t="inlineStr">
        <is>
          <t>N/D</t>
        </is>
      </c>
      <c r="M85" s="16" t="inlineStr">
        <is>
          <t>IPX7</t>
        </is>
      </c>
      <c r="N85" s="16" t="inlineStr">
        <is>
          <t>Non</t>
        </is>
      </c>
      <c r="O85" s="16" t="inlineStr">
        <is>
          <t>Aucun</t>
        </is>
      </c>
      <c r="P85" s="16" t="inlineStr">
        <is>
          <t>Non</t>
        </is>
      </c>
      <c r="Q85" s="19" t="n">
        <v>40</v>
      </c>
      <c r="R85" s="16" t="inlineStr">
        <is>
          <t>20*20*194.5</t>
        </is>
      </c>
      <c r="S85" s="20" t="inlineStr">
        <is>
          <t>Manche métal haut de gamme avec tenon métal, tête avec gratte-langue, format voyage</t>
        </is>
      </c>
      <c r="T85" s="21" t="n">
        <v>48</v>
      </c>
      <c r="U85" s="11" t="n"/>
      <c r="V85" s="11" t="n"/>
      <c r="W85" s="11" t="n"/>
      <c r="X85" s="12" t="n"/>
      <c r="Y85" s="12" t="n"/>
      <c r="Z85" s="11" t="n"/>
      <c r="AA85" s="11" t="n"/>
      <c r="AB85" s="11" t="n"/>
      <c r="AC85" s="13">
        <f>IF(OR(Y85="",X85=""),"",Y85-X85)</f>
        <v/>
      </c>
      <c r="AD85" s="14">
        <f>IF(OR(Y85="",X85="",X85=0),"",(Y85-X85)/X85)</f>
        <v/>
      </c>
      <c r="AE85" s="15">
        <f>IF(AD85="","",IF(AD85&lt;-0.05,"Moins cher",IF(AD85&gt;0.05,"Plus cher","Équivalent")))</f>
        <v/>
      </c>
    </row>
    <row r="86">
      <c r="A86" s="4" t="inlineStr">
        <is>
          <t>SG-926</t>
        </is>
      </c>
      <c r="B86" s="4" t="inlineStr">
        <is>
          <t>Daily Clean</t>
        </is>
      </c>
      <c r="C86" s="4" t="inlineStr">
        <is>
          <t>Sonique</t>
        </is>
      </c>
      <c r="D86" s="4" t="inlineStr">
        <is>
          <t>Adulte</t>
        </is>
      </c>
      <c r="E86" s="5" t="n">
        <v>28000</v>
      </c>
      <c r="F86" s="5" t="n">
        <v>28000</v>
      </c>
      <c r="G86" s="6" t="n">
        <v>2</v>
      </c>
      <c r="H86" s="6" t="n">
        <v>45</v>
      </c>
      <c r="I86" s="6" t="n">
        <v>600</v>
      </c>
      <c r="J86" s="4" t="inlineStr">
        <is>
          <t>Batterie Ni-MH rechargeable</t>
        </is>
      </c>
      <c r="K86" s="4" t="inlineStr">
        <is>
          <t>USB</t>
        </is>
      </c>
      <c r="L86" s="7" t="inlineStr">
        <is>
          <t>N/D</t>
        </is>
      </c>
      <c r="M86" s="4" t="inlineStr">
        <is>
          <t>IPX7</t>
        </is>
      </c>
      <c r="N86" s="4" t="inlineStr">
        <is>
          <t>Non</t>
        </is>
      </c>
      <c r="O86" s="4" t="inlineStr">
        <is>
          <t>Aucun</t>
        </is>
      </c>
      <c r="P86" s="4" t="inlineStr">
        <is>
          <t>Oui</t>
        </is>
      </c>
      <c r="Q86" s="8" t="n">
        <v>54</v>
      </c>
      <c r="R86" s="4" t="inlineStr">
        <is>
          <t>D18*184</t>
        </is>
      </c>
      <c r="S86" s="9" t="inlineStr">
        <is>
          <t>Mémoire de mode, format voyage, minuteur 2 min avec rappel toutes les 30 s, batterie Ni-MH 1,2 V</t>
        </is>
      </c>
      <c r="T86" s="10" t="n">
        <v>49</v>
      </c>
      <c r="U86" s="11" t="n"/>
      <c r="V86" s="11" t="n"/>
      <c r="W86" s="11" t="n"/>
      <c r="X86" s="12" t="n"/>
      <c r="Y86" s="12" t="n"/>
      <c r="Z86" s="11" t="n"/>
      <c r="AA86" s="11" t="n"/>
      <c r="AB86" s="11" t="n"/>
      <c r="AC86" s="13">
        <f>IF(OR(Y86="",X86=""),"",Y86-X86)</f>
        <v/>
      </c>
      <c r="AD86" s="14">
        <f>IF(OR(Y86="",X86="",X86=0),"",(Y86-X86)/X86)</f>
        <v/>
      </c>
      <c r="AE86" s="15">
        <f>IF(AD86="","",IF(AD86&lt;-0.05,"Moins cher",IF(AD86&gt;0.05,"Plus cher","Équivalent")))</f>
        <v/>
      </c>
    </row>
    <row r="87">
      <c r="A87" s="16" t="inlineStr">
        <is>
          <t>SG-957</t>
        </is>
      </c>
      <c r="B87" s="16" t="inlineStr">
        <is>
          <t>Daily Clean</t>
        </is>
      </c>
      <c r="C87" s="16" t="inlineStr">
        <is>
          <t>Sonique</t>
        </is>
      </c>
      <c r="D87" s="16" t="inlineStr">
        <is>
          <t>Adulte</t>
        </is>
      </c>
      <c r="E87" s="17" t="n">
        <v>28000</v>
      </c>
      <c r="F87" s="17" t="n">
        <v>28000</v>
      </c>
      <c r="G87" s="18" t="n">
        <v>2</v>
      </c>
      <c r="H87" s="18" t="n">
        <v>45</v>
      </c>
      <c r="I87" s="18" t="n">
        <v>600</v>
      </c>
      <c r="J87" s="16" t="inlineStr">
        <is>
          <t>Batterie Ni-MH rechargeable</t>
        </is>
      </c>
      <c r="K87" s="16" t="inlineStr">
        <is>
          <t>USB</t>
        </is>
      </c>
      <c r="L87" s="22" t="inlineStr">
        <is>
          <t>N/D</t>
        </is>
      </c>
      <c r="M87" s="16" t="inlineStr">
        <is>
          <t>IPX7</t>
        </is>
      </c>
      <c r="N87" s="16" t="inlineStr">
        <is>
          <t>Non</t>
        </is>
      </c>
      <c r="O87" s="16" t="inlineStr">
        <is>
          <t>Aucun</t>
        </is>
      </c>
      <c r="P87" s="16" t="inlineStr">
        <is>
          <t>Oui</t>
        </is>
      </c>
      <c r="Q87" s="19" t="n">
        <v>45</v>
      </c>
      <c r="R87" s="16" t="inlineStr">
        <is>
          <t>D19.9*184.9</t>
        </is>
      </c>
      <c r="S87" s="20" t="inlineStr">
        <is>
          <t>Mémoire de mode, format voyage, minuteur 2 min avec rappel toutes les 30 s, batterie Ni-MH 1,2 V</t>
        </is>
      </c>
      <c r="T87" s="21" t="n">
        <v>49</v>
      </c>
      <c r="U87" s="11" t="n"/>
      <c r="V87" s="11" t="n"/>
      <c r="W87" s="11" t="n"/>
      <c r="X87" s="12" t="n"/>
      <c r="Y87" s="12" t="n"/>
      <c r="Z87" s="11" t="n"/>
      <c r="AA87" s="11" t="n"/>
      <c r="AB87" s="11" t="n"/>
      <c r="AC87" s="13">
        <f>IF(OR(Y87="",X87=""),"",Y87-X87)</f>
        <v/>
      </c>
      <c r="AD87" s="14">
        <f>IF(OR(Y87="",X87="",X87=0),"",(Y87-X87)/X87)</f>
        <v/>
      </c>
      <c r="AE87" s="15">
        <f>IF(AD87="","",IF(AD87&lt;-0.05,"Moins cher",IF(AD87&gt;0.05,"Plus cher","Équivalent")))</f>
        <v/>
      </c>
    </row>
    <row r="88">
      <c r="A88" s="4" t="inlineStr">
        <is>
          <t>SG-2772</t>
        </is>
      </c>
      <c r="B88" s="4" t="inlineStr">
        <is>
          <t>Kids Sonic</t>
        </is>
      </c>
      <c r="C88" s="4" t="inlineStr">
        <is>
          <t>Sonique</t>
        </is>
      </c>
      <c r="D88" s="4" t="inlineStr">
        <is>
          <t>Enfant</t>
        </is>
      </c>
      <c r="E88" s="5" t="n">
        <v>32000</v>
      </c>
      <c r="F88" s="5" t="n">
        <v>40000</v>
      </c>
      <c r="G88" s="6" t="n">
        <v>3</v>
      </c>
      <c r="H88" s="6" t="n">
        <v>21</v>
      </c>
      <c r="I88" s="6" t="n">
        <v>700</v>
      </c>
      <c r="J88" s="4" t="inlineStr">
        <is>
          <t>Batterie Li-ion rechargeable</t>
        </is>
      </c>
      <c r="K88" s="4" t="inlineStr">
        <is>
          <t>Type-C</t>
        </is>
      </c>
      <c r="L88" s="7" t="inlineStr">
        <is>
          <t>N/D</t>
        </is>
      </c>
      <c r="M88" s="4" t="inlineStr">
        <is>
          <t>IPX7</t>
        </is>
      </c>
      <c r="N88" s="4" t="inlineStr">
        <is>
          <t>Oui</t>
        </is>
      </c>
      <c r="O88" s="4" t="inlineStr">
        <is>
          <t>Écran (6 langues)</t>
        </is>
      </c>
      <c r="P88" s="4" t="inlineStr">
        <is>
          <t>Oui</t>
        </is>
      </c>
      <c r="Q88" s="8" t="n">
        <v>126</v>
      </c>
      <c r="R88" s="4" t="inlineStr">
        <is>
          <t>31.1*29.5*151.9 (manche)</t>
        </is>
      </c>
      <c r="S88" s="9" t="inlineStr">
        <is>
          <t>Écran 6 langues, anti-projection de dentifrice, rappel de brossage intelligent, sans BPA, moteur magnétique, système super silencieux</t>
        </is>
      </c>
      <c r="T88" s="10" t="n">
        <v>51</v>
      </c>
      <c r="U88" s="11" t="n"/>
      <c r="V88" s="11" t="n"/>
      <c r="W88" s="11" t="n"/>
      <c r="X88" s="12" t="n"/>
      <c r="Y88" s="12" t="n"/>
      <c r="Z88" s="11" t="n"/>
      <c r="AA88" s="11" t="n"/>
      <c r="AB88" s="11" t="n"/>
      <c r="AC88" s="13">
        <f>IF(OR(Y88="",X88=""),"",Y88-X88)</f>
        <v/>
      </c>
      <c r="AD88" s="14">
        <f>IF(OR(Y88="",X88="",X88=0),"",(Y88-X88)/X88)</f>
        <v/>
      </c>
      <c r="AE88" s="15">
        <f>IF(AD88="","",IF(AD88&lt;-0.05,"Moins cher",IF(AD88&gt;0.05,"Plus cher","Équivalent")))</f>
        <v/>
      </c>
    </row>
    <row r="89">
      <c r="A89" s="16" t="inlineStr">
        <is>
          <t>SG-2118</t>
        </is>
      </c>
      <c r="B89" s="16" t="inlineStr">
        <is>
          <t>Kids Sonic</t>
        </is>
      </c>
      <c r="C89" s="16" t="inlineStr">
        <is>
          <t>Sonique</t>
        </is>
      </c>
      <c r="D89" s="16" t="inlineStr">
        <is>
          <t>Enfant</t>
        </is>
      </c>
      <c r="E89" s="17" t="n">
        <v>30000</v>
      </c>
      <c r="F89" s="17" t="n">
        <v>30000</v>
      </c>
      <c r="G89" s="18" t="n">
        <v>3</v>
      </c>
      <c r="H89" s="18" t="n">
        <v>45</v>
      </c>
      <c r="I89" s="18" t="n">
        <v>260</v>
      </c>
      <c r="J89" s="16" t="inlineStr">
        <is>
          <t>Batterie Li-ion rechargeable</t>
        </is>
      </c>
      <c r="K89" s="16" t="inlineStr">
        <is>
          <t>Inductive (socle)</t>
        </is>
      </c>
      <c r="L89" s="22" t="inlineStr">
        <is>
          <t>N/D</t>
        </is>
      </c>
      <c r="M89" s="16" t="inlineStr">
        <is>
          <t>IPX6</t>
        </is>
      </c>
      <c r="N89" s="16" t="inlineStr">
        <is>
          <t>Oui</t>
        </is>
      </c>
      <c r="O89" s="16" t="inlineStr">
        <is>
          <t>Aucun</t>
        </is>
      </c>
      <c r="P89" s="16" t="inlineStr">
        <is>
          <t>Oui</t>
        </is>
      </c>
      <c r="Q89" s="19" t="n">
        <v>56</v>
      </c>
      <c r="R89" s="16" t="inlineStr">
        <is>
          <t>25*25*165.8</t>
        </is>
      </c>
      <c r="S89" s="20" t="inlineStr">
        <is>
          <t>Brosse musicale avec 7 chansons anglaises, alerte sonore du socle en cas de pression excessive, socle désinfectant, mémoire intelligente</t>
        </is>
      </c>
      <c r="T89" s="21" t="n">
        <v>51</v>
      </c>
      <c r="U89" s="11" t="n"/>
      <c r="V89" s="11" t="n"/>
      <c r="W89" s="11" t="n"/>
      <c r="X89" s="12" t="n"/>
      <c r="Y89" s="12" t="n"/>
      <c r="Z89" s="11" t="n"/>
      <c r="AA89" s="11" t="n"/>
      <c r="AB89" s="11" t="n"/>
      <c r="AC89" s="13">
        <f>IF(OR(Y89="",X89=""),"",Y89-X89)</f>
        <v/>
      </c>
      <c r="AD89" s="14">
        <f>IF(OR(Y89="",X89="",X89=0),"",(Y89-X89)/X89)</f>
        <v/>
      </c>
      <c r="AE89" s="15">
        <f>IF(AD89="","",IF(AD89&lt;-0.05,"Moins cher",IF(AD89&gt;0.05,"Plus cher","Équivalent")))</f>
        <v/>
      </c>
    </row>
    <row r="90">
      <c r="A90" s="4" t="inlineStr">
        <is>
          <t>SG-2731</t>
        </is>
      </c>
      <c r="B90" s="4" t="inlineStr">
        <is>
          <t>Kids Sonic</t>
        </is>
      </c>
      <c r="C90" s="4" t="inlineStr">
        <is>
          <t>Sonique</t>
        </is>
      </c>
      <c r="D90" s="4" t="inlineStr">
        <is>
          <t>Enfant</t>
        </is>
      </c>
      <c r="E90" s="5" t="n">
        <v>35000</v>
      </c>
      <c r="F90" s="5" t="n">
        <v>35000</v>
      </c>
      <c r="G90" s="6" t="n">
        <v>2</v>
      </c>
      <c r="H90" s="6" t="n">
        <v>21</v>
      </c>
      <c r="I90" s="6" t="n">
        <v>600</v>
      </c>
      <c r="J90" s="4" t="inlineStr">
        <is>
          <t>Batterie Li-ion rechargeable</t>
        </is>
      </c>
      <c r="K90" s="4" t="inlineStr">
        <is>
          <t>Inductive (socle)</t>
        </is>
      </c>
      <c r="L90" s="7" t="inlineStr">
        <is>
          <t>N/D</t>
        </is>
      </c>
      <c r="M90" s="4" t="inlineStr">
        <is>
          <t>IPX7</t>
        </is>
      </c>
      <c r="N90" s="4" t="inlineStr">
        <is>
          <t>Non</t>
        </is>
      </c>
      <c r="O90" s="4" t="inlineStr">
        <is>
          <t>Aucun</t>
        </is>
      </c>
      <c r="P90" s="4" t="inlineStr">
        <is>
          <t>Oui</t>
        </is>
      </c>
      <c r="Q90" s="8" t="n">
        <v>113</v>
      </c>
      <c r="R90" s="4" t="inlineStr">
        <is>
          <t>32*31*210 ; chargeur 4017B : 58.0*58.0*28.0</t>
        </is>
      </c>
      <c r="S90" s="9" t="inlineStr">
        <is>
          <t>Corps intégral en silicone alimentaire sans BPA, minuteur 2 min avec pause 30 s, moteur magnétique dynamique, système super silencieux</t>
        </is>
      </c>
      <c r="T90" s="10" t="n">
        <v>52</v>
      </c>
      <c r="U90" s="11" t="n"/>
      <c r="V90" s="11" t="n"/>
      <c r="W90" s="11" t="n"/>
      <c r="X90" s="12" t="n"/>
      <c r="Y90" s="12" t="n"/>
      <c r="Z90" s="11" t="n"/>
      <c r="AA90" s="11" t="n"/>
      <c r="AB90" s="11" t="n"/>
      <c r="AC90" s="13">
        <f>IF(OR(Y90="",X90=""),"",Y90-X90)</f>
        <v/>
      </c>
      <c r="AD90" s="14">
        <f>IF(OR(Y90="",X90="",X90=0),"",(Y90-X90)/X90)</f>
        <v/>
      </c>
      <c r="AE90" s="15">
        <f>IF(AD90="","",IF(AD90&lt;-0.05,"Moins cher",IF(AD90&gt;0.05,"Plus cher","Équivalent")))</f>
        <v/>
      </c>
    </row>
    <row r="91">
      <c r="A91" s="16" t="inlineStr">
        <is>
          <t>SG-2159</t>
        </is>
      </c>
      <c r="B91" s="16" t="inlineStr">
        <is>
          <t>Kids Sonic</t>
        </is>
      </c>
      <c r="C91" s="16" t="inlineStr">
        <is>
          <t>Sonique</t>
        </is>
      </c>
      <c r="D91" s="16" t="inlineStr">
        <is>
          <t>Enfant</t>
        </is>
      </c>
      <c r="E91" s="17" t="n">
        <v>24000</v>
      </c>
      <c r="F91" s="17" t="n">
        <v>24000</v>
      </c>
      <c r="G91" s="18" t="n">
        <v>3</v>
      </c>
      <c r="H91" s="18" t="n">
        <v>60</v>
      </c>
      <c r="I91" s="18" t="n">
        <v>260</v>
      </c>
      <c r="J91" s="16" t="inlineStr">
        <is>
          <t>Batterie Li-ion rechargeable</t>
        </is>
      </c>
      <c r="K91" s="16" t="inlineStr">
        <is>
          <t>USB</t>
        </is>
      </c>
      <c r="L91" s="22" t="inlineStr">
        <is>
          <t>N/D</t>
        </is>
      </c>
      <c r="M91" s="16" t="inlineStr">
        <is>
          <t>IPX7</t>
        </is>
      </c>
      <c r="N91" s="16" t="inlineStr">
        <is>
          <t>Non</t>
        </is>
      </c>
      <c r="O91" s="16" t="inlineStr">
        <is>
          <t>LED colorée</t>
        </is>
      </c>
      <c r="P91" s="16" t="inlineStr">
        <is>
          <t>Oui</t>
        </is>
      </c>
      <c r="Q91" s="19" t="n">
        <v>66.7</v>
      </c>
      <c r="R91" s="16" t="inlineStr">
        <is>
          <t>21.5*22.1*160</t>
        </is>
      </c>
      <c r="S91" s="20" t="inlineStr">
        <is>
          <t>LED clignotantes colorées, poils souples, minuteur 2 min avec pause 30 s, LED d'observation, manche compact personnalisable</t>
        </is>
      </c>
      <c r="T91" s="21" t="n">
        <v>52</v>
      </c>
      <c r="U91" s="11" t="n"/>
      <c r="V91" s="11" t="n"/>
      <c r="W91" s="11" t="n"/>
      <c r="X91" s="12" t="n"/>
      <c r="Y91" s="12" t="n"/>
      <c r="Z91" s="11" t="n"/>
      <c r="AA91" s="11" t="n"/>
      <c r="AB91" s="11" t="n"/>
      <c r="AC91" s="13">
        <f>IF(OR(Y91="",X91=""),"",Y91-X91)</f>
        <v/>
      </c>
      <c r="AD91" s="14">
        <f>IF(OR(Y91="",X91="",X91=0),"",(Y91-X91)/X91)</f>
        <v/>
      </c>
      <c r="AE91" s="15">
        <f>IF(AD91="","",IF(AD91&lt;-0.05,"Moins cher",IF(AD91&gt;0.05,"Plus cher","Équivalent")))</f>
        <v/>
      </c>
    </row>
    <row r="92">
      <c r="A92" s="4" t="inlineStr">
        <is>
          <t>SG-2139</t>
        </is>
      </c>
      <c r="B92" s="4" t="inlineStr">
        <is>
          <t>Kids Sonic</t>
        </is>
      </c>
      <c r="C92" s="4" t="inlineStr">
        <is>
          <t>Sonique</t>
        </is>
      </c>
      <c r="D92" s="4" t="inlineStr">
        <is>
          <t>Enfant</t>
        </is>
      </c>
      <c r="E92" s="5" t="n">
        <v>24000</v>
      </c>
      <c r="F92" s="5" t="n">
        <v>24000</v>
      </c>
      <c r="G92" s="6" t="n">
        <v>3</v>
      </c>
      <c r="H92" s="6" t="n">
        <v>60</v>
      </c>
      <c r="I92" s="6" t="n">
        <v>260</v>
      </c>
      <c r="J92" s="4" t="inlineStr">
        <is>
          <t>Batterie Li-ion rechargeable</t>
        </is>
      </c>
      <c r="K92" s="4" t="inlineStr">
        <is>
          <t>USB / magnétique</t>
        </is>
      </c>
      <c r="L92" s="7" t="inlineStr">
        <is>
          <t>N/D</t>
        </is>
      </c>
      <c r="M92" s="4" t="inlineStr">
        <is>
          <t>IPX7</t>
        </is>
      </c>
      <c r="N92" s="4" t="inlineStr">
        <is>
          <t>Non</t>
        </is>
      </c>
      <c r="O92" s="4" t="inlineStr">
        <is>
          <t>LED colorée</t>
        </is>
      </c>
      <c r="P92" s="4" t="inlineStr">
        <is>
          <t>Oui</t>
        </is>
      </c>
      <c r="Q92" s="8" t="n">
        <v>64</v>
      </c>
      <c r="R92" s="4" t="inlineStr">
        <is>
          <t>34.1*33.3*115.1</t>
        </is>
      </c>
      <c r="S92" s="9" t="inlineStr">
        <is>
          <t>LED colorées, LED blanche permettant aux parents d'observer les dents, habillage silicone alimentaire personnalisable</t>
        </is>
      </c>
      <c r="T92" s="10" t="n">
        <v>53</v>
      </c>
      <c r="U92" s="11" t="n"/>
      <c r="V92" s="11" t="n"/>
      <c r="W92" s="11" t="n"/>
      <c r="X92" s="12" t="n"/>
      <c r="Y92" s="12" t="n"/>
      <c r="Z92" s="11" t="n"/>
      <c r="AA92" s="11" t="n"/>
      <c r="AB92" s="11" t="n"/>
      <c r="AC92" s="13">
        <f>IF(OR(Y92="",X92=""),"",Y92-X92)</f>
        <v/>
      </c>
      <c r="AD92" s="14">
        <f>IF(OR(Y92="",X92="",X92=0),"",(Y92-X92)/X92)</f>
        <v/>
      </c>
      <c r="AE92" s="15">
        <f>IF(AD92="","",IF(AD92&lt;-0.05,"Moins cher",IF(AD92&gt;0.05,"Plus cher","Équivalent")))</f>
        <v/>
      </c>
    </row>
    <row r="93">
      <c r="A93" s="16" t="inlineStr">
        <is>
          <t>SG-2732</t>
        </is>
      </c>
      <c r="B93" s="16" t="inlineStr">
        <is>
          <t>Kids Sonic</t>
        </is>
      </c>
      <c r="C93" s="16" t="inlineStr">
        <is>
          <t>Sonique</t>
        </is>
      </c>
      <c r="D93" s="16" t="inlineStr">
        <is>
          <t>Enfant</t>
        </is>
      </c>
      <c r="E93" s="17" t="n">
        <v>35000</v>
      </c>
      <c r="F93" s="17" t="n">
        <v>35000</v>
      </c>
      <c r="G93" s="18" t="n">
        <v>3</v>
      </c>
      <c r="H93" s="18" t="n">
        <v>21</v>
      </c>
      <c r="I93" s="18" t="n">
        <v>600</v>
      </c>
      <c r="J93" s="16" t="inlineStr">
        <is>
          <t>Batterie Li-ion rechargeable</t>
        </is>
      </c>
      <c r="K93" s="16" t="inlineStr">
        <is>
          <t>USB</t>
        </is>
      </c>
      <c r="L93" s="22" t="inlineStr">
        <is>
          <t>N/D</t>
        </is>
      </c>
      <c r="M93" s="16" t="inlineStr">
        <is>
          <t>IPX7</t>
        </is>
      </c>
      <c r="N93" s="16" t="inlineStr">
        <is>
          <t>Non</t>
        </is>
      </c>
      <c r="O93" s="16" t="inlineStr">
        <is>
          <t>Aucun</t>
        </is>
      </c>
      <c r="P93" s="16" t="inlineStr">
        <is>
          <t>Oui</t>
        </is>
      </c>
      <c r="Q93" s="19" t="n">
        <v>105</v>
      </c>
      <c r="R93" s="16" t="inlineStr">
        <is>
          <t>28.8*29.5*160.1</t>
        </is>
      </c>
      <c r="S93" s="20" t="inlineStr">
        <is>
          <t>3 intensités, moteur à lévitation magnétique, habillage silicone alimentaire personnalisable, mémoire intelligente</t>
        </is>
      </c>
      <c r="T93" s="21" t="n">
        <v>53</v>
      </c>
      <c r="U93" s="11" t="n"/>
      <c r="V93" s="11" t="n"/>
      <c r="W93" s="11" t="n"/>
      <c r="X93" s="12" t="n"/>
      <c r="Y93" s="12" t="n"/>
      <c r="Z93" s="11" t="n"/>
      <c r="AA93" s="11" t="n"/>
      <c r="AB93" s="11" t="n"/>
      <c r="AC93" s="13">
        <f>IF(OR(Y93="",X93=""),"",Y93-X93)</f>
        <v/>
      </c>
      <c r="AD93" s="14">
        <f>IF(OR(Y93="",X93="",X93=0),"",(Y93-X93)/X93)</f>
        <v/>
      </c>
      <c r="AE93" s="15">
        <f>IF(AD93="","",IF(AD93&lt;-0.05,"Moins cher",IF(AD93&gt;0.05,"Plus cher","Équivalent")))</f>
        <v/>
      </c>
    </row>
    <row r="94">
      <c r="A94" s="4" t="inlineStr">
        <is>
          <t>SG-902</t>
        </is>
      </c>
      <c r="B94" s="4" t="inlineStr">
        <is>
          <t>Kids Sonic</t>
        </is>
      </c>
      <c r="C94" s="4" t="inlineStr">
        <is>
          <t>Sonique</t>
        </is>
      </c>
      <c r="D94" s="4" t="inlineStr">
        <is>
          <t>Enfant</t>
        </is>
      </c>
      <c r="E94" s="5" t="n">
        <v>17000</v>
      </c>
      <c r="F94" s="5" t="n">
        <v>17000</v>
      </c>
      <c r="G94" s="25" t="inlineStr">
        <is>
          <t>N/D</t>
        </is>
      </c>
      <c r="H94" s="6" t="n">
        <v>120</v>
      </c>
      <c r="I94" s="25" t="inlineStr">
        <is>
          <t>N/D</t>
        </is>
      </c>
      <c r="J94" s="4" t="inlineStr">
        <is>
          <t>Pile (1x AAA)</t>
        </is>
      </c>
      <c r="K94" s="4" t="inlineStr">
        <is>
          <t>Piles</t>
        </is>
      </c>
      <c r="L94" s="7" t="inlineStr">
        <is>
          <t>N/D</t>
        </is>
      </c>
      <c r="M94" s="4" t="inlineStr">
        <is>
          <t>IPX7</t>
        </is>
      </c>
      <c r="N94" s="4" t="inlineStr">
        <is>
          <t>Non</t>
        </is>
      </c>
      <c r="O94" s="4" t="inlineStr">
        <is>
          <t>LED blanche</t>
        </is>
      </c>
      <c r="P94" s="4" t="inlineStr">
        <is>
          <t>Oui</t>
        </is>
      </c>
      <c r="Q94" s="8" t="n">
        <v>27</v>
      </c>
      <c r="R94" s="4" t="inlineStr">
        <is>
          <t>28.5*26*145</t>
        </is>
      </c>
      <c r="S94" s="9" t="inlineStr">
        <is>
          <t>LED blanche d'observation, ventouse de maintien en option, poils souples DuPont</t>
        </is>
      </c>
      <c r="T94" s="10" t="n">
        <v>54</v>
      </c>
      <c r="U94" s="11" t="n"/>
      <c r="V94" s="11" t="n"/>
      <c r="W94" s="11" t="n"/>
      <c r="X94" s="12" t="n"/>
      <c r="Y94" s="12" t="n"/>
      <c r="Z94" s="11" t="n"/>
      <c r="AA94" s="11" t="n"/>
      <c r="AB94" s="11" t="n"/>
      <c r="AC94" s="13">
        <f>IF(OR(Y94="",X94=""),"",Y94-X94)</f>
        <v/>
      </c>
      <c r="AD94" s="14">
        <f>IF(OR(Y94="",X94="",X94=0),"",(Y94-X94)/X94)</f>
        <v/>
      </c>
      <c r="AE94" s="15">
        <f>IF(AD94="","",IF(AD94&lt;-0.05,"Moins cher",IF(AD94&gt;0.05,"Plus cher","Équivalent")))</f>
        <v/>
      </c>
    </row>
    <row r="95">
      <c r="A95" s="16" t="inlineStr">
        <is>
          <t>SG-513</t>
        </is>
      </c>
      <c r="B95" s="16" t="inlineStr">
        <is>
          <t>Kids Sonic</t>
        </is>
      </c>
      <c r="C95" s="16" t="inlineStr">
        <is>
          <t>Sonique</t>
        </is>
      </c>
      <c r="D95" s="16" t="inlineStr">
        <is>
          <t>Enfant</t>
        </is>
      </c>
      <c r="E95" s="17" t="n">
        <v>17000</v>
      </c>
      <c r="F95" s="17" t="n">
        <v>17000</v>
      </c>
      <c r="G95" s="23" t="inlineStr">
        <is>
          <t>N/D</t>
        </is>
      </c>
      <c r="H95" s="18" t="n">
        <v>150</v>
      </c>
      <c r="I95" s="23" t="inlineStr">
        <is>
          <t>N/D</t>
        </is>
      </c>
      <c r="J95" s="16" t="inlineStr">
        <is>
          <t>Pile (1x AAA)</t>
        </is>
      </c>
      <c r="K95" s="16" t="inlineStr">
        <is>
          <t>Piles</t>
        </is>
      </c>
      <c r="L95" s="22" t="inlineStr">
        <is>
          <t>N/D</t>
        </is>
      </c>
      <c r="M95" s="16" t="inlineStr">
        <is>
          <t>IPX7</t>
        </is>
      </c>
      <c r="N95" s="16" t="inlineStr">
        <is>
          <t>Non</t>
        </is>
      </c>
      <c r="O95" s="16" t="inlineStr">
        <is>
          <t>LED blanche</t>
        </is>
      </c>
      <c r="P95" s="16" t="inlineStr">
        <is>
          <t>Oui</t>
        </is>
      </c>
      <c r="Q95" s="19" t="n">
        <v>28</v>
      </c>
      <c r="R95" s="16" t="inlineStr">
        <is>
          <t>27.9*27.9*148.9</t>
        </is>
      </c>
      <c r="S95" s="20" t="inlineStr">
        <is>
          <t>Design pingouin, LED blanche d'observation, ventouse de maintien, poils souples</t>
        </is>
      </c>
      <c r="T95" s="21" t="n">
        <v>54</v>
      </c>
      <c r="U95" s="11" t="n"/>
      <c r="V95" s="11" t="n"/>
      <c r="W95" s="11" t="n"/>
      <c r="X95" s="12" t="n"/>
      <c r="Y95" s="12" t="n"/>
      <c r="Z95" s="11" t="n"/>
      <c r="AA95" s="11" t="n"/>
      <c r="AB95" s="11" t="n"/>
      <c r="AC95" s="13">
        <f>IF(OR(Y95="",X95=""),"",Y95-X95)</f>
        <v/>
      </c>
      <c r="AD95" s="14">
        <f>IF(OR(Y95="",X95="",X95=0),"",(Y95-X95)/X95)</f>
        <v/>
      </c>
      <c r="AE95" s="15">
        <f>IF(AD95="","",IF(AD95&lt;-0.05,"Moins cher",IF(AD95&gt;0.05,"Plus cher","Équivalent")))</f>
        <v/>
      </c>
    </row>
    <row r="96">
      <c r="A96" s="4" t="inlineStr">
        <is>
          <t>SG-2113</t>
        </is>
      </c>
      <c r="B96" s="4" t="inlineStr">
        <is>
          <t>Kids Sonic</t>
        </is>
      </c>
      <c r="C96" s="4" t="inlineStr">
        <is>
          <t>Sonique</t>
        </is>
      </c>
      <c r="D96" s="4" t="inlineStr">
        <is>
          <t>Enfant</t>
        </is>
      </c>
      <c r="E96" s="5" t="n">
        <v>16000</v>
      </c>
      <c r="F96" s="5" t="n">
        <v>16000</v>
      </c>
      <c r="G96" s="25" t="inlineStr">
        <is>
          <t>N/D</t>
        </is>
      </c>
      <c r="H96" s="6" t="n">
        <v>120</v>
      </c>
      <c r="I96" s="25" t="inlineStr">
        <is>
          <t>N/D</t>
        </is>
      </c>
      <c r="J96" s="4" t="inlineStr">
        <is>
          <t>Pile (1x AAA)</t>
        </is>
      </c>
      <c r="K96" s="4" t="inlineStr">
        <is>
          <t>Piles</t>
        </is>
      </c>
      <c r="L96" s="7" t="inlineStr">
        <is>
          <t>N/D</t>
        </is>
      </c>
      <c r="M96" s="4" t="inlineStr">
        <is>
          <t>IPX7</t>
        </is>
      </c>
      <c r="N96" s="4" t="inlineStr">
        <is>
          <t>Non</t>
        </is>
      </c>
      <c r="O96" s="4" t="inlineStr">
        <is>
          <t>LED colorée</t>
        </is>
      </c>
      <c r="P96" s="4" t="inlineStr">
        <is>
          <t>Oui</t>
        </is>
      </c>
      <c r="Q96" s="8" t="n">
        <v>28</v>
      </c>
      <c r="R96" s="4" t="inlineStr">
        <is>
          <t>25.5*25.5*167.5</t>
        </is>
      </c>
      <c r="S96" s="9" t="inlineStr">
        <is>
          <t>LED blanche d'observation et LED clignotantes colorées, poils souples, motifs par transfert thermique</t>
        </is>
      </c>
      <c r="T96" s="10" t="n">
        <v>55</v>
      </c>
      <c r="U96" s="11" t="n"/>
      <c r="V96" s="11" t="n"/>
      <c r="W96" s="11" t="n"/>
      <c r="X96" s="12" t="n"/>
      <c r="Y96" s="12" t="n"/>
      <c r="Z96" s="11" t="n"/>
      <c r="AA96" s="11" t="n"/>
      <c r="AB96" s="11" t="n"/>
      <c r="AC96" s="13">
        <f>IF(OR(Y96="",X96=""),"",Y96-X96)</f>
        <v/>
      </c>
      <c r="AD96" s="14">
        <f>IF(OR(Y96="",X96="",X96=0),"",(Y96-X96)/X96)</f>
        <v/>
      </c>
      <c r="AE96" s="15">
        <f>IF(AD96="","",IF(AD96&lt;-0.05,"Moins cher",IF(AD96&gt;0.05,"Plus cher","Équivalent")))</f>
        <v/>
      </c>
    </row>
    <row r="97">
      <c r="A97" s="16" t="inlineStr">
        <is>
          <t>SG-976</t>
        </is>
      </c>
      <c r="B97" s="16" t="inlineStr">
        <is>
          <t>Kids Sonic</t>
        </is>
      </c>
      <c r="C97" s="16" t="inlineStr">
        <is>
          <t>Sonique</t>
        </is>
      </c>
      <c r="D97" s="16" t="inlineStr">
        <is>
          <t>Enfant</t>
        </is>
      </c>
      <c r="E97" s="17" t="n">
        <v>16000</v>
      </c>
      <c r="F97" s="17" t="n">
        <v>16000</v>
      </c>
      <c r="G97" s="23" t="inlineStr">
        <is>
          <t>N/D</t>
        </is>
      </c>
      <c r="H97" s="18" t="n">
        <v>120</v>
      </c>
      <c r="I97" s="23" t="inlineStr">
        <is>
          <t>N/D</t>
        </is>
      </c>
      <c r="J97" s="16" t="inlineStr">
        <is>
          <t>Pile (1x AAA)</t>
        </is>
      </c>
      <c r="K97" s="16" t="inlineStr">
        <is>
          <t>Piles</t>
        </is>
      </c>
      <c r="L97" s="22" t="inlineStr">
        <is>
          <t>N/D</t>
        </is>
      </c>
      <c r="M97" s="16" t="inlineStr">
        <is>
          <t>IPX7</t>
        </is>
      </c>
      <c r="N97" s="16" t="inlineStr">
        <is>
          <t>Non</t>
        </is>
      </c>
      <c r="O97" s="16" t="inlineStr">
        <is>
          <t>LED colorée</t>
        </is>
      </c>
      <c r="P97" s="16" t="inlineStr">
        <is>
          <t>Oui</t>
        </is>
      </c>
      <c r="Q97" s="19" t="n">
        <v>31</v>
      </c>
      <c r="R97" s="16" t="inlineStr">
        <is>
          <t>25*25*164</t>
        </is>
      </c>
      <c r="S97" s="20" t="inlineStr">
        <is>
          <t>LED colorées et LED blanche d'observation, poils souples, ventouse de maintien, motifs personnalisables</t>
        </is>
      </c>
      <c r="T97" s="21" t="n">
        <v>55</v>
      </c>
      <c r="U97" s="11" t="n"/>
      <c r="V97" s="11" t="n"/>
      <c r="W97" s="11" t="n"/>
      <c r="X97" s="12" t="n"/>
      <c r="Y97" s="12" t="n"/>
      <c r="Z97" s="11" t="n"/>
      <c r="AA97" s="11" t="n"/>
      <c r="AB97" s="11" t="n"/>
      <c r="AC97" s="13">
        <f>IF(OR(Y97="",X97=""),"",Y97-X97)</f>
        <v/>
      </c>
      <c r="AD97" s="14">
        <f>IF(OR(Y97="",X97="",X97=0),"",(Y97-X97)/X97)</f>
        <v/>
      </c>
      <c r="AE97" s="15">
        <f>IF(AD97="","",IF(AD97&lt;-0.05,"Moins cher",IF(AD97&gt;0.05,"Plus cher","Équivalent")))</f>
        <v/>
      </c>
    </row>
    <row r="98">
      <c r="A98" s="4" t="inlineStr">
        <is>
          <t>SG-977</t>
        </is>
      </c>
      <c r="B98" s="4" t="inlineStr">
        <is>
          <t>Kids Sonic</t>
        </is>
      </c>
      <c r="C98" s="4" t="inlineStr">
        <is>
          <t>Sonique</t>
        </is>
      </c>
      <c r="D98" s="4" t="inlineStr">
        <is>
          <t>Enfant</t>
        </is>
      </c>
      <c r="E98" s="5" t="n">
        <v>24000</v>
      </c>
      <c r="F98" s="5" t="n">
        <v>24000</v>
      </c>
      <c r="G98" s="25" t="inlineStr">
        <is>
          <t>N/D</t>
        </is>
      </c>
      <c r="H98" s="6" t="n">
        <v>150</v>
      </c>
      <c r="I98" s="25" t="inlineStr">
        <is>
          <t>N/D</t>
        </is>
      </c>
      <c r="J98" s="4" t="inlineStr">
        <is>
          <t>Pile (1x AAA)</t>
        </is>
      </c>
      <c r="K98" s="4" t="inlineStr">
        <is>
          <t>Piles</t>
        </is>
      </c>
      <c r="L98" s="7" t="inlineStr">
        <is>
          <t>N/D</t>
        </is>
      </c>
      <c r="M98" s="4" t="inlineStr">
        <is>
          <t>IPX7</t>
        </is>
      </c>
      <c r="N98" s="4" t="inlineStr">
        <is>
          <t>Non</t>
        </is>
      </c>
      <c r="O98" s="4" t="inlineStr">
        <is>
          <t>LED colorée</t>
        </is>
      </c>
      <c r="P98" s="4" t="inlineStr">
        <is>
          <t>Oui</t>
        </is>
      </c>
      <c r="Q98" s="8" t="n">
        <v>27</v>
      </c>
      <c r="R98" s="4" t="inlineStr">
        <is>
          <t>19*19*188</t>
        </is>
      </c>
      <c r="S98" s="9" t="inlineStr">
        <is>
          <t>LED clignotantes colorées, manche antidérapant adapté aux petites mains, LED blanche d'observation, poils souples</t>
        </is>
      </c>
      <c r="T98" s="10" t="n">
        <v>56</v>
      </c>
      <c r="U98" s="11" t="n"/>
      <c r="V98" s="11" t="n"/>
      <c r="W98" s="11" t="n"/>
      <c r="X98" s="12" t="n"/>
      <c r="Y98" s="12" t="n"/>
      <c r="Z98" s="11" t="n"/>
      <c r="AA98" s="11" t="n"/>
      <c r="AB98" s="11" t="n"/>
      <c r="AC98" s="13">
        <f>IF(OR(Y98="",X98=""),"",Y98-X98)</f>
        <v/>
      </c>
      <c r="AD98" s="14">
        <f>IF(OR(Y98="",X98="",X98=0),"",(Y98-X98)/X98)</f>
        <v/>
      </c>
      <c r="AE98" s="15">
        <f>IF(AD98="","",IF(AD98&lt;-0.05,"Moins cher",IF(AD98&gt;0.05,"Plus cher","Équivalent")))</f>
        <v/>
      </c>
    </row>
    <row r="99">
      <c r="A99" s="16" t="inlineStr">
        <is>
          <t>SG-918</t>
        </is>
      </c>
      <c r="B99" s="16" t="inlineStr">
        <is>
          <t>Kids Sonic</t>
        </is>
      </c>
      <c r="C99" s="16" t="inlineStr">
        <is>
          <t>Sonique</t>
        </is>
      </c>
      <c r="D99" s="16" t="inlineStr">
        <is>
          <t>Enfant</t>
        </is>
      </c>
      <c r="E99" s="17" t="n">
        <v>17000</v>
      </c>
      <c r="F99" s="17" t="n">
        <v>17000</v>
      </c>
      <c r="G99" s="18" t="n">
        <v>2</v>
      </c>
      <c r="H99" s="18" t="n">
        <v>120</v>
      </c>
      <c r="I99" s="23" t="inlineStr">
        <is>
          <t>N/D</t>
        </is>
      </c>
      <c r="J99" s="16" t="inlineStr">
        <is>
          <t>Pile (1x AAA)</t>
        </is>
      </c>
      <c r="K99" s="16" t="inlineStr">
        <is>
          <t>Piles</t>
        </is>
      </c>
      <c r="L99" s="22" t="inlineStr">
        <is>
          <t>N/D</t>
        </is>
      </c>
      <c r="M99" s="16" t="inlineStr">
        <is>
          <t>IPX7</t>
        </is>
      </c>
      <c r="N99" s="16" t="inlineStr">
        <is>
          <t>Non</t>
        </is>
      </c>
      <c r="O99" s="16" t="inlineStr">
        <is>
          <t>LED blanche</t>
        </is>
      </c>
      <c r="P99" s="16" t="inlineStr">
        <is>
          <t>Oui</t>
        </is>
      </c>
      <c r="Q99" s="19" t="n">
        <v>24</v>
      </c>
      <c r="R99" s="16" t="inlineStr">
        <is>
          <t>19*19*176</t>
        </is>
      </c>
      <c r="S99" s="20" t="inlineStr">
        <is>
          <t>Manche fin antidérapant, LED blanche d'observation, tenon métal</t>
        </is>
      </c>
      <c r="T99" s="21" t="n">
        <v>56</v>
      </c>
      <c r="U99" s="11" t="n"/>
      <c r="V99" s="11" t="n"/>
      <c r="W99" s="11" t="n"/>
      <c r="X99" s="12" t="n"/>
      <c r="Y99" s="12" t="n"/>
      <c r="Z99" s="11" t="n"/>
      <c r="AA99" s="11" t="n"/>
      <c r="AB99" s="11" t="n"/>
      <c r="AC99" s="13">
        <f>IF(OR(Y99="",X99=""),"",Y99-X99)</f>
        <v/>
      </c>
      <c r="AD99" s="14">
        <f>IF(OR(Y99="",X99="",X99=0),"",(Y99-X99)/X99)</f>
        <v/>
      </c>
      <c r="AE99" s="15">
        <f>IF(AD99="","",IF(AD99&lt;-0.05,"Moins cher",IF(AD99&gt;0.05,"Plus cher","Équivalent")))</f>
        <v/>
      </c>
    </row>
    <row r="100">
      <c r="A100" s="4" t="inlineStr">
        <is>
          <t>SG-2107</t>
        </is>
      </c>
      <c r="B100" s="4" t="inlineStr">
        <is>
          <t>Kids Sonic</t>
        </is>
      </c>
      <c r="C100" s="4" t="inlineStr">
        <is>
          <t>Sonique</t>
        </is>
      </c>
      <c r="D100" s="4" t="inlineStr">
        <is>
          <t>Enfant</t>
        </is>
      </c>
      <c r="E100" s="5" t="n">
        <v>17000</v>
      </c>
      <c r="F100" s="5" t="n">
        <v>17000</v>
      </c>
      <c r="G100" s="25" t="inlineStr">
        <is>
          <t>N/D</t>
        </is>
      </c>
      <c r="H100" s="6" t="n">
        <v>120</v>
      </c>
      <c r="I100" s="25" t="inlineStr">
        <is>
          <t>N/D</t>
        </is>
      </c>
      <c r="J100" s="4" t="inlineStr">
        <is>
          <t>Pile (1x AAA)</t>
        </is>
      </c>
      <c r="K100" s="4" t="inlineStr">
        <is>
          <t>Piles</t>
        </is>
      </c>
      <c r="L100" s="7" t="inlineStr">
        <is>
          <t>N/D</t>
        </is>
      </c>
      <c r="M100" s="4" t="inlineStr">
        <is>
          <t>IPX7</t>
        </is>
      </c>
      <c r="N100" s="4" t="inlineStr">
        <is>
          <t>Non</t>
        </is>
      </c>
      <c r="O100" s="4" t="inlineStr">
        <is>
          <t>LED blanche</t>
        </is>
      </c>
      <c r="P100" s="4" t="inlineStr">
        <is>
          <t>Oui</t>
        </is>
      </c>
      <c r="Q100" s="8" t="n">
        <v>43.5</v>
      </c>
      <c r="R100" s="4" t="inlineStr">
        <is>
          <t>31.4*31*166</t>
        </is>
      </c>
      <c r="S100" s="9" t="inlineStr">
        <is>
          <t>Design renard avec ventouse de maintien, poils souples, LED blanche d'observation</t>
        </is>
      </c>
      <c r="T100" s="10" t="n">
        <v>57</v>
      </c>
      <c r="U100" s="11" t="n"/>
      <c r="V100" s="11" t="n"/>
      <c r="W100" s="11" t="n"/>
      <c r="X100" s="12" t="n"/>
      <c r="Y100" s="12" t="n"/>
      <c r="Z100" s="11" t="n"/>
      <c r="AA100" s="11" t="n"/>
      <c r="AB100" s="11" t="n"/>
      <c r="AC100" s="13">
        <f>IF(OR(Y100="",X100=""),"",Y100-X100)</f>
        <v/>
      </c>
      <c r="AD100" s="14">
        <f>IF(OR(Y100="",X100="",X100=0),"",(Y100-X100)/X100)</f>
        <v/>
      </c>
      <c r="AE100" s="15">
        <f>IF(AD100="","",IF(AD100&lt;-0.05,"Moins cher",IF(AD100&gt;0.05,"Plus cher","Équivalent")))</f>
        <v/>
      </c>
    </row>
    <row r="101">
      <c r="A101" s="16" t="inlineStr">
        <is>
          <t>SG-921</t>
        </is>
      </c>
      <c r="B101" s="16" t="inlineStr">
        <is>
          <t>Kids Sonic</t>
        </is>
      </c>
      <c r="C101" s="16" t="inlineStr">
        <is>
          <t>Sonique</t>
        </is>
      </c>
      <c r="D101" s="16" t="inlineStr">
        <is>
          <t>Enfant</t>
        </is>
      </c>
      <c r="E101" s="17" t="n">
        <v>22000</v>
      </c>
      <c r="F101" s="17" t="n">
        <v>22000</v>
      </c>
      <c r="G101" s="23" t="inlineStr">
        <is>
          <t>N/D</t>
        </is>
      </c>
      <c r="H101" s="18" t="n">
        <v>60</v>
      </c>
      <c r="I101" s="23" t="inlineStr">
        <is>
          <t>N/D</t>
        </is>
      </c>
      <c r="J101" s="16" t="inlineStr">
        <is>
          <t>Piles (2x AAA)</t>
        </is>
      </c>
      <c r="K101" s="16" t="inlineStr">
        <is>
          <t>Piles</t>
        </is>
      </c>
      <c r="L101" s="22" t="inlineStr">
        <is>
          <t>N/D</t>
        </is>
      </c>
      <c r="M101" s="16" t="inlineStr">
        <is>
          <t>IPX5</t>
        </is>
      </c>
      <c r="N101" s="16" t="inlineStr">
        <is>
          <t>Non</t>
        </is>
      </c>
      <c r="O101" s="16" t="inlineStr">
        <is>
          <t>LED colorée</t>
        </is>
      </c>
      <c r="P101" s="16" t="inlineStr">
        <is>
          <t>Oui</t>
        </is>
      </c>
      <c r="Q101" s="19" t="n">
        <v>54</v>
      </c>
      <c r="R101" s="16" t="inlineStr">
        <is>
          <t>57*57*202</t>
        </is>
      </c>
      <c r="S101" s="20" t="inlineStr">
        <is>
          <t>7 chansons intégrées, forme dauphin, LED blanche d'observation et LED colorées</t>
        </is>
      </c>
      <c r="T101" s="21" t="n">
        <v>57</v>
      </c>
      <c r="U101" s="11" t="n"/>
      <c r="V101" s="11" t="n"/>
      <c r="W101" s="11" t="n"/>
      <c r="X101" s="12" t="n"/>
      <c r="Y101" s="12" t="n"/>
      <c r="Z101" s="11" t="n"/>
      <c r="AA101" s="11" t="n"/>
      <c r="AB101" s="11" t="n"/>
      <c r="AC101" s="13">
        <f>IF(OR(Y101="",X101=""),"",Y101-X101)</f>
        <v/>
      </c>
      <c r="AD101" s="14">
        <f>IF(OR(Y101="",X101="",X101=0),"",(Y101-X101)/X101)</f>
        <v/>
      </c>
      <c r="AE101" s="15">
        <f>IF(AD101="","",IF(AD101&lt;-0.05,"Moins cher",IF(AD101&gt;0.05,"Plus cher","Équivalent")))</f>
        <v/>
      </c>
    </row>
    <row r="102">
      <c r="A102" s="4" t="inlineStr">
        <is>
          <t>SG-961</t>
        </is>
      </c>
      <c r="B102" s="4" t="inlineStr">
        <is>
          <t>Kids Sonic</t>
        </is>
      </c>
      <c r="C102" s="4" t="inlineStr">
        <is>
          <t>Sonique</t>
        </is>
      </c>
      <c r="D102" s="4" t="inlineStr">
        <is>
          <t>Enfant</t>
        </is>
      </c>
      <c r="E102" s="5" t="n">
        <v>24000</v>
      </c>
      <c r="F102" s="5" t="n">
        <v>24000</v>
      </c>
      <c r="G102" s="25" t="inlineStr">
        <is>
          <t>N/D</t>
        </is>
      </c>
      <c r="H102" s="6" t="n">
        <v>210</v>
      </c>
      <c r="I102" s="25" t="inlineStr">
        <is>
          <t>N/D</t>
        </is>
      </c>
      <c r="J102" s="4" t="inlineStr">
        <is>
          <t>Pile (1x AA)</t>
        </is>
      </c>
      <c r="K102" s="4" t="inlineStr">
        <is>
          <t>Piles</t>
        </is>
      </c>
      <c r="L102" s="7" t="inlineStr">
        <is>
          <t>N/D</t>
        </is>
      </c>
      <c r="M102" s="4" t="inlineStr">
        <is>
          <t>IPX7</t>
        </is>
      </c>
      <c r="N102" s="4" t="inlineStr">
        <is>
          <t>Non</t>
        </is>
      </c>
      <c r="O102" s="4" t="inlineStr">
        <is>
          <t>Aucun</t>
        </is>
      </c>
      <c r="P102" s="4" t="inlineStr">
        <is>
          <t>Non</t>
        </is>
      </c>
      <c r="Q102" s="8" t="n">
        <v>36</v>
      </c>
      <c r="R102" s="4" t="inlineStr">
        <is>
          <t>26*26*211</t>
        </is>
      </c>
      <c r="S102" s="9" t="inlineStr">
        <is>
          <t>Design ergonomique antidérapant, longue autonomie à prix contenu, poils souples</t>
        </is>
      </c>
      <c r="T102" s="10" t="n">
        <v>58</v>
      </c>
      <c r="U102" s="11" t="n"/>
      <c r="V102" s="11" t="n"/>
      <c r="W102" s="11" t="n"/>
      <c r="X102" s="12" t="n"/>
      <c r="Y102" s="12" t="n"/>
      <c r="Z102" s="11" t="n"/>
      <c r="AA102" s="11" t="n"/>
      <c r="AB102" s="11" t="n"/>
      <c r="AC102" s="13">
        <f>IF(OR(Y102="",X102=""),"",Y102-X102)</f>
        <v/>
      </c>
      <c r="AD102" s="14">
        <f>IF(OR(Y102="",X102="",X102=0),"",(Y102-X102)/X102)</f>
        <v/>
      </c>
      <c r="AE102" s="15">
        <f>IF(AD102="","",IF(AD102&lt;-0.05,"Moins cher",IF(AD102&gt;0.05,"Plus cher","Équivalent")))</f>
        <v/>
      </c>
    </row>
    <row r="103">
      <c r="A103" s="16" t="inlineStr">
        <is>
          <t>SG-919</t>
        </is>
      </c>
      <c r="B103" s="16" t="inlineStr">
        <is>
          <t>Kids Sonic</t>
        </is>
      </c>
      <c r="C103" s="16" t="inlineStr">
        <is>
          <t>Sonique</t>
        </is>
      </c>
      <c r="D103" s="16" t="inlineStr">
        <is>
          <t>Enfant</t>
        </is>
      </c>
      <c r="E103" s="17" t="n">
        <v>18000</v>
      </c>
      <c r="F103" s="17" t="n">
        <v>18000</v>
      </c>
      <c r="G103" s="23" t="inlineStr">
        <is>
          <t>N/D</t>
        </is>
      </c>
      <c r="H103" s="18" t="n">
        <v>60</v>
      </c>
      <c r="I103" s="23" t="inlineStr">
        <is>
          <t>N/D</t>
        </is>
      </c>
      <c r="J103" s="16" t="inlineStr">
        <is>
          <t>Pile (1x AA)</t>
        </is>
      </c>
      <c r="K103" s="16" t="inlineStr">
        <is>
          <t>Piles</t>
        </is>
      </c>
      <c r="L103" s="22" t="inlineStr">
        <is>
          <t>N/D</t>
        </is>
      </c>
      <c r="M103" s="16" t="inlineStr">
        <is>
          <t>IPX6</t>
        </is>
      </c>
      <c r="N103" s="16" t="inlineStr">
        <is>
          <t>Non</t>
        </is>
      </c>
      <c r="O103" s="16" t="inlineStr">
        <is>
          <t>Aucun</t>
        </is>
      </c>
      <c r="P103" s="16" t="inlineStr">
        <is>
          <t>Non</t>
        </is>
      </c>
      <c r="Q103" s="19" t="n">
        <v>52</v>
      </c>
      <c r="R103" s="16" t="inlineStr">
        <is>
          <t>29*28*190</t>
        </is>
      </c>
      <c r="S103" s="20" t="inlineStr">
        <is>
          <t>Motifs par transfert thermique, poils souples</t>
        </is>
      </c>
      <c r="T103" s="21" t="n">
        <v>58</v>
      </c>
      <c r="U103" s="11" t="n"/>
      <c r="V103" s="11" t="n"/>
      <c r="W103" s="11" t="n"/>
      <c r="X103" s="12" t="n"/>
      <c r="Y103" s="12" t="n"/>
      <c r="Z103" s="11" t="n"/>
      <c r="AA103" s="11" t="n"/>
      <c r="AB103" s="11" t="n"/>
      <c r="AC103" s="13">
        <f>IF(OR(Y103="",X103=""),"",Y103-X103)</f>
        <v/>
      </c>
      <c r="AD103" s="14">
        <f>IF(OR(Y103="",X103="",X103=0),"",(Y103-X103)/X103)</f>
        <v/>
      </c>
      <c r="AE103" s="15">
        <f>IF(AD103="","",IF(AD103&lt;-0.05,"Moins cher",IF(AD103&gt;0.05,"Plus cher","Équivalent")))</f>
        <v/>
      </c>
    </row>
    <row r="104">
      <c r="A104" s="4" t="inlineStr">
        <is>
          <t>SG-2001</t>
        </is>
      </c>
      <c r="B104" s="4" t="inlineStr">
        <is>
          <t>Kids Sonic</t>
        </is>
      </c>
      <c r="C104" s="4" t="inlineStr">
        <is>
          <t>Sonique</t>
        </is>
      </c>
      <c r="D104" s="4" t="inlineStr">
        <is>
          <t>Enfant</t>
        </is>
      </c>
      <c r="E104" s="5" t="n">
        <v>38000</v>
      </c>
      <c r="F104" s="5" t="n">
        <v>38000</v>
      </c>
      <c r="G104" s="6" t="n">
        <v>3</v>
      </c>
      <c r="H104" s="6" t="n">
        <v>21</v>
      </c>
      <c r="I104" s="6" t="n">
        <v>600</v>
      </c>
      <c r="J104" s="4" t="inlineStr">
        <is>
          <t>Batterie Ni-MH rechargeable</t>
        </is>
      </c>
      <c r="K104" s="4" t="inlineStr">
        <is>
          <t>USB</t>
        </is>
      </c>
      <c r="L104" s="7" t="inlineStr">
        <is>
          <t>N/D</t>
        </is>
      </c>
      <c r="M104" s="4" t="inlineStr">
        <is>
          <t>IPX7</t>
        </is>
      </c>
      <c r="N104" s="4" t="inlineStr">
        <is>
          <t>Non</t>
        </is>
      </c>
      <c r="O104" s="4" t="inlineStr">
        <is>
          <t>Aucun</t>
        </is>
      </c>
      <c r="P104" s="4" t="inlineStr">
        <is>
          <t>Oui</t>
        </is>
      </c>
      <c r="Q104" s="8" t="n">
        <v>73</v>
      </c>
      <c r="R104" s="4" t="inlineStr">
        <is>
          <t>20.4*19.4*193.3</t>
        </is>
      </c>
      <c r="S104" s="9" t="inlineStr">
        <is>
          <t>Motifs par transfert thermique, format voyage, mémoire intelligente</t>
        </is>
      </c>
      <c r="T104" s="10" t="n">
        <v>59</v>
      </c>
      <c r="U104" s="11" t="n"/>
      <c r="V104" s="11" t="n"/>
      <c r="W104" s="11" t="n"/>
      <c r="X104" s="12" t="n"/>
      <c r="Y104" s="12" t="n"/>
      <c r="Z104" s="11" t="n"/>
      <c r="AA104" s="11" t="n"/>
      <c r="AB104" s="11" t="n"/>
      <c r="AC104" s="13">
        <f>IF(OR(Y104="",X104=""),"",Y104-X104)</f>
        <v/>
      </c>
      <c r="AD104" s="14">
        <f>IF(OR(Y104="",X104="",X104=0),"",(Y104-X104)/X104)</f>
        <v/>
      </c>
      <c r="AE104" s="15">
        <f>IF(AD104="","",IF(AD104&lt;-0.05,"Moins cher",IF(AD104&gt;0.05,"Plus cher","Équivalent")))</f>
        <v/>
      </c>
    </row>
    <row r="105">
      <c r="A105" s="16" t="inlineStr">
        <is>
          <t>SG-2008</t>
        </is>
      </c>
      <c r="B105" s="16" t="inlineStr">
        <is>
          <t>Kids Sonic</t>
        </is>
      </c>
      <c r="C105" s="16" t="inlineStr">
        <is>
          <t>Sonique</t>
        </is>
      </c>
      <c r="D105" s="16" t="inlineStr">
        <is>
          <t>Enfant</t>
        </is>
      </c>
      <c r="E105" s="17" t="n">
        <v>35000</v>
      </c>
      <c r="F105" s="17" t="n">
        <v>35000</v>
      </c>
      <c r="G105" s="18" t="n">
        <v>3</v>
      </c>
      <c r="H105" s="18" t="n">
        <v>25</v>
      </c>
      <c r="I105" s="18" t="n">
        <v>260</v>
      </c>
      <c r="J105" s="16" t="inlineStr">
        <is>
          <t>Batterie Li-ion rechargeable</t>
        </is>
      </c>
      <c r="K105" s="16" t="inlineStr">
        <is>
          <t>USB</t>
        </is>
      </c>
      <c r="L105" s="22" t="inlineStr">
        <is>
          <t>N/D</t>
        </is>
      </c>
      <c r="M105" s="16" t="inlineStr">
        <is>
          <t>IPX7</t>
        </is>
      </c>
      <c r="N105" s="16" t="inlineStr">
        <is>
          <t>Non</t>
        </is>
      </c>
      <c r="O105" s="16" t="inlineStr">
        <is>
          <t>LED colorée</t>
        </is>
      </c>
      <c r="P105" s="16" t="inlineStr">
        <is>
          <t>Oui</t>
        </is>
      </c>
      <c r="Q105" s="19" t="n">
        <v>64</v>
      </c>
      <c r="R105" s="16" t="inlineStr">
        <is>
          <t>37.6*33.1*183.7</t>
        </is>
      </c>
      <c r="S105" s="20" t="inlineStr">
        <is>
          <t>Habillage silicone alimentaire personnalisable, éclairage LED et design animalier</t>
        </is>
      </c>
      <c r="T105" s="21" t="n">
        <v>59</v>
      </c>
      <c r="U105" s="11" t="n"/>
      <c r="V105" s="11" t="n"/>
      <c r="W105" s="11" t="n"/>
      <c r="X105" s="12" t="n"/>
      <c r="Y105" s="12" t="n"/>
      <c r="Z105" s="11" t="n"/>
      <c r="AA105" s="11" t="n"/>
      <c r="AB105" s="11" t="n"/>
      <c r="AC105" s="13">
        <f>IF(OR(Y105="",X105=""),"",Y105-X105)</f>
        <v/>
      </c>
      <c r="AD105" s="14">
        <f>IF(OR(Y105="",X105="",X105=0),"",(Y105-X105)/X105)</f>
        <v/>
      </c>
      <c r="AE105" s="15">
        <f>IF(AD105="","",IF(AD105&lt;-0.05,"Moins cher",IF(AD105&gt;0.05,"Plus cher","Équivalent")))</f>
        <v/>
      </c>
    </row>
    <row r="106">
      <c r="A106" s="4" t="inlineStr">
        <is>
          <t>SG-567</t>
        </is>
      </c>
      <c r="B106" s="4" t="inlineStr">
        <is>
          <t>Kids Sonic</t>
        </is>
      </c>
      <c r="C106" s="4" t="inlineStr">
        <is>
          <t>Sonique</t>
        </is>
      </c>
      <c r="D106" s="4" t="inlineStr">
        <is>
          <t>Enfant</t>
        </is>
      </c>
      <c r="E106" s="5" t="n">
        <v>31000</v>
      </c>
      <c r="F106" s="5" t="n">
        <v>31000</v>
      </c>
      <c r="G106" s="6" t="n">
        <v>2</v>
      </c>
      <c r="H106" s="25" t="inlineStr">
        <is>
          <t>N/D</t>
        </is>
      </c>
      <c r="I106" s="6" t="n">
        <v>600</v>
      </c>
      <c r="J106" s="4" t="inlineStr">
        <is>
          <t>Batterie Li-ion rechargeable</t>
        </is>
      </c>
      <c r="K106" s="4" t="inlineStr">
        <is>
          <t>USB</t>
        </is>
      </c>
      <c r="L106" s="7" t="inlineStr">
        <is>
          <t>N/D</t>
        </is>
      </c>
      <c r="M106" s="4" t="inlineStr">
        <is>
          <t>IPX7</t>
        </is>
      </c>
      <c r="N106" s="4" t="inlineStr">
        <is>
          <t>Non</t>
        </is>
      </c>
      <c r="O106" s="4" t="inlineStr">
        <is>
          <t>Aucun</t>
        </is>
      </c>
      <c r="P106" s="4" t="inlineStr">
        <is>
          <t>Oui</t>
        </is>
      </c>
      <c r="Q106" s="8" t="n">
        <v>82.2</v>
      </c>
      <c r="R106" s="4" t="inlineStr">
        <is>
          <t>25*23*225</t>
        </is>
      </c>
      <c r="S106" s="9" t="inlineStr">
        <is>
          <t>Moteur à lévitation magnétique amplitude 6 mm, motifs par transfert thermique</t>
        </is>
      </c>
      <c r="T106" s="10" t="n">
        <v>60</v>
      </c>
      <c r="U106" s="11" t="n"/>
      <c r="V106" s="11" t="n"/>
      <c r="W106" s="11" t="n"/>
      <c r="X106" s="12" t="n"/>
      <c r="Y106" s="12" t="n"/>
      <c r="Z106" s="11" t="n"/>
      <c r="AA106" s="11" t="n"/>
      <c r="AB106" s="11" t="n"/>
      <c r="AC106" s="13">
        <f>IF(OR(Y106="",X106=""),"",Y106-X106)</f>
        <v/>
      </c>
      <c r="AD106" s="14">
        <f>IF(OR(Y106="",X106="",X106=0),"",(Y106-X106)/X106)</f>
        <v/>
      </c>
      <c r="AE106" s="15">
        <f>IF(AD106="","",IF(AD106&lt;-0.05,"Moins cher",IF(AD106&gt;0.05,"Plus cher","Équivalent")))</f>
        <v/>
      </c>
    </row>
    <row r="107">
      <c r="A107" s="16" t="inlineStr">
        <is>
          <t>SG-2711</t>
        </is>
      </c>
      <c r="B107" s="16" t="inlineStr">
        <is>
          <t>Kids Sonic</t>
        </is>
      </c>
      <c r="C107" s="16" t="inlineStr">
        <is>
          <t>Sonique</t>
        </is>
      </c>
      <c r="D107" s="16" t="inlineStr">
        <is>
          <t>Enfant</t>
        </is>
      </c>
      <c r="E107" s="17" t="n">
        <v>31000</v>
      </c>
      <c r="F107" s="17" t="n">
        <v>31000</v>
      </c>
      <c r="G107" s="18" t="n">
        <v>2</v>
      </c>
      <c r="H107" s="23" t="inlineStr">
        <is>
          <t>N/D</t>
        </is>
      </c>
      <c r="I107" s="18" t="n">
        <v>600</v>
      </c>
      <c r="J107" s="16" t="inlineStr">
        <is>
          <t>Batterie Li-ion rechargeable</t>
        </is>
      </c>
      <c r="K107" s="16" t="inlineStr">
        <is>
          <t>USB</t>
        </is>
      </c>
      <c r="L107" s="22" t="inlineStr">
        <is>
          <t>N/D</t>
        </is>
      </c>
      <c r="M107" s="16" t="inlineStr">
        <is>
          <t>IPX7</t>
        </is>
      </c>
      <c r="N107" s="16" t="inlineStr">
        <is>
          <t>Non</t>
        </is>
      </c>
      <c r="O107" s="16" t="inlineStr">
        <is>
          <t>Aucun</t>
        </is>
      </c>
      <c r="P107" s="16" t="inlineStr">
        <is>
          <t>Oui</t>
        </is>
      </c>
      <c r="Q107" s="19" t="n">
        <v>82.2</v>
      </c>
      <c r="R107" s="16" t="inlineStr">
        <is>
          <t>25*23*225</t>
        </is>
      </c>
      <c r="S107" s="20" t="inlineStr">
        <is>
          <t>Connectivité Bluetooth / WiFi avec pilotage par application, moteur à lévitation magnétique amplitude 6 mm, motifs par transfert thermique</t>
        </is>
      </c>
      <c r="T107" s="21" t="n">
        <v>60</v>
      </c>
      <c r="U107" s="11" t="n"/>
      <c r="V107" s="11" t="n"/>
      <c r="W107" s="11" t="n"/>
      <c r="X107" s="12" t="n"/>
      <c r="Y107" s="12" t="n"/>
      <c r="Z107" s="11" t="n"/>
      <c r="AA107" s="11" t="n"/>
      <c r="AB107" s="11" t="n"/>
      <c r="AC107" s="13">
        <f>IF(OR(Y107="",X107=""),"",Y107-X107)</f>
        <v/>
      </c>
      <c r="AD107" s="14">
        <f>IF(OR(Y107="",X107="",X107=0),"",(Y107-X107)/X107)</f>
        <v/>
      </c>
      <c r="AE107" s="15">
        <f>IF(AD107="","",IF(AD107&lt;-0.05,"Moins cher",IF(AD107&gt;0.05,"Plus cher","Équivalent")))</f>
        <v/>
      </c>
    </row>
    <row r="108">
      <c r="A108" s="4" t="inlineStr">
        <is>
          <t>SG-2607</t>
        </is>
      </c>
      <c r="B108" s="4" t="inlineStr">
        <is>
          <t>Rotating Clean</t>
        </is>
      </c>
      <c r="C108" s="4" t="inlineStr">
        <is>
          <t>Rotative / oscillante</t>
        </is>
      </c>
      <c r="D108" s="4" t="inlineStr">
        <is>
          <t>Adulte</t>
        </is>
      </c>
      <c r="E108" s="5" t="n">
        <v>8000</v>
      </c>
      <c r="F108" s="5" t="n">
        <v>8000</v>
      </c>
      <c r="G108" s="6" t="n">
        <v>5</v>
      </c>
      <c r="H108" s="6" t="n">
        <v>21</v>
      </c>
      <c r="I108" s="6" t="n">
        <v>700</v>
      </c>
      <c r="J108" s="4" t="inlineStr">
        <is>
          <t>Batterie Li-ion rechargeable</t>
        </is>
      </c>
      <c r="K108" s="4" t="inlineStr">
        <is>
          <t>USB</t>
        </is>
      </c>
      <c r="L108" s="7" t="inlineStr">
        <is>
          <t>N/D</t>
        </is>
      </c>
      <c r="M108" s="4" t="inlineStr">
        <is>
          <t>IPX7</t>
        </is>
      </c>
      <c r="N108" s="4" t="inlineStr">
        <is>
          <t>Non</t>
        </is>
      </c>
      <c r="O108" s="4" t="inlineStr">
        <is>
          <t>Écran digital</t>
        </is>
      </c>
      <c r="P108" s="4" t="inlineStr">
        <is>
          <t>Oui</t>
        </is>
      </c>
      <c r="Q108" s="8" t="n">
        <v>98</v>
      </c>
      <c r="R108" s="4" t="inlineStr">
        <is>
          <t>28.3*25.5*199.1</t>
        </is>
      </c>
      <c r="S108" s="9" t="inlineStr">
        <is>
          <t>Panneau digital de changement de mode, mémoire intelligente, protection surcharge et décharge profonde, indicateur batterie</t>
        </is>
      </c>
      <c r="T108" s="10" t="n">
        <v>62</v>
      </c>
      <c r="U108" s="11" t="n"/>
      <c r="V108" s="11" t="n"/>
      <c r="W108" s="11" t="n"/>
      <c r="X108" s="12" t="n"/>
      <c r="Y108" s="12" t="n"/>
      <c r="Z108" s="11" t="n"/>
      <c r="AA108" s="11" t="n"/>
      <c r="AB108" s="11" t="n"/>
      <c r="AC108" s="13">
        <f>IF(OR(Y108="",X108=""),"",Y108-X108)</f>
        <v/>
      </c>
      <c r="AD108" s="14">
        <f>IF(OR(Y108="",X108="",X108=0),"",(Y108-X108)/X108)</f>
        <v/>
      </c>
      <c r="AE108" s="15">
        <f>IF(AD108="","",IF(AD108&lt;-0.05,"Moins cher",IF(AD108&gt;0.05,"Plus cher","Équivalent")))</f>
        <v/>
      </c>
    </row>
    <row r="109">
      <c r="A109" s="16" t="inlineStr">
        <is>
          <t>SG-2606</t>
        </is>
      </c>
      <c r="B109" s="16" t="inlineStr">
        <is>
          <t>Rotating Clean</t>
        </is>
      </c>
      <c r="C109" s="16" t="inlineStr">
        <is>
          <t>Rotative / oscillante</t>
        </is>
      </c>
      <c r="D109" s="16" t="inlineStr">
        <is>
          <t>Adulte</t>
        </is>
      </c>
      <c r="E109" s="17" t="n">
        <v>6000</v>
      </c>
      <c r="F109" s="17" t="n">
        <v>6000</v>
      </c>
      <c r="G109" s="23" t="inlineStr">
        <is>
          <t>N/D</t>
        </is>
      </c>
      <c r="H109" s="18" t="n">
        <v>60</v>
      </c>
      <c r="I109" s="23" t="inlineStr">
        <is>
          <t>N/D</t>
        </is>
      </c>
      <c r="J109" s="16" t="inlineStr">
        <is>
          <t>Piles (2x AA)</t>
        </is>
      </c>
      <c r="K109" s="16" t="inlineStr">
        <is>
          <t>Piles</t>
        </is>
      </c>
      <c r="L109" s="22" t="inlineStr">
        <is>
          <t>N/D</t>
        </is>
      </c>
      <c r="M109" s="16" t="inlineStr">
        <is>
          <t>IPX6</t>
        </is>
      </c>
      <c r="N109" s="16" t="inlineStr">
        <is>
          <t>Non</t>
        </is>
      </c>
      <c r="O109" s="16" t="inlineStr">
        <is>
          <t>Aucun</t>
        </is>
      </c>
      <c r="P109" s="16" t="inlineStr">
        <is>
          <t>Non</t>
        </is>
      </c>
      <c r="Q109" s="19" t="n">
        <v>87</v>
      </c>
      <c r="R109" s="16" t="inlineStr">
        <is>
          <t>29.8*40.1*206</t>
        </is>
      </c>
      <c r="S109" s="20" t="inlineStr">
        <is>
          <t>Compatible têtes Oral-B, manche antidérapant, design ergonomique</t>
        </is>
      </c>
      <c r="T109" s="21" t="n">
        <v>62</v>
      </c>
      <c r="U109" s="11" t="n"/>
      <c r="V109" s="11" t="n"/>
      <c r="W109" s="11" t="n"/>
      <c r="X109" s="12" t="n"/>
      <c r="Y109" s="12" t="n"/>
      <c r="Z109" s="11" t="n"/>
      <c r="AA109" s="11" t="n"/>
      <c r="AB109" s="11" t="n"/>
      <c r="AC109" s="13">
        <f>IF(OR(Y109="",X109=""),"",Y109-X109)</f>
        <v/>
      </c>
      <c r="AD109" s="14">
        <f>IF(OR(Y109="",X109="",X109=0),"",(Y109-X109)/X109)</f>
        <v/>
      </c>
      <c r="AE109" s="15">
        <f>IF(AD109="","",IF(AD109&lt;-0.05,"Moins cher",IF(AD109&gt;0.05,"Plus cher","Équivalent")))</f>
        <v/>
      </c>
    </row>
    <row r="110">
      <c r="A110" s="4" t="inlineStr">
        <is>
          <t>SG-2603</t>
        </is>
      </c>
      <c r="B110" s="4" t="inlineStr">
        <is>
          <t>Rotating Clean</t>
        </is>
      </c>
      <c r="C110" s="4" t="inlineStr">
        <is>
          <t>Rotative / oscillante</t>
        </is>
      </c>
      <c r="D110" s="4" t="inlineStr">
        <is>
          <t>Adulte</t>
        </is>
      </c>
      <c r="E110" s="5" t="n">
        <v>8000</v>
      </c>
      <c r="F110" s="5" t="n">
        <v>8000</v>
      </c>
      <c r="G110" s="6" t="n">
        <v>5</v>
      </c>
      <c r="H110" s="6" t="n">
        <v>30</v>
      </c>
      <c r="I110" s="6" t="n">
        <v>700</v>
      </c>
      <c r="J110" s="4" t="inlineStr">
        <is>
          <t>Batterie Li-ion rechargeable</t>
        </is>
      </c>
      <c r="K110" s="4" t="inlineStr">
        <is>
          <t>Type-C</t>
        </is>
      </c>
      <c r="L110" s="8" t="n">
        <v>4</v>
      </c>
      <c r="M110" s="4" t="inlineStr">
        <is>
          <t>IPX6</t>
        </is>
      </c>
      <c r="N110" s="4" t="inlineStr">
        <is>
          <t>Non</t>
        </is>
      </c>
      <c r="O110" s="4" t="inlineStr">
        <is>
          <t>Aucun</t>
        </is>
      </c>
      <c r="P110" s="4" t="inlineStr">
        <is>
          <t>Oui</t>
        </is>
      </c>
      <c r="Q110" s="8" t="n">
        <v>103</v>
      </c>
      <c r="R110" s="4" t="inlineStr">
        <is>
          <t>28.3*25.5*237</t>
        </is>
      </c>
      <c r="S110" s="9" t="inlineStr">
        <is>
          <t>Charge rapide 4 h pour 30 jours, tête remplaçable</t>
        </is>
      </c>
      <c r="T110" s="10" t="n">
        <v>63</v>
      </c>
      <c r="U110" s="11" t="n"/>
      <c r="V110" s="11" t="n"/>
      <c r="W110" s="11" t="n"/>
      <c r="X110" s="12" t="n"/>
      <c r="Y110" s="12" t="n"/>
      <c r="Z110" s="11" t="n"/>
      <c r="AA110" s="11" t="n"/>
      <c r="AB110" s="11" t="n"/>
      <c r="AC110" s="13">
        <f>IF(OR(Y110="",X110=""),"",Y110-X110)</f>
        <v/>
      </c>
      <c r="AD110" s="14">
        <f>IF(OR(Y110="",X110="",X110=0),"",(Y110-X110)/X110)</f>
        <v/>
      </c>
      <c r="AE110" s="15">
        <f>IF(AD110="","",IF(AD110&lt;-0.05,"Moins cher",IF(AD110&gt;0.05,"Plus cher","Équivalent")))</f>
        <v/>
      </c>
    </row>
    <row r="111">
      <c r="A111" s="16" t="inlineStr">
        <is>
          <t>SG-930</t>
        </is>
      </c>
      <c r="B111" s="16" t="inlineStr">
        <is>
          <t>Rotating Clean</t>
        </is>
      </c>
      <c r="C111" s="16" t="inlineStr">
        <is>
          <t>Rotative / oscillante</t>
        </is>
      </c>
      <c r="D111" s="16" t="inlineStr">
        <is>
          <t>Enfant</t>
        </is>
      </c>
      <c r="E111" s="17" t="n">
        <v>16000</v>
      </c>
      <c r="F111" s="17" t="n">
        <v>16000</v>
      </c>
      <c r="G111" s="23" t="inlineStr">
        <is>
          <t>N/D</t>
        </is>
      </c>
      <c r="H111" s="18" t="n">
        <v>60</v>
      </c>
      <c r="I111" s="23" t="inlineStr">
        <is>
          <t>N/D</t>
        </is>
      </c>
      <c r="J111" s="16" t="inlineStr">
        <is>
          <t>Piles (2x AAA)</t>
        </is>
      </c>
      <c r="K111" s="16" t="inlineStr">
        <is>
          <t>Piles</t>
        </is>
      </c>
      <c r="L111" s="22" t="inlineStr">
        <is>
          <t>N/D</t>
        </is>
      </c>
      <c r="M111" s="16" t="inlineStr">
        <is>
          <t>IPX6</t>
        </is>
      </c>
      <c r="N111" s="16" t="inlineStr">
        <is>
          <t>Non</t>
        </is>
      </c>
      <c r="O111" s="16" t="inlineStr">
        <is>
          <t>Aucun</t>
        </is>
      </c>
      <c r="P111" s="16" t="inlineStr">
        <is>
          <t>Non</t>
        </is>
      </c>
      <c r="Q111" s="19" t="n">
        <v>76</v>
      </c>
      <c r="R111" s="16" t="inlineStr">
        <is>
          <t>29.07*28.6*200.7</t>
        </is>
      </c>
      <c r="S111" s="20" t="inlineStr">
        <is>
          <t>Motifs par transfert thermique, poils souples</t>
        </is>
      </c>
      <c r="T111" s="21" t="n">
        <v>64</v>
      </c>
      <c r="U111" s="11" t="n"/>
      <c r="V111" s="11" t="n"/>
      <c r="W111" s="11" t="n"/>
      <c r="X111" s="12" t="n"/>
      <c r="Y111" s="12" t="n"/>
      <c r="Z111" s="11" t="n"/>
      <c r="AA111" s="11" t="n"/>
      <c r="AB111" s="11" t="n"/>
      <c r="AC111" s="13">
        <f>IF(OR(Y111="",X111=""),"",Y111-X111)</f>
        <v/>
      </c>
      <c r="AD111" s="14">
        <f>IF(OR(Y111="",X111="",X111=0),"",(Y111-X111)/X111)</f>
        <v/>
      </c>
      <c r="AE111" s="15">
        <f>IF(AD111="","",IF(AD111&lt;-0.05,"Moins cher",IF(AD111&gt;0.05,"Plus cher","Équivalent")))</f>
        <v/>
      </c>
    </row>
    <row r="112">
      <c r="A112" s="4" t="inlineStr">
        <is>
          <t>SG-533</t>
        </is>
      </c>
      <c r="B112" s="4" t="inlineStr">
        <is>
          <t>Rotating Clean</t>
        </is>
      </c>
      <c r="C112" s="4" t="inlineStr">
        <is>
          <t>Rotative / oscillante</t>
        </is>
      </c>
      <c r="D112" s="4" t="inlineStr">
        <is>
          <t>Adulte</t>
        </is>
      </c>
      <c r="E112" s="5" t="n">
        <v>9000</v>
      </c>
      <c r="F112" s="5" t="n">
        <v>9000</v>
      </c>
      <c r="G112" s="25" t="inlineStr">
        <is>
          <t>N/D</t>
        </is>
      </c>
      <c r="H112" s="6" t="n">
        <v>75</v>
      </c>
      <c r="I112" s="25" t="inlineStr">
        <is>
          <t>N/D</t>
        </is>
      </c>
      <c r="J112" s="4" t="inlineStr">
        <is>
          <t>Piles (2x AA)</t>
        </is>
      </c>
      <c r="K112" s="4" t="inlineStr">
        <is>
          <t>Piles</t>
        </is>
      </c>
      <c r="L112" s="7" t="inlineStr">
        <is>
          <t>N/D</t>
        </is>
      </c>
      <c r="M112" s="4" t="inlineStr">
        <is>
          <t>IPX6</t>
        </is>
      </c>
      <c r="N112" s="4" t="inlineStr">
        <is>
          <t>Non</t>
        </is>
      </c>
      <c r="O112" s="4" t="inlineStr">
        <is>
          <t>Aucun</t>
        </is>
      </c>
      <c r="P112" s="4" t="inlineStr">
        <is>
          <t>Non</t>
        </is>
      </c>
      <c r="Q112" s="8" t="n">
        <v>80</v>
      </c>
      <c r="R112" s="4" t="inlineStr">
        <is>
          <t>38.8*24.3*198</t>
        </is>
      </c>
      <c r="S112" s="9" t="inlineStr">
        <is>
          <t>Têtes double action, manche antidérapant, poils souples</t>
        </is>
      </c>
      <c r="T112" s="10" t="n">
        <v>64</v>
      </c>
      <c r="U112" s="11" t="n"/>
      <c r="V112" s="11" t="n"/>
      <c r="W112" s="11" t="n"/>
      <c r="X112" s="12" t="n"/>
      <c r="Y112" s="12" t="n"/>
      <c r="Z112" s="11" t="n"/>
      <c r="AA112" s="11" t="n"/>
      <c r="AB112" s="11" t="n"/>
      <c r="AC112" s="13">
        <f>IF(OR(Y112="",X112=""),"",Y112-X112)</f>
        <v/>
      </c>
      <c r="AD112" s="14">
        <f>IF(OR(Y112="",X112="",X112=0),"",(Y112-X112)/X112)</f>
        <v/>
      </c>
      <c r="AE112" s="15">
        <f>IF(AD112="","",IF(AD112&lt;-0.05,"Moins cher",IF(AD112&gt;0.05,"Plus cher","Équivalent")))</f>
        <v/>
      </c>
    </row>
    <row r="113">
      <c r="A113" s="16" t="inlineStr">
        <is>
          <t>SG-587</t>
        </is>
      </c>
      <c r="B113" s="16" t="inlineStr">
        <is>
          <t>Rotating Clean</t>
        </is>
      </c>
      <c r="C113" s="16" t="inlineStr">
        <is>
          <t>Rotative / oscillante</t>
        </is>
      </c>
      <c r="D113" s="16" t="inlineStr">
        <is>
          <t>Enfant</t>
        </is>
      </c>
      <c r="E113" s="17" t="n">
        <v>16000</v>
      </c>
      <c r="F113" s="17" t="n">
        <v>16000</v>
      </c>
      <c r="G113" s="23" t="inlineStr">
        <is>
          <t>N/D</t>
        </is>
      </c>
      <c r="H113" s="18" t="n">
        <v>40</v>
      </c>
      <c r="I113" s="23" t="inlineStr">
        <is>
          <t>N/D</t>
        </is>
      </c>
      <c r="J113" s="16" t="inlineStr">
        <is>
          <t>Piles (2x AAA)</t>
        </is>
      </c>
      <c r="K113" s="16" t="inlineStr">
        <is>
          <t>Piles</t>
        </is>
      </c>
      <c r="L113" s="22" t="inlineStr">
        <is>
          <t>N/D</t>
        </is>
      </c>
      <c r="M113" s="16" t="inlineStr">
        <is>
          <t>IPX6</t>
        </is>
      </c>
      <c r="N113" s="16" t="inlineStr">
        <is>
          <t>Non</t>
        </is>
      </c>
      <c r="O113" s="16" t="inlineStr">
        <is>
          <t>Aucun</t>
        </is>
      </c>
      <c r="P113" s="16" t="inlineStr">
        <is>
          <t>Non</t>
        </is>
      </c>
      <c r="Q113" s="19" t="n">
        <v>55</v>
      </c>
      <c r="R113" s="16" t="inlineStr">
        <is>
          <t>29*29*201</t>
        </is>
      </c>
      <c r="S113" s="20" t="inlineStr">
        <is>
          <t>Motifs par transfert thermique, design ergonomique</t>
        </is>
      </c>
      <c r="T113" s="21" t="n">
        <v>65</v>
      </c>
      <c r="U113" s="11" t="n"/>
      <c r="V113" s="11" t="n"/>
      <c r="W113" s="11" t="n"/>
      <c r="X113" s="12" t="n"/>
      <c r="Y113" s="12" t="n"/>
      <c r="Z113" s="11" t="n"/>
      <c r="AA113" s="11" t="n"/>
      <c r="AB113" s="11" t="n"/>
      <c r="AC113" s="13">
        <f>IF(OR(Y113="",X113=""),"",Y113-X113)</f>
        <v/>
      </c>
      <c r="AD113" s="14">
        <f>IF(OR(Y113="",X113="",X113=0),"",(Y113-X113)/X113)</f>
        <v/>
      </c>
      <c r="AE113" s="15">
        <f>IF(AD113="","",IF(AD113&lt;-0.05,"Moins cher",IF(AD113&gt;0.05,"Plus cher","Équivalent")))</f>
        <v/>
      </c>
    </row>
    <row r="114">
      <c r="A114" s="4" t="inlineStr">
        <is>
          <t>SG-2602</t>
        </is>
      </c>
      <c r="B114" s="4" t="inlineStr">
        <is>
          <t>Rotating Clean</t>
        </is>
      </c>
      <c r="C114" s="4" t="inlineStr">
        <is>
          <t>Rotative / oscillante</t>
        </is>
      </c>
      <c r="D114" s="4" t="inlineStr">
        <is>
          <t>Enfant</t>
        </is>
      </c>
      <c r="E114" s="5" t="n">
        <v>16000</v>
      </c>
      <c r="F114" s="5" t="n">
        <v>16000</v>
      </c>
      <c r="G114" s="25" t="inlineStr">
        <is>
          <t>N/D</t>
        </is>
      </c>
      <c r="H114" s="6" t="n">
        <v>40</v>
      </c>
      <c r="I114" s="25" t="inlineStr">
        <is>
          <t>N/D</t>
        </is>
      </c>
      <c r="J114" s="4" t="inlineStr">
        <is>
          <t>Piles (2x AAA)</t>
        </is>
      </c>
      <c r="K114" s="4" t="inlineStr">
        <is>
          <t>Piles</t>
        </is>
      </c>
      <c r="L114" s="7" t="inlineStr">
        <is>
          <t>N/D</t>
        </is>
      </c>
      <c r="M114" s="4" t="inlineStr">
        <is>
          <t>IPX6</t>
        </is>
      </c>
      <c r="N114" s="4" t="inlineStr">
        <is>
          <t>Non</t>
        </is>
      </c>
      <c r="O114" s="4" t="inlineStr">
        <is>
          <t>Aucun</t>
        </is>
      </c>
      <c r="P114" s="4" t="inlineStr">
        <is>
          <t>Oui</t>
        </is>
      </c>
      <c r="Q114" s="8" t="n">
        <v>65</v>
      </c>
      <c r="R114" s="4" t="inlineStr">
        <is>
          <t>29.8*29.8*219.7</t>
        </is>
      </c>
      <c r="S114" s="9" t="inlineStr">
        <is>
          <t>Motifs par transfert thermique, design ergonomique</t>
        </is>
      </c>
      <c r="T114" s="10" t="n">
        <v>65</v>
      </c>
      <c r="U114" s="11" t="n"/>
      <c r="V114" s="11" t="n"/>
      <c r="W114" s="11" t="n"/>
      <c r="X114" s="12" t="n"/>
      <c r="Y114" s="12" t="n"/>
      <c r="Z114" s="11" t="n"/>
      <c r="AA114" s="11" t="n"/>
      <c r="AB114" s="11" t="n"/>
      <c r="AC114" s="13">
        <f>IF(OR(Y114="",X114=""),"",Y114-X114)</f>
        <v/>
      </c>
      <c r="AD114" s="14">
        <f>IF(OR(Y114="",X114="",X114=0),"",(Y114-X114)/X114)</f>
        <v/>
      </c>
      <c r="AE114" s="15">
        <f>IF(AD114="","",IF(AD114&lt;-0.05,"Moins cher",IF(AD114&gt;0.05,"Plus cher","Équivalent")))</f>
        <v/>
      </c>
    </row>
    <row r="115">
      <c r="A115" s="16" t="inlineStr">
        <is>
          <t>SG-2004</t>
        </is>
      </c>
      <c r="B115" s="16" t="inlineStr">
        <is>
          <t>Rotating Clean</t>
        </is>
      </c>
      <c r="C115" s="16" t="inlineStr">
        <is>
          <t>Rotative / oscillante</t>
        </is>
      </c>
      <c r="D115" s="16" t="inlineStr">
        <is>
          <t>Adulte</t>
        </is>
      </c>
      <c r="E115" s="17" t="n">
        <v>6000</v>
      </c>
      <c r="F115" s="17" t="n">
        <v>6000</v>
      </c>
      <c r="G115" s="23" t="inlineStr">
        <is>
          <t>N/D</t>
        </is>
      </c>
      <c r="H115" s="18" t="n">
        <v>75</v>
      </c>
      <c r="I115" s="23" t="inlineStr">
        <is>
          <t>N/D</t>
        </is>
      </c>
      <c r="J115" s="16" t="inlineStr">
        <is>
          <t>Piles (2x AA)</t>
        </is>
      </c>
      <c r="K115" s="16" t="inlineStr">
        <is>
          <t>Piles</t>
        </is>
      </c>
      <c r="L115" s="22" t="inlineStr">
        <is>
          <t>N/D</t>
        </is>
      </c>
      <c r="M115" s="16" t="inlineStr">
        <is>
          <t>IPX6</t>
        </is>
      </c>
      <c r="N115" s="16" t="inlineStr">
        <is>
          <t>Non</t>
        </is>
      </c>
      <c r="O115" s="16" t="inlineStr">
        <is>
          <t>Aucun</t>
        </is>
      </c>
      <c r="P115" s="16" t="inlineStr">
        <is>
          <t>Oui</t>
        </is>
      </c>
      <c r="Q115" s="19" t="n">
        <v>84</v>
      </c>
      <c r="R115" s="16" t="inlineStr">
        <is>
          <t>40*29.4*173</t>
        </is>
      </c>
      <c r="S115" s="20" t="inlineStr">
        <is>
          <t>Compatible têtes Oral-B, manche antidérapant</t>
        </is>
      </c>
      <c r="T115" s="21" t="n">
        <v>66</v>
      </c>
      <c r="U115" s="11" t="n"/>
      <c r="V115" s="11" t="n"/>
      <c r="W115" s="11" t="n"/>
      <c r="X115" s="12" t="n"/>
      <c r="Y115" s="12" t="n"/>
      <c r="Z115" s="11" t="n"/>
      <c r="AA115" s="11" t="n"/>
      <c r="AB115" s="11" t="n"/>
      <c r="AC115" s="13">
        <f>IF(OR(Y115="",X115=""),"",Y115-X115)</f>
        <v/>
      </c>
      <c r="AD115" s="14">
        <f>IF(OR(Y115="",X115="",X115=0),"",(Y115-X115)/X115)</f>
        <v/>
      </c>
      <c r="AE115" s="15">
        <f>IF(AD115="","",IF(AD115&lt;-0.05,"Moins cher",IF(AD115&gt;0.05,"Plus cher","Équivalent")))</f>
        <v/>
      </c>
    </row>
    <row r="116">
      <c r="A116" s="4" t="inlineStr">
        <is>
          <t>SG-913B</t>
        </is>
      </c>
      <c r="B116" s="4" t="inlineStr">
        <is>
          <t>Rotating Clean</t>
        </is>
      </c>
      <c r="C116" s="4" t="inlineStr">
        <is>
          <t>Rotative / oscillante</t>
        </is>
      </c>
      <c r="D116" s="4" t="inlineStr">
        <is>
          <t>Adulte</t>
        </is>
      </c>
      <c r="E116" s="5" t="n">
        <v>8800</v>
      </c>
      <c r="F116" s="5" t="n">
        <v>8800</v>
      </c>
      <c r="G116" s="6" t="n">
        <v>4</v>
      </c>
      <c r="H116" s="6" t="n">
        <v>21</v>
      </c>
      <c r="I116" s="6" t="n">
        <v>700</v>
      </c>
      <c r="J116" s="4" t="inlineStr">
        <is>
          <t>Batterie Li-ion rechargeable</t>
        </is>
      </c>
      <c r="K116" s="4" t="inlineStr">
        <is>
          <t>USB</t>
        </is>
      </c>
      <c r="L116" s="7" t="inlineStr">
        <is>
          <t>N/D</t>
        </is>
      </c>
      <c r="M116" s="4" t="inlineStr">
        <is>
          <t>IPX6</t>
        </is>
      </c>
      <c r="N116" s="4" t="inlineStr">
        <is>
          <t>Non</t>
        </is>
      </c>
      <c r="O116" s="4" t="inlineStr">
        <is>
          <t>Aucun</t>
        </is>
      </c>
      <c r="P116" s="4" t="inlineStr">
        <is>
          <t>Oui</t>
        </is>
      </c>
      <c r="Q116" s="8" t="n">
        <v>105</v>
      </c>
      <c r="R116" s="4" t="inlineStr">
        <is>
          <t>28.1*26.3*225</t>
        </is>
      </c>
      <c r="S116" s="9" t="inlineStr">
        <is>
          <t>4 modes (clean, soft, pulse, massage), compatible têtes Oral-B, design ergonomique</t>
        </is>
      </c>
      <c r="T116" s="10" t="n">
        <v>66</v>
      </c>
      <c r="U116" s="11" t="n"/>
      <c r="V116" s="11" t="n"/>
      <c r="W116" s="11" t="n"/>
      <c r="X116" s="12" t="n"/>
      <c r="Y116" s="12" t="n"/>
      <c r="Z116" s="11" t="n"/>
      <c r="AA116" s="11" t="n"/>
      <c r="AB116" s="11" t="n"/>
      <c r="AC116" s="13">
        <f>IF(OR(Y116="",X116=""),"",Y116-X116)</f>
        <v/>
      </c>
      <c r="AD116" s="14">
        <f>IF(OR(Y116="",X116="",X116=0),"",(Y116-X116)/X116)</f>
        <v/>
      </c>
      <c r="AE116" s="15">
        <f>IF(AD116="","",IF(AD116&lt;-0.05,"Moins cher",IF(AD116&gt;0.05,"Plus cher","Équivalent")))</f>
        <v/>
      </c>
    </row>
    <row r="117">
      <c r="A117" s="16" t="inlineStr">
        <is>
          <t>SG-913A</t>
        </is>
      </c>
      <c r="B117" s="16" t="inlineStr">
        <is>
          <t>Rotating Clean</t>
        </is>
      </c>
      <c r="C117" s="16" t="inlineStr">
        <is>
          <t>Rotative / oscillante</t>
        </is>
      </c>
      <c r="D117" s="16" t="inlineStr">
        <is>
          <t>Adulte</t>
        </is>
      </c>
      <c r="E117" s="17" t="n">
        <v>8800</v>
      </c>
      <c r="F117" s="17" t="n">
        <v>8800</v>
      </c>
      <c r="G117" s="18" t="n">
        <v>4</v>
      </c>
      <c r="H117" s="18" t="n">
        <v>21</v>
      </c>
      <c r="I117" s="18" t="n">
        <v>700</v>
      </c>
      <c r="J117" s="16" t="inlineStr">
        <is>
          <t>Batterie Li-ion rechargeable</t>
        </is>
      </c>
      <c r="K117" s="16" t="inlineStr">
        <is>
          <t>USB + sans fil</t>
        </is>
      </c>
      <c r="L117" s="22" t="inlineStr">
        <is>
          <t>N/D</t>
        </is>
      </c>
      <c r="M117" s="16" t="inlineStr">
        <is>
          <t>IPX6</t>
        </is>
      </c>
      <c r="N117" s="16" t="inlineStr">
        <is>
          <t>Non</t>
        </is>
      </c>
      <c r="O117" s="16" t="inlineStr">
        <is>
          <t>Aucun</t>
        </is>
      </c>
      <c r="P117" s="16" t="inlineStr">
        <is>
          <t>Oui</t>
        </is>
      </c>
      <c r="Q117" s="19" t="n">
        <v>105</v>
      </c>
      <c r="R117" s="16" t="inlineStr">
        <is>
          <t>28.1*26.3*225</t>
        </is>
      </c>
      <c r="S117" s="20" t="inlineStr">
        <is>
          <t>4 modes (clean, soft, pulse, massage), charge sans fil, compatible têtes Oral-B</t>
        </is>
      </c>
      <c r="T117" s="21" t="n">
        <v>67</v>
      </c>
      <c r="U117" s="11" t="n"/>
      <c r="V117" s="11" t="n"/>
      <c r="W117" s="11" t="n"/>
      <c r="X117" s="12" t="n"/>
      <c r="Y117" s="12" t="n"/>
      <c r="Z117" s="11" t="n"/>
      <c r="AA117" s="11" t="n"/>
      <c r="AB117" s="11" t="n"/>
      <c r="AC117" s="13">
        <f>IF(OR(Y117="",X117=""),"",Y117-X117)</f>
        <v/>
      </c>
      <c r="AD117" s="14">
        <f>IF(OR(Y117="",X117="",X117=0),"",(Y117-X117)/X117)</f>
        <v/>
      </c>
      <c r="AE117" s="15">
        <f>IF(AD117="","",IF(AD117&lt;-0.05,"Moins cher",IF(AD117&gt;0.05,"Plus cher","Équivalent")))</f>
        <v/>
      </c>
    </row>
    <row r="118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11" t="n"/>
      <c r="V118" s="11" t="n"/>
      <c r="W118" s="11" t="n"/>
      <c r="X118" s="12" t="n"/>
      <c r="Y118" s="12" t="n"/>
      <c r="Z118" s="11" t="n"/>
      <c r="AA118" s="11" t="n"/>
      <c r="AB118" s="11" t="n"/>
      <c r="AC118" s="13">
        <f>IF(OR(Y118="",X118=""),"",Y118-X118)</f>
        <v/>
      </c>
      <c r="AD118" s="14">
        <f>IF(OR(Y118="",X118="",X118=0),"",(Y118-X118)/X118)</f>
        <v/>
      </c>
      <c r="AE118" s="15">
        <f>IF(AD118="","",IF(AD118&lt;-0.05,"Moins cher",IF(AD118&gt;0.05,"Plus cher","Équivalent")))</f>
        <v/>
      </c>
    </row>
    <row r="119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11" t="n"/>
      <c r="V119" s="11" t="n"/>
      <c r="W119" s="11" t="n"/>
      <c r="X119" s="12" t="n"/>
      <c r="Y119" s="12" t="n"/>
      <c r="Z119" s="11" t="n"/>
      <c r="AA119" s="11" t="n"/>
      <c r="AB119" s="11" t="n"/>
      <c r="AC119" s="13">
        <f>IF(OR(Y119="",X119=""),"",Y119-X119)</f>
        <v/>
      </c>
      <c r="AD119" s="14">
        <f>IF(OR(Y119="",X119="",X119=0),"",(Y119-X119)/X119)</f>
        <v/>
      </c>
      <c r="AE119" s="15">
        <f>IF(AD119="","",IF(AD119&lt;-0.05,"Moins cher",IF(AD119&gt;0.05,"Plus cher","Équivalent")))</f>
        <v/>
      </c>
    </row>
    <row r="120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11" t="n"/>
      <c r="V120" s="11" t="n"/>
      <c r="W120" s="11" t="n"/>
      <c r="X120" s="12" t="n"/>
      <c r="Y120" s="12" t="n"/>
      <c r="Z120" s="11" t="n"/>
      <c r="AA120" s="11" t="n"/>
      <c r="AB120" s="11" t="n"/>
      <c r="AC120" s="13">
        <f>IF(OR(Y120="",X120=""),"",Y120-X120)</f>
        <v/>
      </c>
      <c r="AD120" s="14">
        <f>IF(OR(Y120="",X120="",X120=0),"",(Y120-X120)/X120)</f>
        <v/>
      </c>
      <c r="AE120" s="15">
        <f>IF(AD120="","",IF(AD120&lt;-0.05,"Moins cher",IF(AD120&gt;0.05,"Plus cher","Équivalent")))</f>
        <v/>
      </c>
    </row>
    <row r="121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11" t="n"/>
      <c r="V121" s="11" t="n"/>
      <c r="W121" s="11" t="n"/>
      <c r="X121" s="12" t="n"/>
      <c r="Y121" s="12" t="n"/>
      <c r="Z121" s="11" t="n"/>
      <c r="AA121" s="11" t="n"/>
      <c r="AB121" s="11" t="n"/>
      <c r="AC121" s="13">
        <f>IF(OR(Y121="",X121=""),"",Y121-X121)</f>
        <v/>
      </c>
      <c r="AD121" s="14">
        <f>IF(OR(Y121="",X121="",X121=0),"",(Y121-X121)/X121)</f>
        <v/>
      </c>
      <c r="AE121" s="15">
        <f>IF(AD121="","",IF(AD121&lt;-0.05,"Moins cher",IF(AD121&gt;0.05,"Plus cher","Équivalent")))</f>
        <v/>
      </c>
    </row>
    <row r="122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11" t="n"/>
      <c r="V122" s="11" t="n"/>
      <c r="W122" s="11" t="n"/>
      <c r="X122" s="12" t="n"/>
      <c r="Y122" s="12" t="n"/>
      <c r="Z122" s="11" t="n"/>
      <c r="AA122" s="11" t="n"/>
      <c r="AB122" s="11" t="n"/>
      <c r="AC122" s="13">
        <f>IF(OR(Y122="",X122=""),"",Y122-X122)</f>
        <v/>
      </c>
      <c r="AD122" s="14">
        <f>IF(OR(Y122="",X122="",X122=0),"",(Y122-X122)/X122)</f>
        <v/>
      </c>
      <c r="AE122" s="15">
        <f>IF(AD122="","",IF(AD122&lt;-0.05,"Moins cher",IF(AD122&gt;0.05,"Plus cher","Équivalent")))</f>
        <v/>
      </c>
    </row>
    <row r="123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11" t="n"/>
      <c r="V123" s="11" t="n"/>
      <c r="W123" s="11" t="n"/>
      <c r="X123" s="12" t="n"/>
      <c r="Y123" s="12" t="n"/>
      <c r="Z123" s="11" t="n"/>
      <c r="AA123" s="11" t="n"/>
      <c r="AB123" s="11" t="n"/>
      <c r="AC123" s="13">
        <f>IF(OR(Y123="",X123=""),"",Y123-X123)</f>
        <v/>
      </c>
      <c r="AD123" s="14">
        <f>IF(OR(Y123="",X123="",X123=0),"",(Y123-X123)/X123)</f>
        <v/>
      </c>
      <c r="AE123" s="15">
        <f>IF(AD123="","",IF(AD123&lt;-0.05,"Moins cher",IF(AD123&gt;0.05,"Plus cher","Équivalent")))</f>
        <v/>
      </c>
    </row>
    <row r="124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11" t="n"/>
      <c r="V124" s="11" t="n"/>
      <c r="W124" s="11" t="n"/>
      <c r="X124" s="12" t="n"/>
      <c r="Y124" s="12" t="n"/>
      <c r="Z124" s="11" t="n"/>
      <c r="AA124" s="11" t="n"/>
      <c r="AB124" s="11" t="n"/>
      <c r="AC124" s="13">
        <f>IF(OR(Y124="",X124=""),"",Y124-X124)</f>
        <v/>
      </c>
      <c r="AD124" s="14">
        <f>IF(OR(Y124="",X124="",X124=0),"",(Y124-X124)/X124)</f>
        <v/>
      </c>
      <c r="AE124" s="15">
        <f>IF(AD124="","",IF(AD124&lt;-0.05,"Moins cher",IF(AD124&gt;0.05,"Plus cher","Équivalent")))</f>
        <v/>
      </c>
    </row>
    <row r="125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11" t="n"/>
      <c r="V125" s="11" t="n"/>
      <c r="W125" s="11" t="n"/>
      <c r="X125" s="12" t="n"/>
      <c r="Y125" s="12" t="n"/>
      <c r="Z125" s="11" t="n"/>
      <c r="AA125" s="11" t="n"/>
      <c r="AB125" s="11" t="n"/>
      <c r="AC125" s="13">
        <f>IF(OR(Y125="",X125=""),"",Y125-X125)</f>
        <v/>
      </c>
      <c r="AD125" s="14">
        <f>IF(OR(Y125="",X125="",X125=0),"",(Y125-X125)/X125)</f>
        <v/>
      </c>
      <c r="AE125" s="15">
        <f>IF(AD125="","",IF(AD125&lt;-0.05,"Moins cher",IF(AD125&gt;0.05,"Plus cher","Équivalent")))</f>
        <v/>
      </c>
    </row>
    <row r="126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11" t="n"/>
      <c r="V126" s="11" t="n"/>
      <c r="W126" s="11" t="n"/>
      <c r="X126" s="12" t="n"/>
      <c r="Y126" s="12" t="n"/>
      <c r="Z126" s="11" t="n"/>
      <c r="AA126" s="11" t="n"/>
      <c r="AB126" s="11" t="n"/>
      <c r="AC126" s="13">
        <f>IF(OR(Y126="",X126=""),"",Y126-X126)</f>
        <v/>
      </c>
      <c r="AD126" s="14">
        <f>IF(OR(Y126="",X126="",X126=0),"",(Y126-X126)/X126)</f>
        <v/>
      </c>
      <c r="AE126" s="15">
        <f>IF(AD126="","",IF(AD126&lt;-0.05,"Moins cher",IF(AD126&gt;0.05,"Plus cher","Équivalent")))</f>
        <v/>
      </c>
    </row>
    <row r="127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11" t="n"/>
      <c r="V127" s="11" t="n"/>
      <c r="W127" s="11" t="n"/>
      <c r="X127" s="12" t="n"/>
      <c r="Y127" s="12" t="n"/>
      <c r="Z127" s="11" t="n"/>
      <c r="AA127" s="11" t="n"/>
      <c r="AB127" s="11" t="n"/>
      <c r="AC127" s="13">
        <f>IF(OR(Y127="",X127=""),"",Y127-X127)</f>
        <v/>
      </c>
      <c r="AD127" s="14">
        <f>IF(OR(Y127="",X127="",X127=0),"",(Y127-X127)/X127)</f>
        <v/>
      </c>
      <c r="AE127" s="15">
        <f>IF(AD127="","",IF(AD127&lt;-0.05,"Moins cher",IF(AD127&gt;0.05,"Plus cher","Équivalent")))</f>
        <v/>
      </c>
    </row>
    <row r="128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11" t="n"/>
      <c r="V128" s="11" t="n"/>
      <c r="W128" s="11" t="n"/>
      <c r="X128" s="12" t="n"/>
      <c r="Y128" s="12" t="n"/>
      <c r="Z128" s="11" t="n"/>
      <c r="AA128" s="11" t="n"/>
      <c r="AB128" s="11" t="n"/>
      <c r="AC128" s="13">
        <f>IF(OR(Y128="",X128=""),"",Y128-X128)</f>
        <v/>
      </c>
      <c r="AD128" s="14">
        <f>IF(OR(Y128="",X128="",X128=0),"",(Y128-X128)/X128)</f>
        <v/>
      </c>
      <c r="AE128" s="15">
        <f>IF(AD128="","",IF(AD128&lt;-0.05,"Moins cher",IF(AD128&gt;0.05,"Plus cher","Équivalent")))</f>
        <v/>
      </c>
    </row>
    <row r="129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11" t="n"/>
      <c r="V129" s="11" t="n"/>
      <c r="W129" s="11" t="n"/>
      <c r="X129" s="12" t="n"/>
      <c r="Y129" s="12" t="n"/>
      <c r="Z129" s="11" t="n"/>
      <c r="AA129" s="11" t="n"/>
      <c r="AB129" s="11" t="n"/>
      <c r="AC129" s="13">
        <f>IF(OR(Y129="",X129=""),"",Y129-X129)</f>
        <v/>
      </c>
      <c r="AD129" s="14">
        <f>IF(OR(Y129="",X129="",X129=0),"",(Y129-X129)/X129)</f>
        <v/>
      </c>
      <c r="AE129" s="15">
        <f>IF(AD129="","",IF(AD129&lt;-0.05,"Moins cher",IF(AD129&gt;0.05,"Plus cher","Équivalent")))</f>
        <v/>
      </c>
    </row>
    <row r="130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11" t="n"/>
      <c r="V130" s="11" t="n"/>
      <c r="W130" s="11" t="n"/>
      <c r="X130" s="12" t="n"/>
      <c r="Y130" s="12" t="n"/>
      <c r="Z130" s="11" t="n"/>
      <c r="AA130" s="11" t="n"/>
      <c r="AB130" s="11" t="n"/>
      <c r="AC130" s="13">
        <f>IF(OR(Y130="",X130=""),"",Y130-X130)</f>
        <v/>
      </c>
      <c r="AD130" s="14">
        <f>IF(OR(Y130="",X130="",X130=0),"",(Y130-X130)/X130)</f>
        <v/>
      </c>
      <c r="AE130" s="15">
        <f>IF(AD130="","",IF(AD130&lt;-0.05,"Moins cher",IF(AD130&gt;0.05,"Plus cher","Équivalent")))</f>
        <v/>
      </c>
    </row>
    <row r="131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11" t="n"/>
      <c r="V131" s="11" t="n"/>
      <c r="W131" s="11" t="n"/>
      <c r="X131" s="12" t="n"/>
      <c r="Y131" s="12" t="n"/>
      <c r="Z131" s="11" t="n"/>
      <c r="AA131" s="11" t="n"/>
      <c r="AB131" s="11" t="n"/>
      <c r="AC131" s="13">
        <f>IF(OR(Y131="",X131=""),"",Y131-X131)</f>
        <v/>
      </c>
      <c r="AD131" s="14">
        <f>IF(OR(Y131="",X131="",X131=0),"",(Y131-X131)/X131)</f>
        <v/>
      </c>
      <c r="AE131" s="15">
        <f>IF(AD131="","",IF(AD131&lt;-0.05,"Moins cher",IF(AD131&gt;0.05,"Plus cher","Équivalent")))</f>
        <v/>
      </c>
    </row>
    <row r="132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11" t="n"/>
      <c r="V132" s="11" t="n"/>
      <c r="W132" s="11" t="n"/>
      <c r="X132" s="12" t="n"/>
      <c r="Y132" s="12" t="n"/>
      <c r="Z132" s="11" t="n"/>
      <c r="AA132" s="11" t="n"/>
      <c r="AB132" s="11" t="n"/>
      <c r="AC132" s="13">
        <f>IF(OR(Y132="",X132=""),"",Y132-X132)</f>
        <v/>
      </c>
      <c r="AD132" s="14">
        <f>IF(OR(Y132="",X132="",X132=0),"",(Y132-X132)/X132)</f>
        <v/>
      </c>
      <c r="AE132" s="15">
        <f>IF(AD132="","",IF(AD132&lt;-0.05,"Moins cher",IF(AD132&gt;0.05,"Plus cher","Équivalent")))</f>
        <v/>
      </c>
    </row>
    <row r="133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11" t="n"/>
      <c r="V133" s="11" t="n"/>
      <c r="W133" s="11" t="n"/>
      <c r="X133" s="12" t="n"/>
      <c r="Y133" s="12" t="n"/>
      <c r="Z133" s="11" t="n"/>
      <c r="AA133" s="11" t="n"/>
      <c r="AB133" s="11" t="n"/>
      <c r="AC133" s="13">
        <f>IF(OR(Y133="",X133=""),"",Y133-X133)</f>
        <v/>
      </c>
      <c r="AD133" s="14">
        <f>IF(OR(Y133="",X133="",X133=0),"",(Y133-X133)/X133)</f>
        <v/>
      </c>
      <c r="AE133" s="15">
        <f>IF(AD133="","",IF(AD133&lt;-0.05,"Moins cher",IF(AD133&gt;0.05,"Plus cher","Équivalent")))</f>
        <v/>
      </c>
    </row>
    <row r="134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11" t="n"/>
      <c r="V134" s="11" t="n"/>
      <c r="W134" s="11" t="n"/>
      <c r="X134" s="12" t="n"/>
      <c r="Y134" s="12" t="n"/>
      <c r="Z134" s="11" t="n"/>
      <c r="AA134" s="11" t="n"/>
      <c r="AB134" s="11" t="n"/>
      <c r="AC134" s="13">
        <f>IF(OR(Y134="",X134=""),"",Y134-X134)</f>
        <v/>
      </c>
      <c r="AD134" s="14">
        <f>IF(OR(Y134="",X134="",X134=0),"",(Y134-X134)/X134)</f>
        <v/>
      </c>
      <c r="AE134" s="15">
        <f>IF(AD134="","",IF(AD134&lt;-0.05,"Moins cher",IF(AD134&gt;0.05,"Plus cher","Équivalent")))</f>
        <v/>
      </c>
    </row>
    <row r="135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11" t="n"/>
      <c r="V135" s="11" t="n"/>
      <c r="W135" s="11" t="n"/>
      <c r="X135" s="12" t="n"/>
      <c r="Y135" s="12" t="n"/>
      <c r="Z135" s="11" t="n"/>
      <c r="AA135" s="11" t="n"/>
      <c r="AB135" s="11" t="n"/>
      <c r="AC135" s="13">
        <f>IF(OR(Y135="",X135=""),"",Y135-X135)</f>
        <v/>
      </c>
      <c r="AD135" s="14">
        <f>IF(OR(Y135="",X135="",X135=0),"",(Y135-X135)/X135)</f>
        <v/>
      </c>
      <c r="AE135" s="15">
        <f>IF(AD135="","",IF(AD135&lt;-0.05,"Moins cher",IF(AD135&gt;0.05,"Plus cher","Équivalent")))</f>
        <v/>
      </c>
    </row>
    <row r="136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11" t="n"/>
      <c r="V136" s="11" t="n"/>
      <c r="W136" s="11" t="n"/>
      <c r="X136" s="12" t="n"/>
      <c r="Y136" s="12" t="n"/>
      <c r="Z136" s="11" t="n"/>
      <c r="AA136" s="11" t="n"/>
      <c r="AB136" s="11" t="n"/>
      <c r="AC136" s="13">
        <f>IF(OR(Y136="",X136=""),"",Y136-X136)</f>
        <v/>
      </c>
      <c r="AD136" s="14">
        <f>IF(OR(Y136="",X136="",X136=0),"",(Y136-X136)/X136)</f>
        <v/>
      </c>
      <c r="AE136" s="15">
        <f>IF(AD136="","",IF(AD136&lt;-0.05,"Moins cher",IF(AD136&gt;0.05,"Plus cher","Équivalent")))</f>
        <v/>
      </c>
    </row>
    <row r="137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11" t="n"/>
      <c r="V137" s="11" t="n"/>
      <c r="W137" s="11" t="n"/>
      <c r="X137" s="12" t="n"/>
      <c r="Y137" s="12" t="n"/>
      <c r="Z137" s="11" t="n"/>
      <c r="AA137" s="11" t="n"/>
      <c r="AB137" s="11" t="n"/>
      <c r="AC137" s="13">
        <f>IF(OR(Y137="",X137=""),"",Y137-X137)</f>
        <v/>
      </c>
      <c r="AD137" s="14">
        <f>IF(OR(Y137="",X137="",X137=0),"",(Y137-X137)/X137)</f>
        <v/>
      </c>
      <c r="AE137" s="15">
        <f>IF(AD137="","",IF(AD137&lt;-0.05,"Moins cher",IF(AD137&gt;0.05,"Plus cher","Équivalent")))</f>
        <v/>
      </c>
    </row>
    <row r="138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11" t="n"/>
      <c r="V138" s="11" t="n"/>
      <c r="W138" s="11" t="n"/>
      <c r="X138" s="12" t="n"/>
      <c r="Y138" s="12" t="n"/>
      <c r="Z138" s="11" t="n"/>
      <c r="AA138" s="11" t="n"/>
      <c r="AB138" s="11" t="n"/>
      <c r="AC138" s="13">
        <f>IF(OR(Y138="",X138=""),"",Y138-X138)</f>
        <v/>
      </c>
      <c r="AD138" s="14">
        <f>IF(OR(Y138="",X138="",X138=0),"",(Y138-X138)/X138)</f>
        <v/>
      </c>
      <c r="AE138" s="15">
        <f>IF(AD138="","",IF(AD138&lt;-0.05,"Moins cher",IF(AD138&gt;0.05,"Plus cher","Équivalent")))</f>
        <v/>
      </c>
    </row>
    <row r="139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11" t="n"/>
      <c r="V139" s="11" t="n"/>
      <c r="W139" s="11" t="n"/>
      <c r="X139" s="12" t="n"/>
      <c r="Y139" s="12" t="n"/>
      <c r="Z139" s="11" t="n"/>
      <c r="AA139" s="11" t="n"/>
      <c r="AB139" s="11" t="n"/>
      <c r="AC139" s="13">
        <f>IF(OR(Y139="",X139=""),"",Y139-X139)</f>
        <v/>
      </c>
      <c r="AD139" s="14">
        <f>IF(OR(Y139="",X139="",X139=0),"",(Y139-X139)/X139)</f>
        <v/>
      </c>
      <c r="AE139" s="15">
        <f>IF(AD139="","",IF(AD139&lt;-0.05,"Moins cher",IF(AD139&gt;0.05,"Plus cher","Équivalent")))</f>
        <v/>
      </c>
    </row>
    <row r="140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11" t="n"/>
      <c r="V140" s="11" t="n"/>
      <c r="W140" s="11" t="n"/>
      <c r="X140" s="12" t="n"/>
      <c r="Y140" s="12" t="n"/>
      <c r="Z140" s="11" t="n"/>
      <c r="AA140" s="11" t="n"/>
      <c r="AB140" s="11" t="n"/>
      <c r="AC140" s="13">
        <f>IF(OR(Y140="",X140=""),"",Y140-X140)</f>
        <v/>
      </c>
      <c r="AD140" s="14">
        <f>IF(OR(Y140="",X140="",X140=0),"",(Y140-X140)/X140)</f>
        <v/>
      </c>
      <c r="AE140" s="15">
        <f>IF(AD140="","",IF(AD140&lt;-0.05,"Moins cher",IF(AD140&gt;0.05,"Plus cher","Équivalent")))</f>
        <v/>
      </c>
    </row>
    <row r="14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11" t="n"/>
      <c r="V141" s="11" t="n"/>
      <c r="W141" s="11" t="n"/>
      <c r="X141" s="12" t="n"/>
      <c r="Y141" s="12" t="n"/>
      <c r="Z141" s="11" t="n"/>
      <c r="AA141" s="11" t="n"/>
      <c r="AB141" s="11" t="n"/>
      <c r="AC141" s="13">
        <f>IF(OR(Y141="",X141=""),"",Y141-X141)</f>
        <v/>
      </c>
      <c r="AD141" s="14">
        <f>IF(OR(Y141="",X141="",X141=0),"",(Y141-X141)/X141)</f>
        <v/>
      </c>
      <c r="AE141" s="15">
        <f>IF(AD141="","",IF(AD141&lt;-0.05,"Moins cher",IF(AD141&gt;0.05,"Plus cher","Équivalent")))</f>
        <v/>
      </c>
    </row>
    <row r="142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11" t="n"/>
      <c r="V142" s="11" t="n"/>
      <c r="W142" s="11" t="n"/>
      <c r="X142" s="12" t="n"/>
      <c r="Y142" s="12" t="n"/>
      <c r="Z142" s="11" t="n"/>
      <c r="AA142" s="11" t="n"/>
      <c r="AB142" s="11" t="n"/>
      <c r="AC142" s="13">
        <f>IF(OR(Y142="",X142=""),"",Y142-X142)</f>
        <v/>
      </c>
      <c r="AD142" s="14">
        <f>IF(OR(Y142="",X142="",X142=0),"",(Y142-X142)/X142)</f>
        <v/>
      </c>
      <c r="AE142" s="15">
        <f>IF(AD142="","",IF(AD142&lt;-0.05,"Moins cher",IF(AD142&gt;0.05,"Plus cher","Équivalent")))</f>
        <v/>
      </c>
    </row>
    <row r="143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11" t="n"/>
      <c r="V143" s="11" t="n"/>
      <c r="W143" s="11" t="n"/>
      <c r="X143" s="12" t="n"/>
      <c r="Y143" s="12" t="n"/>
      <c r="Z143" s="11" t="n"/>
      <c r="AA143" s="11" t="n"/>
      <c r="AB143" s="11" t="n"/>
      <c r="AC143" s="13">
        <f>IF(OR(Y143="",X143=""),"",Y143-X143)</f>
        <v/>
      </c>
      <c r="AD143" s="14">
        <f>IF(OR(Y143="",X143="",X143=0),"",(Y143-X143)/X143)</f>
        <v/>
      </c>
      <c r="AE143" s="15">
        <f>IF(AD143="","",IF(AD143&lt;-0.05,"Moins cher",IF(AD143&gt;0.05,"Plus cher","Équivalent")))</f>
        <v/>
      </c>
    </row>
    <row r="144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11" t="n"/>
      <c r="V144" s="11" t="n"/>
      <c r="W144" s="11" t="n"/>
      <c r="X144" s="12" t="n"/>
      <c r="Y144" s="12" t="n"/>
      <c r="Z144" s="11" t="n"/>
      <c r="AA144" s="11" t="n"/>
      <c r="AB144" s="11" t="n"/>
      <c r="AC144" s="13">
        <f>IF(OR(Y144="",X144=""),"",Y144-X144)</f>
        <v/>
      </c>
      <c r="AD144" s="14">
        <f>IF(OR(Y144="",X144="",X144=0),"",(Y144-X144)/X144)</f>
        <v/>
      </c>
      <c r="AE144" s="15">
        <f>IF(AD144="","",IF(AD144&lt;-0.05,"Moins cher",IF(AD144&gt;0.05,"Plus cher","Équivalent")))</f>
        <v/>
      </c>
    </row>
    <row r="145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11" t="n"/>
      <c r="V145" s="11" t="n"/>
      <c r="W145" s="11" t="n"/>
      <c r="X145" s="12" t="n"/>
      <c r="Y145" s="12" t="n"/>
      <c r="Z145" s="11" t="n"/>
      <c r="AA145" s="11" t="n"/>
      <c r="AB145" s="11" t="n"/>
      <c r="AC145" s="13">
        <f>IF(OR(Y145="",X145=""),"",Y145-X145)</f>
        <v/>
      </c>
      <c r="AD145" s="14">
        <f>IF(OR(Y145="",X145="",X145=0),"",(Y145-X145)/X145)</f>
        <v/>
      </c>
      <c r="AE145" s="15">
        <f>IF(AD145="","",IF(AD145&lt;-0.05,"Moins cher",IF(AD145&gt;0.05,"Plus cher","Équivalent")))</f>
        <v/>
      </c>
    </row>
    <row r="146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11" t="n"/>
      <c r="V146" s="11" t="n"/>
      <c r="W146" s="11" t="n"/>
      <c r="X146" s="12" t="n"/>
      <c r="Y146" s="12" t="n"/>
      <c r="Z146" s="11" t="n"/>
      <c r="AA146" s="11" t="n"/>
      <c r="AB146" s="11" t="n"/>
      <c r="AC146" s="13">
        <f>IF(OR(Y146="",X146=""),"",Y146-X146)</f>
        <v/>
      </c>
      <c r="AD146" s="14">
        <f>IF(OR(Y146="",X146="",X146=0),"",(Y146-X146)/X146)</f>
        <v/>
      </c>
      <c r="AE146" s="15">
        <f>IF(AD146="","",IF(AD146&lt;-0.05,"Moins cher",IF(AD146&gt;0.05,"Plus cher","Équivalent")))</f>
        <v/>
      </c>
    </row>
    <row r="147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11" t="n"/>
      <c r="V147" s="11" t="n"/>
      <c r="W147" s="11" t="n"/>
      <c r="X147" s="12" t="n"/>
      <c r="Y147" s="12" t="n"/>
      <c r="Z147" s="11" t="n"/>
      <c r="AA147" s="11" t="n"/>
      <c r="AB147" s="11" t="n"/>
      <c r="AC147" s="13">
        <f>IF(OR(Y147="",X147=""),"",Y147-X147)</f>
        <v/>
      </c>
      <c r="AD147" s="14">
        <f>IF(OR(Y147="",X147="",X147=0),"",(Y147-X147)/X147)</f>
        <v/>
      </c>
      <c r="AE147" s="15">
        <f>IF(AD147="","",IF(AD147&lt;-0.05,"Moins cher",IF(AD147&gt;0.05,"Plus cher","Équivalent")))</f>
        <v/>
      </c>
    </row>
    <row r="148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11" t="n"/>
      <c r="V148" s="11" t="n"/>
      <c r="W148" s="11" t="n"/>
      <c r="X148" s="12" t="n"/>
      <c r="Y148" s="12" t="n"/>
      <c r="Z148" s="11" t="n"/>
      <c r="AA148" s="11" t="n"/>
      <c r="AB148" s="11" t="n"/>
      <c r="AC148" s="13">
        <f>IF(OR(Y148="",X148=""),"",Y148-X148)</f>
        <v/>
      </c>
      <c r="AD148" s="14">
        <f>IF(OR(Y148="",X148="",X148=0),"",(Y148-X148)/X148)</f>
        <v/>
      </c>
      <c r="AE148" s="15">
        <f>IF(AD148="","",IF(AD148&lt;-0.05,"Moins cher",IF(AD148&gt;0.05,"Plus cher","Équivalent")))</f>
        <v/>
      </c>
    </row>
    <row r="149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11" t="n"/>
      <c r="V149" s="11" t="n"/>
      <c r="W149" s="11" t="n"/>
      <c r="X149" s="12" t="n"/>
      <c r="Y149" s="12" t="n"/>
      <c r="Z149" s="11" t="n"/>
      <c r="AA149" s="11" t="n"/>
      <c r="AB149" s="11" t="n"/>
      <c r="AC149" s="13">
        <f>IF(OR(Y149="",X149=""),"",Y149-X149)</f>
        <v/>
      </c>
      <c r="AD149" s="14">
        <f>IF(OR(Y149="",X149="",X149=0),"",(Y149-X149)/X149)</f>
        <v/>
      </c>
      <c r="AE149" s="15">
        <f>IF(AD149="","",IF(AD149&lt;-0.05,"Moins cher",IF(AD149&gt;0.05,"Plus cher","Équivalent")))</f>
        <v/>
      </c>
    </row>
    <row r="150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11" t="n"/>
      <c r="V150" s="11" t="n"/>
      <c r="W150" s="11" t="n"/>
      <c r="X150" s="12" t="n"/>
      <c r="Y150" s="12" t="n"/>
      <c r="Z150" s="11" t="n"/>
      <c r="AA150" s="11" t="n"/>
      <c r="AB150" s="11" t="n"/>
      <c r="AC150" s="13">
        <f>IF(OR(Y150="",X150=""),"",Y150-X150)</f>
        <v/>
      </c>
      <c r="AD150" s="14">
        <f>IF(OR(Y150="",X150="",X150=0),"",(Y150-X150)/X150)</f>
        <v/>
      </c>
      <c r="AE150" s="15">
        <f>IF(AD150="","",IF(AD150&lt;-0.05,"Moins cher",IF(AD150&gt;0.05,"Plus cher","Équivalent")))</f>
        <v/>
      </c>
    </row>
    <row r="151">
      <c r="A151" s="28" t="n"/>
      <c r="B151" s="28" t="n"/>
      <c r="C151" s="28" t="n"/>
      <c r="D151" s="28" t="n"/>
      <c r="E151" s="28" t="n"/>
      <c r="F151" s="28" t="n"/>
      <c r="G151" s="28" t="n"/>
      <c r="H151" s="28" t="n"/>
      <c r="I151" s="28" t="n"/>
      <c r="J151" s="28" t="n"/>
      <c r="K151" s="28" t="n"/>
      <c r="L151" s="28" t="n"/>
      <c r="M151" s="28" t="n"/>
      <c r="N151" s="28" t="n"/>
      <c r="O151" s="28" t="n"/>
      <c r="P151" s="28" t="n"/>
      <c r="Q151" s="28" t="n"/>
      <c r="R151" s="28" t="n"/>
      <c r="S151" s="28" t="n"/>
      <c r="T151" s="28" t="n"/>
      <c r="U151" s="11" t="n"/>
      <c r="V151" s="11" t="n"/>
      <c r="W151" s="11" t="n"/>
      <c r="X151" s="12" t="n"/>
      <c r="Y151" s="12" t="n"/>
      <c r="Z151" s="11" t="n"/>
      <c r="AA151" s="11" t="n"/>
      <c r="AB151" s="11" t="n"/>
      <c r="AC151" s="13">
        <f>IF(OR(Y151="",X151=""),"",Y151-X151)</f>
        <v/>
      </c>
      <c r="AD151" s="14">
        <f>IF(OR(Y151="",X151="",X151=0),"",(Y151-X151)/X151)</f>
        <v/>
      </c>
      <c r="AE151" s="15">
        <f>IF(AD151="","",IF(AD151&lt;-0.05,"Moins cher",IF(AD151&gt;0.05,"Plus cher","Équivalent")))</f>
        <v/>
      </c>
    </row>
    <row r="152">
      <c r="A152" s="28" t="n"/>
      <c r="B152" s="28" t="n"/>
      <c r="C152" s="28" t="n"/>
      <c r="D152" s="28" t="n"/>
      <c r="E152" s="28" t="n"/>
      <c r="F152" s="28" t="n"/>
      <c r="G152" s="28" t="n"/>
      <c r="H152" s="28" t="n"/>
      <c r="I152" s="28" t="n"/>
      <c r="J152" s="28" t="n"/>
      <c r="K152" s="28" t="n"/>
      <c r="L152" s="28" t="n"/>
      <c r="M152" s="28" t="n"/>
      <c r="N152" s="28" t="n"/>
      <c r="O152" s="28" t="n"/>
      <c r="P152" s="28" t="n"/>
      <c r="Q152" s="28" t="n"/>
      <c r="R152" s="28" t="n"/>
      <c r="S152" s="28" t="n"/>
      <c r="T152" s="28" t="n"/>
      <c r="U152" s="11" t="n"/>
      <c r="V152" s="11" t="n"/>
      <c r="W152" s="11" t="n"/>
      <c r="X152" s="12" t="n"/>
      <c r="Y152" s="12" t="n"/>
      <c r="Z152" s="11" t="n"/>
      <c r="AA152" s="11" t="n"/>
      <c r="AB152" s="11" t="n"/>
      <c r="AC152" s="13">
        <f>IF(OR(Y152="",X152=""),"",Y152-X152)</f>
        <v/>
      </c>
      <c r="AD152" s="14">
        <f>IF(OR(Y152="",X152="",X152=0),"",(Y152-X152)/X152)</f>
        <v/>
      </c>
      <c r="AE152" s="15">
        <f>IF(AD152="","",IF(AD152&lt;-0.05,"Moins cher",IF(AD152&gt;0.05,"Plus cher","Équivalent")))</f>
        <v/>
      </c>
    </row>
    <row r="153">
      <c r="A153" s="28" t="n"/>
      <c r="B153" s="28" t="n"/>
      <c r="C153" s="28" t="n"/>
      <c r="D153" s="28" t="n"/>
      <c r="E153" s="28" t="n"/>
      <c r="F153" s="28" t="n"/>
      <c r="G153" s="28" t="n"/>
      <c r="H153" s="28" t="n"/>
      <c r="I153" s="28" t="n"/>
      <c r="J153" s="28" t="n"/>
      <c r="K153" s="28" t="n"/>
      <c r="L153" s="28" t="n"/>
      <c r="M153" s="28" t="n"/>
      <c r="N153" s="28" t="n"/>
      <c r="O153" s="28" t="n"/>
      <c r="P153" s="28" t="n"/>
      <c r="Q153" s="28" t="n"/>
      <c r="R153" s="28" t="n"/>
      <c r="S153" s="28" t="n"/>
      <c r="T153" s="28" t="n"/>
      <c r="U153" s="11" t="n"/>
      <c r="V153" s="11" t="n"/>
      <c r="W153" s="11" t="n"/>
      <c r="X153" s="12" t="n"/>
      <c r="Y153" s="12" t="n"/>
      <c r="Z153" s="11" t="n"/>
      <c r="AA153" s="11" t="n"/>
      <c r="AB153" s="11" t="n"/>
      <c r="AC153" s="13">
        <f>IF(OR(Y153="",X153=""),"",Y153-X153)</f>
        <v/>
      </c>
      <c r="AD153" s="14">
        <f>IF(OR(Y153="",X153="",X153=0),"",(Y153-X153)/X153)</f>
        <v/>
      </c>
      <c r="AE153" s="15">
        <f>IF(AD153="","",IF(AD153&lt;-0.05,"Moins cher",IF(AD153&gt;0.05,"Plus cher","Équivalent")))</f>
        <v/>
      </c>
    </row>
    <row r="154">
      <c r="A154" s="28" t="n"/>
      <c r="B154" s="28" t="n"/>
      <c r="C154" s="28" t="n"/>
      <c r="D154" s="28" t="n"/>
      <c r="E154" s="28" t="n"/>
      <c r="F154" s="28" t="n"/>
      <c r="G154" s="28" t="n"/>
      <c r="H154" s="28" t="n"/>
      <c r="I154" s="28" t="n"/>
      <c r="J154" s="28" t="n"/>
      <c r="K154" s="28" t="n"/>
      <c r="L154" s="28" t="n"/>
      <c r="M154" s="28" t="n"/>
      <c r="N154" s="28" t="n"/>
      <c r="O154" s="28" t="n"/>
      <c r="P154" s="28" t="n"/>
      <c r="Q154" s="28" t="n"/>
      <c r="R154" s="28" t="n"/>
      <c r="S154" s="28" t="n"/>
      <c r="T154" s="28" t="n"/>
      <c r="U154" s="11" t="n"/>
      <c r="V154" s="11" t="n"/>
      <c r="W154" s="11" t="n"/>
      <c r="X154" s="12" t="n"/>
      <c r="Y154" s="12" t="n"/>
      <c r="Z154" s="11" t="n"/>
      <c r="AA154" s="11" t="n"/>
      <c r="AB154" s="11" t="n"/>
      <c r="AC154" s="13">
        <f>IF(OR(Y154="",X154=""),"",Y154-X154)</f>
        <v/>
      </c>
      <c r="AD154" s="14">
        <f>IF(OR(Y154="",X154="",X154=0),"",(Y154-X154)/X154)</f>
        <v/>
      </c>
      <c r="AE154" s="15">
        <f>IF(AD154="","",IF(AD154&lt;-0.05,"Moins cher",IF(AD154&gt;0.05,"Plus cher","Équivalent")))</f>
        <v/>
      </c>
    </row>
    <row r="155">
      <c r="A155" s="28" t="n"/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  <c r="O155" s="28" t="n"/>
      <c r="P155" s="28" t="n"/>
      <c r="Q155" s="28" t="n"/>
      <c r="R155" s="28" t="n"/>
      <c r="S155" s="28" t="n"/>
      <c r="T155" s="28" t="n"/>
      <c r="U155" s="11" t="n"/>
      <c r="V155" s="11" t="n"/>
      <c r="W155" s="11" t="n"/>
      <c r="X155" s="12" t="n"/>
      <c r="Y155" s="12" t="n"/>
      <c r="Z155" s="11" t="n"/>
      <c r="AA155" s="11" t="n"/>
      <c r="AB155" s="11" t="n"/>
      <c r="AC155" s="13">
        <f>IF(OR(Y155="",X155=""),"",Y155-X155)</f>
        <v/>
      </c>
      <c r="AD155" s="14">
        <f>IF(OR(Y155="",X155="",X155=0),"",(Y155-X155)/X155)</f>
        <v/>
      </c>
      <c r="AE155" s="15">
        <f>IF(AD155="","",IF(AD155&lt;-0.05,"Moins cher",IF(AD155&gt;0.05,"Plus cher","Équivalent")))</f>
        <v/>
      </c>
    </row>
    <row r="156">
      <c r="A156" s="28" t="n"/>
      <c r="B156" s="28" t="n"/>
      <c r="C156" s="28" t="n"/>
      <c r="D156" s="28" t="n"/>
      <c r="E156" s="28" t="n"/>
      <c r="F156" s="28" t="n"/>
      <c r="G156" s="28" t="n"/>
      <c r="H156" s="28" t="n"/>
      <c r="I156" s="28" t="n"/>
      <c r="J156" s="28" t="n"/>
      <c r="K156" s="28" t="n"/>
      <c r="L156" s="28" t="n"/>
      <c r="M156" s="28" t="n"/>
      <c r="N156" s="28" t="n"/>
      <c r="O156" s="28" t="n"/>
      <c r="P156" s="28" t="n"/>
      <c r="Q156" s="28" t="n"/>
      <c r="R156" s="28" t="n"/>
      <c r="S156" s="28" t="n"/>
      <c r="T156" s="28" t="n"/>
      <c r="U156" s="11" t="n"/>
      <c r="V156" s="11" t="n"/>
      <c r="W156" s="11" t="n"/>
      <c r="X156" s="12" t="n"/>
      <c r="Y156" s="12" t="n"/>
      <c r="Z156" s="11" t="n"/>
      <c r="AA156" s="11" t="n"/>
      <c r="AB156" s="11" t="n"/>
      <c r="AC156" s="13">
        <f>IF(OR(Y156="",X156=""),"",Y156-X156)</f>
        <v/>
      </c>
      <c r="AD156" s="14">
        <f>IF(OR(Y156="",X156="",X156=0),"",(Y156-X156)/X156)</f>
        <v/>
      </c>
      <c r="AE156" s="15">
        <f>IF(AD156="","",IF(AD156&lt;-0.05,"Moins cher",IF(AD156&gt;0.05,"Plus cher","Équivalent")))</f>
        <v/>
      </c>
    </row>
    <row r="157">
      <c r="A157" s="28" t="n"/>
      <c r="B157" s="28" t="n"/>
      <c r="C157" s="28" t="n"/>
      <c r="D157" s="28" t="n"/>
      <c r="E157" s="28" t="n"/>
      <c r="F157" s="28" t="n"/>
      <c r="G157" s="28" t="n"/>
      <c r="H157" s="28" t="n"/>
      <c r="I157" s="28" t="n"/>
      <c r="J157" s="28" t="n"/>
      <c r="K157" s="28" t="n"/>
      <c r="L157" s="28" t="n"/>
      <c r="M157" s="28" t="n"/>
      <c r="N157" s="28" t="n"/>
      <c r="O157" s="28" t="n"/>
      <c r="P157" s="28" t="n"/>
      <c r="Q157" s="28" t="n"/>
      <c r="R157" s="28" t="n"/>
      <c r="S157" s="28" t="n"/>
      <c r="T157" s="28" t="n"/>
      <c r="U157" s="11" t="n"/>
      <c r="V157" s="11" t="n"/>
      <c r="W157" s="11" t="n"/>
      <c r="X157" s="12" t="n"/>
      <c r="Y157" s="12" t="n"/>
      <c r="Z157" s="11" t="n"/>
      <c r="AA157" s="11" t="n"/>
      <c r="AB157" s="11" t="n"/>
      <c r="AC157" s="13">
        <f>IF(OR(Y157="",X157=""),"",Y157-X157)</f>
        <v/>
      </c>
      <c r="AD157" s="14">
        <f>IF(OR(Y157="",X157="",X157=0),"",(Y157-X157)/X157)</f>
        <v/>
      </c>
      <c r="AE157" s="15">
        <f>IF(AD157="","",IF(AD157&lt;-0.05,"Moins cher",IF(AD157&gt;0.05,"Plus cher","Équivalent")))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A1:AE157"/>
  <conditionalFormatting sqref="AD2:AD157">
    <cfRule type="cellIs" priority="1" operator="greaterThan" dxfId="0">
      <formula>0.05</formula>
    </cfRule>
    <cfRule type="cellIs" priority="2" operator="lessThan" dxfId="1">
      <formula>-0.05</formula>
    </cfRule>
    <cfRule type="cellIs" priority="3" operator="between" dxfId="2">
      <formula>-0.05</formula>
      <formula>0.05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20" customWidth="1" min="9" max="9"/>
    <col width="12" customWidth="1" min="10" max="10"/>
    <col width="10" customWidth="1" min="11" max="11"/>
    <col width="44" customWidth="1" min="12" max="12"/>
    <col width="14" customWidth="1" min="13" max="13"/>
    <col width="10" customWidth="1" min="14" max="14"/>
    <col width="60" customWidth="1" min="15" max="15"/>
    <col width="10" customWidth="1" min="16" max="16"/>
    <col width="22" customWidth="1" min="17" max="17"/>
    <col width="20" customWidth="1" min="18" max="18"/>
    <col width="22" customWidth="1" min="19" max="19"/>
    <col width="15" customWidth="1" min="20" max="20"/>
    <col width="14" customWidth="1" min="21" max="21"/>
    <col width="10" customWidth="1" min="22" max="22"/>
    <col width="20" customWidth="1" min="23" max="23"/>
    <col width="32" customWidth="1" min="24" max="24"/>
    <col width="18" customWidth="1" min="25" max="25"/>
    <col width="16" customWidth="1" min="26" max="26"/>
    <col width="20" customWidth="1" min="27" max="27"/>
  </cols>
  <sheetData>
    <row r="1" ht="40" customHeight="1">
      <c r="A1" s="1" t="inlineStr">
        <is>
          <t>Référence SEAGO</t>
        </is>
      </c>
      <c r="B1" s="1" t="inlineStr">
        <is>
          <t>Type</t>
        </is>
      </c>
      <c r="C1" s="1" t="inlineStr">
        <is>
          <t>Capacité réservoir (mL)</t>
        </is>
      </c>
      <c r="D1" s="1" t="inlineStr">
        <is>
          <t>Nombre de modes</t>
        </is>
      </c>
      <c r="E1" s="1" t="inlineStr">
        <is>
          <t>Pression min (PSI)</t>
        </is>
      </c>
      <c r="F1" s="1" t="inlineStr">
        <is>
          <t>Pression max (PSI)</t>
        </is>
      </c>
      <c r="G1" s="1" t="inlineStr">
        <is>
          <t>Batterie (mAh)</t>
        </is>
      </c>
      <c r="H1" s="1" t="inlineStr">
        <is>
          <t>Tension batterie (V)</t>
        </is>
      </c>
      <c r="I1" s="1" t="inlineStr">
        <is>
          <t>Mode de charge</t>
        </is>
      </c>
      <c r="J1" s="1" t="inlineStr">
        <is>
          <t>Étanchéité (IPX)</t>
        </is>
      </c>
      <c r="K1" s="1" t="inlineStr">
        <is>
          <t>Poids (g)</t>
        </is>
      </c>
      <c r="L1" s="1" t="inlineStr">
        <is>
          <t>Dimensions L*l*H (mm)</t>
        </is>
      </c>
      <c r="M1" s="1" t="inlineStr">
        <is>
          <t>Buse rotative 360°</t>
        </is>
      </c>
      <c r="N1" s="1" t="inlineStr">
        <is>
          <t>Minuteur</t>
        </is>
      </c>
      <c r="O1" s="1" t="inlineStr">
        <is>
          <t>Fonctions différenciantes</t>
        </is>
      </c>
      <c r="P1" s="1" t="inlineStr">
        <is>
          <t>Page catalogue</t>
        </is>
      </c>
      <c r="Q1" s="2" t="inlineStr">
        <is>
          <t>Produit concurrent</t>
        </is>
      </c>
      <c r="R1" s="2" t="inlineStr">
        <is>
          <t>Marque concurrente</t>
        </is>
      </c>
      <c r="S1" s="2" t="inlineStr">
        <is>
          <t>Référence concurrente</t>
        </is>
      </c>
      <c r="T1" s="2" t="inlineStr">
        <is>
          <t>Prix concurrent</t>
        </is>
      </c>
      <c r="U1" s="2" t="inlineStr">
        <is>
          <t>Prix SEAGO</t>
        </is>
      </c>
      <c r="V1" s="2" t="inlineStr">
        <is>
          <t>Devise</t>
        </is>
      </c>
      <c r="W1" s="2" t="inlineStr">
        <is>
          <t>Source / canal</t>
        </is>
      </c>
      <c r="X1" s="2" t="inlineStr">
        <is>
          <t>Commentaire</t>
        </is>
      </c>
      <c r="Y1" s="3" t="inlineStr">
        <is>
          <t>Écart de prix (valeur)</t>
        </is>
      </c>
      <c r="Z1" s="3" t="inlineStr">
        <is>
          <t>Écart de prix (%)</t>
        </is>
      </c>
      <c r="AA1" s="3" t="inlineStr">
        <is>
          <t>Positionnement prix</t>
        </is>
      </c>
    </row>
    <row r="2">
      <c r="A2" s="4" t="inlineStr">
        <is>
          <t>SG-8026</t>
        </is>
      </c>
      <c r="B2" s="4" t="inlineStr">
        <is>
          <t>Portable (sans fil)</t>
        </is>
      </c>
      <c r="C2" s="6" t="n">
        <v>350</v>
      </c>
      <c r="D2" s="6" t="n">
        <v>4</v>
      </c>
      <c r="E2" s="6" t="n">
        <v>80</v>
      </c>
      <c r="F2" s="6" t="n">
        <v>160</v>
      </c>
      <c r="G2" s="6" t="n">
        <v>1500</v>
      </c>
      <c r="H2" s="8" t="n">
        <v>3.7</v>
      </c>
      <c r="I2" s="4" t="inlineStr">
        <is>
          <t>Type-C</t>
        </is>
      </c>
      <c r="J2" s="4" t="inlineStr">
        <is>
          <t>IPX7</t>
        </is>
      </c>
      <c r="K2" s="8" t="n">
        <v>305</v>
      </c>
      <c r="L2" s="4" t="inlineStr">
        <is>
          <t>84*61*303</t>
        </is>
      </c>
      <c r="M2" s="4" t="inlineStr">
        <is>
          <t>Oui</t>
        </is>
      </c>
      <c r="N2" s="4" t="inlineStr">
        <is>
          <t>Non</t>
        </is>
      </c>
      <c r="O2" s="9" t="inlineStr">
        <is>
          <t>Modes DIY, fonction shoot avec pause à tout moment, réservoir 350 mL détachable pour un nettoyage facile</t>
        </is>
      </c>
      <c r="P2" s="10" t="n">
        <v>6</v>
      </c>
      <c r="Q2" s="11" t="n"/>
      <c r="R2" s="11" t="n"/>
      <c r="S2" s="11" t="n"/>
      <c r="T2" s="12" t="n"/>
      <c r="U2" s="12" t="n"/>
      <c r="V2" s="11" t="n"/>
      <c r="W2" s="11" t="n"/>
      <c r="X2" s="11" t="n"/>
      <c r="Y2" s="13">
        <f>IF(OR(U2="",T2=""),"",U2-T2)</f>
        <v/>
      </c>
      <c r="Z2" s="14">
        <f>IF(OR(U2="",T2="",T2=0),"",(U2-T2)/T2)</f>
        <v/>
      </c>
      <c r="AA2" s="15">
        <f>IF(Z2="","",IF(Z2&lt;-0.05,"Moins cher",IF(Z2&gt;0.05,"Plus cher","Équivalent")))</f>
        <v/>
      </c>
    </row>
    <row r="3">
      <c r="A3" s="16" t="inlineStr">
        <is>
          <t>SG-8020</t>
        </is>
      </c>
      <c r="B3" s="16" t="inlineStr">
        <is>
          <t>Sur socle (plan de travail)</t>
        </is>
      </c>
      <c r="C3" s="18" t="n">
        <v>500</v>
      </c>
      <c r="D3" s="18" t="n">
        <v>4</v>
      </c>
      <c r="E3" s="23" t="inlineStr">
        <is>
          <t>N/D</t>
        </is>
      </c>
      <c r="F3" s="23" t="inlineStr">
        <is>
          <t>N/D</t>
        </is>
      </c>
      <c r="G3" s="18" t="n">
        <v>1500</v>
      </c>
      <c r="H3" s="19" t="n">
        <v>7.4</v>
      </c>
      <c r="I3" s="16" t="inlineStr">
        <is>
          <t>USB</t>
        </is>
      </c>
      <c r="J3" s="16" t="inlineStr">
        <is>
          <t>IPX7</t>
        </is>
      </c>
      <c r="K3" s="22" t="inlineStr">
        <is>
          <t>N/D</t>
        </is>
      </c>
      <c r="L3" s="16" t="inlineStr">
        <is>
          <t>191.8*96.3*196.3</t>
        </is>
      </c>
      <c r="M3" s="24" t="inlineStr">
        <is>
          <t>N/D</t>
        </is>
      </c>
      <c r="N3" s="16" t="inlineStr">
        <is>
          <t>Oui</t>
        </is>
      </c>
      <c r="O3" s="20" t="inlineStr">
        <is>
          <t>Changement de mode visible sur le réservoir, modes 1, 2 et 4 avec 9 intensités, manche fin à bouton poussoir, mémoire intelligente, protection surcharge et décharge profonde</t>
        </is>
      </c>
      <c r="P3" s="21" t="n">
        <v>95</v>
      </c>
      <c r="Q3" s="11" t="n"/>
      <c r="R3" s="11" t="n"/>
      <c r="S3" s="11" t="n"/>
      <c r="T3" s="12" t="n"/>
      <c r="U3" s="12" t="n"/>
      <c r="V3" s="11" t="n"/>
      <c r="W3" s="11" t="n"/>
      <c r="X3" s="11" t="n"/>
      <c r="Y3" s="13">
        <f>IF(OR(U3="",T3=""),"",U3-T3)</f>
        <v/>
      </c>
      <c r="Z3" s="14">
        <f>IF(OR(U3="",T3="",T3=0),"",(U3-T3)/T3)</f>
        <v/>
      </c>
      <c r="AA3" s="15">
        <f>IF(Z3="","",IF(Z3&lt;-0.05,"Moins cher",IF(Z3&gt;0.05,"Plus cher","Équivalent")))</f>
        <v/>
      </c>
    </row>
    <row r="4">
      <c r="A4" s="4" t="inlineStr">
        <is>
          <t>SG-8023</t>
        </is>
      </c>
      <c r="B4" s="4" t="inlineStr">
        <is>
          <t>Portable (sans fil)</t>
        </is>
      </c>
      <c r="C4" s="6" t="n">
        <v>350</v>
      </c>
      <c r="D4" s="6" t="n">
        <v>4</v>
      </c>
      <c r="E4" s="6" t="n">
        <v>80</v>
      </c>
      <c r="F4" s="6" t="n">
        <v>160</v>
      </c>
      <c r="G4" s="6" t="n">
        <v>1500</v>
      </c>
      <c r="H4" s="8" t="n">
        <v>3.7</v>
      </c>
      <c r="I4" s="4" t="inlineStr">
        <is>
          <t>Type-C</t>
        </is>
      </c>
      <c r="J4" s="4" t="inlineStr">
        <is>
          <t>IPX7</t>
        </is>
      </c>
      <c r="K4" s="8" t="n">
        <v>305</v>
      </c>
      <c r="L4" s="4" t="inlineStr">
        <is>
          <t>81*86*230</t>
        </is>
      </c>
      <c r="M4" s="4" t="inlineStr">
        <is>
          <t>Oui</t>
        </is>
      </c>
      <c r="N4" s="4" t="inlineStr">
        <is>
          <t>Non</t>
        </is>
      </c>
      <c r="O4" s="9" t="inlineStr">
        <is>
          <t>4 modes (Strong, Soft, Pulse, DIY), fonction shoot avec arrêt à tout moment</t>
        </is>
      </c>
      <c r="P4" s="10" t="n">
        <v>95</v>
      </c>
      <c r="Q4" s="11" t="n"/>
      <c r="R4" s="11" t="n"/>
      <c r="S4" s="11" t="n"/>
      <c r="T4" s="12" t="n"/>
      <c r="U4" s="12" t="n"/>
      <c r="V4" s="11" t="n"/>
      <c r="W4" s="11" t="n"/>
      <c r="X4" s="11" t="n"/>
      <c r="Y4" s="13">
        <f>IF(OR(U4="",T4=""),"",U4-T4)</f>
        <v/>
      </c>
      <c r="Z4" s="14">
        <f>IF(OR(U4="",T4="",T4=0),"",(U4-T4)/T4)</f>
        <v/>
      </c>
      <c r="AA4" s="15">
        <f>IF(Z4="","",IF(Z4&lt;-0.05,"Moins cher",IF(Z4&gt;0.05,"Plus cher","Équivalent")))</f>
        <v/>
      </c>
    </row>
    <row r="5">
      <c r="A5" s="16" t="inlineStr">
        <is>
          <t>SG-8003</t>
        </is>
      </c>
      <c r="B5" s="16" t="inlineStr">
        <is>
          <t>Portable pliable (voyage)</t>
        </is>
      </c>
      <c r="C5" s="18" t="n">
        <v>175</v>
      </c>
      <c r="D5" s="18" t="n">
        <v>3</v>
      </c>
      <c r="E5" s="18" t="n">
        <v>90</v>
      </c>
      <c r="F5" s="18" t="n">
        <v>130</v>
      </c>
      <c r="G5" s="18" t="n">
        <v>1000</v>
      </c>
      <c r="H5" s="19" t="n">
        <v>3.7</v>
      </c>
      <c r="I5" s="16" t="inlineStr">
        <is>
          <t>Magnétique</t>
        </is>
      </c>
      <c r="J5" s="16" t="inlineStr">
        <is>
          <t>IPX7</t>
        </is>
      </c>
      <c r="K5" s="19" t="n">
        <v>233</v>
      </c>
      <c r="L5" s="16" t="inlineStr">
        <is>
          <t>63.3*47.1*227 (buse déployée) / 63.3*47.1*151 (buse rangée)</t>
        </is>
      </c>
      <c r="M5" s="16" t="inlineStr">
        <is>
          <t>Oui</t>
        </is>
      </c>
      <c r="N5" s="16" t="inlineStr">
        <is>
          <t>Non</t>
        </is>
      </c>
      <c r="O5" s="20" t="inlineStr">
        <is>
          <t>Plus de 1500 pulsations/min, format mini pliable en forme de diamant, versions 8003A et 8003B</t>
        </is>
      </c>
      <c r="P5" s="21" t="n">
        <v>96</v>
      </c>
      <c r="Q5" s="11" t="n"/>
      <c r="R5" s="11" t="n"/>
      <c r="S5" s="11" t="n"/>
      <c r="T5" s="12" t="n"/>
      <c r="U5" s="12" t="n"/>
      <c r="V5" s="11" t="n"/>
      <c r="W5" s="11" t="n"/>
      <c r="X5" s="11" t="n"/>
      <c r="Y5" s="13">
        <f>IF(OR(U5="",T5=""),"",U5-T5)</f>
        <v/>
      </c>
      <c r="Z5" s="14">
        <f>IF(OR(U5="",T5="",T5=0),"",(U5-T5)/T5)</f>
        <v/>
      </c>
      <c r="AA5" s="15">
        <f>IF(Z5="","",IF(Z5&lt;-0.05,"Moins cher",IF(Z5&gt;0.05,"Plus cher","Équivalent")))</f>
        <v/>
      </c>
    </row>
    <row r="6">
      <c r="A6" s="4" t="inlineStr">
        <is>
          <t>SG-8019</t>
        </is>
      </c>
      <c r="B6" s="4" t="inlineStr">
        <is>
          <t>Portable (sans fil)</t>
        </is>
      </c>
      <c r="C6" s="6" t="n">
        <v>290</v>
      </c>
      <c r="D6" s="6" t="n">
        <v>5</v>
      </c>
      <c r="E6" s="6" t="n">
        <v>90</v>
      </c>
      <c r="F6" s="6" t="n">
        <v>130</v>
      </c>
      <c r="G6" s="6" t="n">
        <v>1600</v>
      </c>
      <c r="H6" s="8" t="n">
        <v>3.7</v>
      </c>
      <c r="I6" s="4" t="inlineStr">
        <is>
          <t>USB (port DC)</t>
        </is>
      </c>
      <c r="J6" s="4" t="inlineStr">
        <is>
          <t>IPX7</t>
        </is>
      </c>
      <c r="K6" s="8" t="n">
        <v>276</v>
      </c>
      <c r="L6" s="4" t="inlineStr">
        <is>
          <t>85.7*71.7*225.2</t>
        </is>
      </c>
      <c r="M6" s="4" t="inlineStr">
        <is>
          <t>Oui</t>
        </is>
      </c>
      <c r="N6" s="4" t="inlineStr">
        <is>
          <t>Oui</t>
        </is>
      </c>
      <c r="O6" s="9" t="inlineStr">
        <is>
          <t>Plus de 1500 pulsations/min, 5 modes (Strong, Normal, Massage, Shoot, DIY), grand réservoir 290 mL</t>
        </is>
      </c>
      <c r="P6" s="10" t="n">
        <v>96</v>
      </c>
      <c r="Q6" s="11" t="n"/>
      <c r="R6" s="11" t="n"/>
      <c r="S6" s="11" t="n"/>
      <c r="T6" s="12" t="n"/>
      <c r="U6" s="12" t="n"/>
      <c r="V6" s="11" t="n"/>
      <c r="W6" s="11" t="n"/>
      <c r="X6" s="11" t="n"/>
      <c r="Y6" s="13">
        <f>IF(OR(U6="",T6=""),"",U6-T6)</f>
        <v/>
      </c>
      <c r="Z6" s="14">
        <f>IF(OR(U6="",T6="",T6=0),"",(U6-T6)/T6)</f>
        <v/>
      </c>
      <c r="AA6" s="15">
        <f>IF(Z6="","",IF(Z6&lt;-0.05,"Moins cher",IF(Z6&gt;0.05,"Plus cher","Équivalent")))</f>
        <v/>
      </c>
    </row>
    <row r="7">
      <c r="A7" s="16" t="inlineStr">
        <is>
          <t>SG-833</t>
        </is>
      </c>
      <c r="B7" s="16" t="inlineStr">
        <is>
          <t>Portable (sans fil)</t>
        </is>
      </c>
      <c r="C7" s="18" t="n">
        <v>260</v>
      </c>
      <c r="D7" s="18" t="n">
        <v>3</v>
      </c>
      <c r="E7" s="18" t="n">
        <v>80</v>
      </c>
      <c r="F7" s="18" t="n">
        <v>160</v>
      </c>
      <c r="G7" s="18" t="n">
        <v>1500</v>
      </c>
      <c r="H7" s="19" t="n">
        <v>3.7</v>
      </c>
      <c r="I7" s="16" t="inlineStr">
        <is>
          <t>USB (port DC)</t>
        </is>
      </c>
      <c r="J7" s="16" t="inlineStr">
        <is>
          <t>IPX7</t>
        </is>
      </c>
      <c r="K7" s="19" t="n">
        <v>321</v>
      </c>
      <c r="L7" s="16" t="inlineStr">
        <is>
          <t>73*84*226 (manche sans buse)</t>
        </is>
      </c>
      <c r="M7" s="16" t="inlineStr">
        <is>
          <t>Oui</t>
        </is>
      </c>
      <c r="N7" s="16" t="inlineStr">
        <is>
          <t>Oui</t>
        </is>
      </c>
      <c r="O7" s="20" t="inlineStr">
        <is>
          <t>Plus de 1500 pulsations/min, réservoir disponible en 200 mL et 260 mL</t>
        </is>
      </c>
      <c r="P7" s="21" t="n">
        <v>97</v>
      </c>
      <c r="Q7" s="11" t="n"/>
      <c r="R7" s="11" t="n"/>
      <c r="S7" s="11" t="n"/>
      <c r="T7" s="12" t="n"/>
      <c r="U7" s="12" t="n"/>
      <c r="V7" s="11" t="n"/>
      <c r="W7" s="11" t="n"/>
      <c r="X7" s="11" t="n"/>
      <c r="Y7" s="13">
        <f>IF(OR(U7="",T7=""),"",U7-T7)</f>
        <v/>
      </c>
      <c r="Z7" s="14">
        <f>IF(OR(U7="",T7="",T7=0),"",(U7-T7)/T7)</f>
        <v/>
      </c>
      <c r="AA7" s="15">
        <f>IF(Z7="","",IF(Z7&lt;-0.05,"Moins cher",IF(Z7&gt;0.05,"Plus cher","Équivalent")))</f>
        <v/>
      </c>
    </row>
    <row r="8">
      <c r="A8" s="4" t="inlineStr">
        <is>
          <t>SG-8001</t>
        </is>
      </c>
      <c r="B8" s="4" t="inlineStr">
        <is>
          <t>Portable (sans fil)</t>
        </is>
      </c>
      <c r="C8" s="6" t="n">
        <v>180</v>
      </c>
      <c r="D8" s="6" t="n">
        <v>3</v>
      </c>
      <c r="E8" s="6" t="n">
        <v>80</v>
      </c>
      <c r="F8" s="6" t="n">
        <v>160</v>
      </c>
      <c r="G8" s="6" t="n">
        <v>1500</v>
      </c>
      <c r="H8" s="8" t="n">
        <v>3.7</v>
      </c>
      <c r="I8" s="4" t="inlineStr">
        <is>
          <t>USB (port DC)</t>
        </is>
      </c>
      <c r="J8" s="4" t="inlineStr">
        <is>
          <t>IPX7</t>
        </is>
      </c>
      <c r="K8" s="8" t="n">
        <v>312</v>
      </c>
      <c r="L8" s="4" t="inlineStr">
        <is>
          <t>63*84*226 (manche sans buse)</t>
        </is>
      </c>
      <c r="M8" s="4" t="inlineStr">
        <is>
          <t>Oui</t>
        </is>
      </c>
      <c r="N8" s="4" t="inlineStr">
        <is>
          <t>Oui</t>
        </is>
      </c>
      <c r="O8" s="9" t="inlineStr">
        <is>
          <t>Plus de 1500 pulsations/min, réservoir lavable, capacité annoncée 150-180 mL</t>
        </is>
      </c>
      <c r="P8" s="10" t="n">
        <v>97</v>
      </c>
      <c r="Q8" s="11" t="n"/>
      <c r="R8" s="11" t="n"/>
      <c r="S8" s="11" t="n"/>
      <c r="T8" s="12" t="n"/>
      <c r="U8" s="12" t="n"/>
      <c r="V8" s="11" t="n"/>
      <c r="W8" s="11" t="n"/>
      <c r="X8" s="11" t="n"/>
      <c r="Y8" s="13">
        <f>IF(OR(U8="",T8=""),"",U8-T8)</f>
        <v/>
      </c>
      <c r="Z8" s="14">
        <f>IF(OR(U8="",T8="",T8=0),"",(U8-T8)/T8)</f>
        <v/>
      </c>
      <c r="AA8" s="15">
        <f>IF(Z8="","",IF(Z8&lt;-0.05,"Moins cher",IF(Z8&gt;0.05,"Plus cher","Équivalent")))</f>
        <v/>
      </c>
    </row>
    <row r="9">
      <c r="A9" s="16" t="inlineStr">
        <is>
          <t>SG-8009</t>
        </is>
      </c>
      <c r="B9" s="16" t="inlineStr">
        <is>
          <t>Portable (sans fil)</t>
        </is>
      </c>
      <c r="C9" s="18" t="n">
        <v>230</v>
      </c>
      <c r="D9" s="18" t="n">
        <v>3</v>
      </c>
      <c r="E9" s="18" t="n">
        <v>90</v>
      </c>
      <c r="F9" s="18" t="n">
        <v>130</v>
      </c>
      <c r="G9" s="18" t="n">
        <v>1500</v>
      </c>
      <c r="H9" s="19" t="n">
        <v>3.7</v>
      </c>
      <c r="I9" s="16" t="inlineStr">
        <is>
          <t>USB</t>
        </is>
      </c>
      <c r="J9" s="16" t="inlineStr">
        <is>
          <t>IPX7</t>
        </is>
      </c>
      <c r="K9" s="19" t="n">
        <v>315</v>
      </c>
      <c r="L9" s="16" t="inlineStr">
        <is>
          <t>64*87*230 (manche sans buse)</t>
        </is>
      </c>
      <c r="M9" s="16" t="inlineStr">
        <is>
          <t>Oui</t>
        </is>
      </c>
      <c r="N9" s="16" t="inlineStr">
        <is>
          <t>Oui</t>
        </is>
      </c>
      <c r="O9" s="20" t="inlineStr">
        <is>
          <t>Plus de 1500 pulsations/min, réservoir 230 mL détachable et lavable</t>
        </is>
      </c>
      <c r="P9" s="21" t="n">
        <v>98</v>
      </c>
      <c r="Q9" s="11" t="n"/>
      <c r="R9" s="11" t="n"/>
      <c r="S9" s="11" t="n"/>
      <c r="T9" s="12" t="n"/>
      <c r="U9" s="12" t="n"/>
      <c r="V9" s="11" t="n"/>
      <c r="W9" s="11" t="n"/>
      <c r="X9" s="11" t="n"/>
      <c r="Y9" s="13">
        <f>IF(OR(U9="",T9=""),"",U9-T9)</f>
        <v/>
      </c>
      <c r="Z9" s="14">
        <f>IF(OR(U9="",T9="",T9=0),"",(U9-T9)/T9)</f>
        <v/>
      </c>
      <c r="AA9" s="15">
        <f>IF(Z9="","",IF(Z9&lt;-0.05,"Moins cher",IF(Z9&gt;0.05,"Plus cher","Équivalent")))</f>
        <v/>
      </c>
    </row>
    <row r="10">
      <c r="A10" s="4" t="inlineStr">
        <is>
          <t>SG-8002</t>
        </is>
      </c>
      <c r="B10" s="4" t="inlineStr">
        <is>
          <t>Portable pliable (voyage)</t>
        </is>
      </c>
      <c r="C10" s="6" t="n">
        <v>170</v>
      </c>
      <c r="D10" s="6" t="n">
        <v>3</v>
      </c>
      <c r="E10" s="6" t="n">
        <v>90</v>
      </c>
      <c r="F10" s="6" t="n">
        <v>130</v>
      </c>
      <c r="G10" s="6" t="n">
        <v>1500</v>
      </c>
      <c r="H10" s="8" t="n">
        <v>3.7</v>
      </c>
      <c r="I10" s="4" t="inlineStr">
        <is>
          <t>Magnétique</t>
        </is>
      </c>
      <c r="J10" s="4" t="inlineStr">
        <is>
          <t>IPX7</t>
        </is>
      </c>
      <c r="K10" s="8" t="n">
        <v>236</v>
      </c>
      <c r="L10" s="4" t="inlineStr">
        <is>
          <t>64*43*224 (buse déployée) / 64*43*148 (buse rangée)</t>
        </is>
      </c>
      <c r="M10" s="4" t="inlineStr">
        <is>
          <t>Oui</t>
        </is>
      </c>
      <c r="N10" s="4" t="inlineStr">
        <is>
          <t>Non</t>
        </is>
      </c>
      <c r="O10" s="9" t="inlineStr">
        <is>
          <t>Plus de 1500 pulsations/min, format mini pliable pour le voyage</t>
        </is>
      </c>
      <c r="P10" s="10" t="n">
        <v>98</v>
      </c>
      <c r="Q10" s="11" t="n"/>
      <c r="R10" s="11" t="n"/>
      <c r="S10" s="11" t="n"/>
      <c r="T10" s="12" t="n"/>
      <c r="U10" s="12" t="n"/>
      <c r="V10" s="11" t="n"/>
      <c r="W10" s="11" t="n"/>
      <c r="X10" s="11" t="n"/>
      <c r="Y10" s="13">
        <f>IF(OR(U10="",T10=""),"",U10-T10)</f>
        <v/>
      </c>
      <c r="Z10" s="14">
        <f>IF(OR(U10="",T10="",T10=0),"",(U10-T10)/T10)</f>
        <v/>
      </c>
      <c r="AA10" s="15">
        <f>IF(Z10="","",IF(Z10&lt;-0.05,"Moins cher",IF(Z10&gt;0.05,"Plus cher","Équivalent")))</f>
        <v/>
      </c>
    </row>
    <row r="11">
      <c r="A11" s="16" t="inlineStr">
        <is>
          <t>SG-831</t>
        </is>
      </c>
      <c r="B11" s="16" t="inlineStr">
        <is>
          <t>Portable pliable (voyage)</t>
        </is>
      </c>
      <c r="C11" s="18" t="n">
        <v>190</v>
      </c>
      <c r="D11" s="18" t="n">
        <v>3</v>
      </c>
      <c r="E11" s="18" t="n">
        <v>80</v>
      </c>
      <c r="F11" s="18" t="n">
        <v>160</v>
      </c>
      <c r="G11" s="18" t="n">
        <v>1500</v>
      </c>
      <c r="H11" s="19" t="n">
        <v>3.7</v>
      </c>
      <c r="I11" s="16" t="inlineStr">
        <is>
          <t>USB</t>
        </is>
      </c>
      <c r="J11" s="16" t="inlineStr">
        <is>
          <t>IPX7</t>
        </is>
      </c>
      <c r="K11" s="19" t="n">
        <v>250</v>
      </c>
      <c r="L11" s="16" t="inlineStr">
        <is>
          <t>64*51*230 (buse déployée) / 64*51*158 (buse rangée)</t>
        </is>
      </c>
      <c r="M11" s="16" t="inlineStr">
        <is>
          <t>Oui</t>
        </is>
      </c>
      <c r="N11" s="16" t="inlineStr">
        <is>
          <t>Non</t>
        </is>
      </c>
      <c r="O11" s="20" t="inlineStr">
        <is>
          <t>Plus de 1500 pulsations/min, format mini pliable pour le voyage</t>
        </is>
      </c>
      <c r="P11" s="21" t="n">
        <v>99</v>
      </c>
      <c r="Q11" s="11" t="n"/>
      <c r="R11" s="11" t="n"/>
      <c r="S11" s="11" t="n"/>
      <c r="T11" s="12" t="n"/>
      <c r="U11" s="12" t="n"/>
      <c r="V11" s="11" t="n"/>
      <c r="W11" s="11" t="n"/>
      <c r="X11" s="11" t="n"/>
      <c r="Y11" s="13">
        <f>IF(OR(U11="",T11=""),"",U11-T11)</f>
        <v/>
      </c>
      <c r="Z11" s="14">
        <f>IF(OR(U11="",T11="",T11=0),"",(U11-T11)/T11)</f>
        <v/>
      </c>
      <c r="AA11" s="15">
        <f>IF(Z11="","",IF(Z11&lt;-0.05,"Moins cher",IF(Z11&gt;0.05,"Plus cher","Équivalent")))</f>
        <v/>
      </c>
    </row>
    <row r="12">
      <c r="A12" s="4" t="inlineStr">
        <is>
          <t>SG-8010</t>
        </is>
      </c>
      <c r="B12" s="4" t="inlineStr">
        <is>
          <t>Sur socle (plan de travail)</t>
        </is>
      </c>
      <c r="C12" s="6" t="n">
        <v>400</v>
      </c>
      <c r="D12" s="6" t="n">
        <v>5</v>
      </c>
      <c r="E12" s="6" t="n">
        <v>90</v>
      </c>
      <c r="F12" s="6" t="n">
        <v>130</v>
      </c>
      <c r="G12" s="6" t="n">
        <v>1500</v>
      </c>
      <c r="H12" s="8" t="n">
        <v>3.7</v>
      </c>
      <c r="I12" s="4" t="inlineStr">
        <is>
          <t>USB</t>
        </is>
      </c>
      <c r="J12" s="4" t="inlineStr">
        <is>
          <t>IPX7</t>
        </is>
      </c>
      <c r="K12" s="8" t="n">
        <v>510</v>
      </c>
      <c r="L12" s="4" t="inlineStr">
        <is>
          <t>185*118*128</t>
        </is>
      </c>
      <c r="M12" s="4" t="inlineStr">
        <is>
          <t>Oui</t>
        </is>
      </c>
      <c r="N12" s="4" t="inlineStr">
        <is>
          <t>Oui</t>
        </is>
      </c>
      <c r="O12" s="9" t="inlineStr">
        <is>
          <t>Grand réservoir 400 mL, 5 réglages de pression, manche fin à bouton poussoir</t>
        </is>
      </c>
      <c r="P12" s="10" t="n">
        <v>99</v>
      </c>
      <c r="Q12" s="11" t="n"/>
      <c r="R12" s="11" t="n"/>
      <c r="S12" s="11" t="n"/>
      <c r="T12" s="12" t="n"/>
      <c r="U12" s="12" t="n"/>
      <c r="V12" s="11" t="n"/>
      <c r="W12" s="11" t="n"/>
      <c r="X12" s="11" t="n"/>
      <c r="Y12" s="13">
        <f>IF(OR(U12="",T12=""),"",U12-T12)</f>
        <v/>
      </c>
      <c r="Z12" s="14">
        <f>IF(OR(U12="",T12="",T12=0),"",(U12-T12)/T12)</f>
        <v/>
      </c>
      <c r="AA12" s="15">
        <f>IF(Z12="","",IF(Z12&lt;-0.05,"Moins cher",IF(Z12&gt;0.05,"Plus cher","Équivalent")))</f>
        <v/>
      </c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11" t="n"/>
      <c r="R13" s="11" t="n"/>
      <c r="S13" s="11" t="n"/>
      <c r="T13" s="12" t="n"/>
      <c r="U13" s="12" t="n"/>
      <c r="V13" s="11" t="n"/>
      <c r="W13" s="11" t="n"/>
      <c r="X13" s="11" t="n"/>
      <c r="Y13" s="13">
        <f>IF(OR(U13="",T13=""),"",U13-T13)</f>
        <v/>
      </c>
      <c r="Z13" s="14">
        <f>IF(OR(U13="",T13="",T13=0),"",(U13-T13)/T13)</f>
        <v/>
      </c>
      <c r="AA13" s="15">
        <f>IF(Z13="","",IF(Z13&lt;-0.05,"Moins cher",IF(Z13&gt;0.05,"Plus cher","Équivalent")))</f>
        <v/>
      </c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11" t="n"/>
      <c r="R14" s="11" t="n"/>
      <c r="S14" s="11" t="n"/>
      <c r="T14" s="12" t="n"/>
      <c r="U14" s="12" t="n"/>
      <c r="V14" s="11" t="n"/>
      <c r="W14" s="11" t="n"/>
      <c r="X14" s="11" t="n"/>
      <c r="Y14" s="13">
        <f>IF(OR(U14="",T14=""),"",U14-T14)</f>
        <v/>
      </c>
      <c r="Z14" s="14">
        <f>IF(OR(U14="",T14="",T14=0),"",(U14-T14)/T14)</f>
        <v/>
      </c>
      <c r="AA14" s="15">
        <f>IF(Z14="","",IF(Z14&lt;-0.05,"Moins cher",IF(Z14&gt;0.05,"Plus cher","Équivalent")))</f>
        <v/>
      </c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11" t="n"/>
      <c r="R15" s="11" t="n"/>
      <c r="S15" s="11" t="n"/>
      <c r="T15" s="12" t="n"/>
      <c r="U15" s="12" t="n"/>
      <c r="V15" s="11" t="n"/>
      <c r="W15" s="11" t="n"/>
      <c r="X15" s="11" t="n"/>
      <c r="Y15" s="13">
        <f>IF(OR(U15="",T15=""),"",U15-T15)</f>
        <v/>
      </c>
      <c r="Z15" s="14">
        <f>IF(OR(U15="",T15="",T15=0),"",(U15-T15)/T15)</f>
        <v/>
      </c>
      <c r="AA15" s="15">
        <f>IF(Z15="","",IF(Z15&lt;-0.05,"Moins cher",IF(Z15&gt;0.05,"Plus cher","Équivalent")))</f>
        <v/>
      </c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11" t="n"/>
      <c r="R16" s="11" t="n"/>
      <c r="S16" s="11" t="n"/>
      <c r="T16" s="12" t="n"/>
      <c r="U16" s="12" t="n"/>
      <c r="V16" s="11" t="n"/>
      <c r="W16" s="11" t="n"/>
      <c r="X16" s="11" t="n"/>
      <c r="Y16" s="13">
        <f>IF(OR(U16="",T16=""),"",U16-T16)</f>
        <v/>
      </c>
      <c r="Z16" s="14">
        <f>IF(OR(U16="",T16="",T16=0),"",(U16-T16)/T16)</f>
        <v/>
      </c>
      <c r="AA16" s="15">
        <f>IF(Z16="","",IF(Z16&lt;-0.05,"Moins cher",IF(Z16&gt;0.05,"Plus cher","Équivalent")))</f>
        <v/>
      </c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11" t="n"/>
      <c r="R17" s="11" t="n"/>
      <c r="S17" s="11" t="n"/>
      <c r="T17" s="12" t="n"/>
      <c r="U17" s="12" t="n"/>
      <c r="V17" s="11" t="n"/>
      <c r="W17" s="11" t="n"/>
      <c r="X17" s="11" t="n"/>
      <c r="Y17" s="13">
        <f>IF(OR(U17="",T17=""),"",U17-T17)</f>
        <v/>
      </c>
      <c r="Z17" s="14">
        <f>IF(OR(U17="",T17="",T17=0),"",(U17-T17)/T17)</f>
        <v/>
      </c>
      <c r="AA17" s="15">
        <f>IF(Z17="","",IF(Z17&lt;-0.05,"Moins cher",IF(Z17&gt;0.05,"Plus cher","Équivalent")))</f>
        <v/>
      </c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11" t="n"/>
      <c r="R18" s="11" t="n"/>
      <c r="S18" s="11" t="n"/>
      <c r="T18" s="12" t="n"/>
      <c r="U18" s="12" t="n"/>
      <c r="V18" s="11" t="n"/>
      <c r="W18" s="11" t="n"/>
      <c r="X18" s="11" t="n"/>
      <c r="Y18" s="13">
        <f>IF(OR(U18="",T18=""),"",U18-T18)</f>
        <v/>
      </c>
      <c r="Z18" s="14">
        <f>IF(OR(U18="",T18="",T18=0),"",(U18-T18)/T18)</f>
        <v/>
      </c>
      <c r="AA18" s="15">
        <f>IF(Z18="","",IF(Z18&lt;-0.05,"Moins cher",IF(Z18&gt;0.05,"Plus cher","Équivalent")))</f>
        <v/>
      </c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11" t="n"/>
      <c r="R19" s="11" t="n"/>
      <c r="S19" s="11" t="n"/>
      <c r="T19" s="12" t="n"/>
      <c r="U19" s="12" t="n"/>
      <c r="V19" s="11" t="n"/>
      <c r="W19" s="11" t="n"/>
      <c r="X19" s="11" t="n"/>
      <c r="Y19" s="13">
        <f>IF(OR(U19="",T19=""),"",U19-T19)</f>
        <v/>
      </c>
      <c r="Z19" s="14">
        <f>IF(OR(U19="",T19="",T19=0),"",(U19-T19)/T19)</f>
        <v/>
      </c>
      <c r="AA19" s="15">
        <f>IF(Z19="","",IF(Z19&lt;-0.05,"Moins cher",IF(Z19&gt;0.05,"Plus cher","Équivalent")))</f>
        <v/>
      </c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11" t="n"/>
      <c r="R20" s="11" t="n"/>
      <c r="S20" s="11" t="n"/>
      <c r="T20" s="12" t="n"/>
      <c r="U20" s="12" t="n"/>
      <c r="V20" s="11" t="n"/>
      <c r="W20" s="11" t="n"/>
      <c r="X20" s="11" t="n"/>
      <c r="Y20" s="13">
        <f>IF(OR(U20="",T20=""),"",U20-T20)</f>
        <v/>
      </c>
      <c r="Z20" s="14">
        <f>IF(OR(U20="",T20="",T20=0),"",(U20-T20)/T20)</f>
        <v/>
      </c>
      <c r="AA20" s="15">
        <f>IF(Z20="","",IF(Z20&lt;-0.05,"Moins cher",IF(Z20&gt;0.05,"Plus cher","Équivalent")))</f>
        <v/>
      </c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11" t="n"/>
      <c r="R21" s="11" t="n"/>
      <c r="S21" s="11" t="n"/>
      <c r="T21" s="12" t="n"/>
      <c r="U21" s="12" t="n"/>
      <c r="V21" s="11" t="n"/>
      <c r="W21" s="11" t="n"/>
      <c r="X21" s="11" t="n"/>
      <c r="Y21" s="13">
        <f>IF(OR(U21="",T21=""),"",U21-T21)</f>
        <v/>
      </c>
      <c r="Z21" s="14">
        <f>IF(OR(U21="",T21="",T21=0),"",(U21-T21)/T21)</f>
        <v/>
      </c>
      <c r="AA21" s="15">
        <f>IF(Z21="","",IF(Z21&lt;-0.05,"Moins cher",IF(Z21&gt;0.05,"Plus cher","Équivalent")))</f>
        <v/>
      </c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11" t="n"/>
      <c r="R22" s="11" t="n"/>
      <c r="S22" s="11" t="n"/>
      <c r="T22" s="12" t="n"/>
      <c r="U22" s="12" t="n"/>
      <c r="V22" s="11" t="n"/>
      <c r="W22" s="11" t="n"/>
      <c r="X22" s="11" t="n"/>
      <c r="Y22" s="13">
        <f>IF(OR(U22="",T22=""),"",U22-T22)</f>
        <v/>
      </c>
      <c r="Z22" s="14">
        <f>IF(OR(U22="",T22="",T22=0),"",(U22-T22)/T22)</f>
        <v/>
      </c>
      <c r="AA22" s="15">
        <f>IF(Z22="","",IF(Z22&lt;-0.05,"Moins cher",IF(Z22&gt;0.05,"Plus cher","Équivalent")))</f>
        <v/>
      </c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11" t="n"/>
      <c r="R23" s="11" t="n"/>
      <c r="S23" s="11" t="n"/>
      <c r="T23" s="12" t="n"/>
      <c r="U23" s="12" t="n"/>
      <c r="V23" s="11" t="n"/>
      <c r="W23" s="11" t="n"/>
      <c r="X23" s="11" t="n"/>
      <c r="Y23" s="13">
        <f>IF(OR(U23="",T23=""),"",U23-T23)</f>
        <v/>
      </c>
      <c r="Z23" s="14">
        <f>IF(OR(U23="",T23="",T23=0),"",(U23-T23)/T23)</f>
        <v/>
      </c>
      <c r="AA23" s="15">
        <f>IF(Z23="","",IF(Z23&lt;-0.05,"Moins cher",IF(Z23&gt;0.05,"Plus cher","Équivalent")))</f>
        <v/>
      </c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11" t="n"/>
      <c r="R24" s="11" t="n"/>
      <c r="S24" s="11" t="n"/>
      <c r="T24" s="12" t="n"/>
      <c r="U24" s="12" t="n"/>
      <c r="V24" s="11" t="n"/>
      <c r="W24" s="11" t="n"/>
      <c r="X24" s="11" t="n"/>
      <c r="Y24" s="13">
        <f>IF(OR(U24="",T24=""),"",U24-T24)</f>
        <v/>
      </c>
      <c r="Z24" s="14">
        <f>IF(OR(U24="",T24="",T24=0),"",(U24-T24)/T24)</f>
        <v/>
      </c>
      <c r="AA24" s="15">
        <f>IF(Z24="","",IF(Z24&lt;-0.05,"Moins cher",IF(Z24&gt;0.05,"Plus cher","Équivalent")))</f>
        <v/>
      </c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11" t="n"/>
      <c r="R25" s="11" t="n"/>
      <c r="S25" s="11" t="n"/>
      <c r="T25" s="12" t="n"/>
      <c r="U25" s="12" t="n"/>
      <c r="V25" s="11" t="n"/>
      <c r="W25" s="11" t="n"/>
      <c r="X25" s="11" t="n"/>
      <c r="Y25" s="13">
        <f>IF(OR(U25="",T25=""),"",U25-T25)</f>
        <v/>
      </c>
      <c r="Z25" s="14">
        <f>IF(OR(U25="",T25="",T25=0),"",(U25-T25)/T25)</f>
        <v/>
      </c>
      <c r="AA25" s="15">
        <f>IF(Z25="","",IF(Z25&lt;-0.05,"Moins cher",IF(Z25&gt;0.05,"Plus cher","Équivalent")))</f>
        <v/>
      </c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11" t="n"/>
      <c r="R26" s="11" t="n"/>
      <c r="S26" s="11" t="n"/>
      <c r="T26" s="12" t="n"/>
      <c r="U26" s="12" t="n"/>
      <c r="V26" s="11" t="n"/>
      <c r="W26" s="11" t="n"/>
      <c r="X26" s="11" t="n"/>
      <c r="Y26" s="13">
        <f>IF(OR(U26="",T26=""),"",U26-T26)</f>
        <v/>
      </c>
      <c r="Z26" s="14">
        <f>IF(OR(U26="",T26="",T26=0),"",(U26-T26)/T26)</f>
        <v/>
      </c>
      <c r="AA26" s="15">
        <f>IF(Z26="","",IF(Z26&lt;-0.05,"Moins cher",IF(Z26&gt;0.05,"Plus cher","Équivalent")))</f>
        <v/>
      </c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11" t="n"/>
      <c r="R27" s="11" t="n"/>
      <c r="S27" s="11" t="n"/>
      <c r="T27" s="12" t="n"/>
      <c r="U27" s="12" t="n"/>
      <c r="V27" s="11" t="n"/>
      <c r="W27" s="11" t="n"/>
      <c r="X27" s="11" t="n"/>
      <c r="Y27" s="13">
        <f>IF(OR(U27="",T27=""),"",U27-T27)</f>
        <v/>
      </c>
      <c r="Z27" s="14">
        <f>IF(OR(U27="",T27="",T27=0),"",(U27-T27)/T27)</f>
        <v/>
      </c>
      <c r="AA27" s="15">
        <f>IF(Z27="","",IF(Z27&lt;-0.05,"Moins cher",IF(Z27&gt;0.05,"Plus cher","Équivalent")))</f>
        <v/>
      </c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11" t="n"/>
      <c r="R28" s="11" t="n"/>
      <c r="S28" s="11" t="n"/>
      <c r="T28" s="12" t="n"/>
      <c r="U28" s="12" t="n"/>
      <c r="V28" s="11" t="n"/>
      <c r="W28" s="11" t="n"/>
      <c r="X28" s="11" t="n"/>
      <c r="Y28" s="13">
        <f>IF(OR(U28="",T28=""),"",U28-T28)</f>
        <v/>
      </c>
      <c r="Z28" s="14">
        <f>IF(OR(U28="",T28="",T28=0),"",(U28-T28)/T28)</f>
        <v/>
      </c>
      <c r="AA28" s="15">
        <f>IF(Z28="","",IF(Z28&lt;-0.05,"Moins cher",IF(Z28&gt;0.05,"Plus cher","Équivalent")))</f>
        <v/>
      </c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11" t="n"/>
      <c r="R29" s="11" t="n"/>
      <c r="S29" s="11" t="n"/>
      <c r="T29" s="12" t="n"/>
      <c r="U29" s="12" t="n"/>
      <c r="V29" s="11" t="n"/>
      <c r="W29" s="11" t="n"/>
      <c r="X29" s="11" t="n"/>
      <c r="Y29" s="13">
        <f>IF(OR(U29="",T29=""),"",U29-T29)</f>
        <v/>
      </c>
      <c r="Z29" s="14">
        <f>IF(OR(U29="",T29="",T29=0),"",(U29-T29)/T29)</f>
        <v/>
      </c>
      <c r="AA29" s="15">
        <f>IF(Z29="","",IF(Z29&lt;-0.05,"Moins cher",IF(Z29&gt;0.05,"Plus cher","Équivalent")))</f>
        <v/>
      </c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11" t="n"/>
      <c r="R30" s="11" t="n"/>
      <c r="S30" s="11" t="n"/>
      <c r="T30" s="12" t="n"/>
      <c r="U30" s="12" t="n"/>
      <c r="V30" s="11" t="n"/>
      <c r="W30" s="11" t="n"/>
      <c r="X30" s="11" t="n"/>
      <c r="Y30" s="13">
        <f>IF(OR(U30="",T30=""),"",U30-T30)</f>
        <v/>
      </c>
      <c r="Z30" s="14">
        <f>IF(OR(U30="",T30="",T30=0),"",(U30-T30)/T30)</f>
        <v/>
      </c>
      <c r="AA30" s="15">
        <f>IF(Z30="","",IF(Z30&lt;-0.05,"Moins cher",IF(Z30&gt;0.05,"Plus cher","Équivalent")))</f>
        <v/>
      </c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11" t="n"/>
      <c r="R31" s="11" t="n"/>
      <c r="S31" s="11" t="n"/>
      <c r="T31" s="12" t="n"/>
      <c r="U31" s="12" t="n"/>
      <c r="V31" s="11" t="n"/>
      <c r="W31" s="11" t="n"/>
      <c r="X31" s="11" t="n"/>
      <c r="Y31" s="13">
        <f>IF(OR(U31="",T31=""),"",U31-T31)</f>
        <v/>
      </c>
      <c r="Z31" s="14">
        <f>IF(OR(U31="",T31="",T31=0),"",(U31-T31)/T31)</f>
        <v/>
      </c>
      <c r="AA31" s="15">
        <f>IF(Z31="","",IF(Z31&lt;-0.05,"Moins cher",IF(Z31&gt;0.05,"Plus cher","Équivalent")))</f>
        <v/>
      </c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11" t="n"/>
      <c r="R32" s="11" t="n"/>
      <c r="S32" s="11" t="n"/>
      <c r="T32" s="12" t="n"/>
      <c r="U32" s="12" t="n"/>
      <c r="V32" s="11" t="n"/>
      <c r="W32" s="11" t="n"/>
      <c r="X32" s="11" t="n"/>
      <c r="Y32" s="13">
        <f>IF(OR(U32="",T32=""),"",U32-T32)</f>
        <v/>
      </c>
      <c r="Z32" s="14">
        <f>IF(OR(U32="",T32="",T32=0),"",(U32-T32)/T32)</f>
        <v/>
      </c>
      <c r="AA32" s="15">
        <f>IF(Z32="","",IF(Z32&lt;-0.05,"Moins cher",IF(Z32&gt;0.05,"Plus cher","Équivalent")))</f>
        <v/>
      </c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11" t="n"/>
      <c r="R33" s="11" t="n"/>
      <c r="S33" s="11" t="n"/>
      <c r="T33" s="12" t="n"/>
      <c r="U33" s="12" t="n"/>
      <c r="V33" s="11" t="n"/>
      <c r="W33" s="11" t="n"/>
      <c r="X33" s="11" t="n"/>
      <c r="Y33" s="13">
        <f>IF(OR(U33="",T33=""),"",U33-T33)</f>
        <v/>
      </c>
      <c r="Z33" s="14">
        <f>IF(OR(U33="",T33="",T33=0),"",(U33-T33)/T33)</f>
        <v/>
      </c>
      <c r="AA33" s="15">
        <f>IF(Z33="","",IF(Z33&lt;-0.05,"Moins cher",IF(Z33&gt;0.05,"Plus cher","Équivalent")))</f>
        <v/>
      </c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11" t="n"/>
      <c r="R34" s="11" t="n"/>
      <c r="S34" s="11" t="n"/>
      <c r="T34" s="12" t="n"/>
      <c r="U34" s="12" t="n"/>
      <c r="V34" s="11" t="n"/>
      <c r="W34" s="11" t="n"/>
      <c r="X34" s="11" t="n"/>
      <c r="Y34" s="13">
        <f>IF(OR(U34="",T34=""),"",U34-T34)</f>
        <v/>
      </c>
      <c r="Z34" s="14">
        <f>IF(OR(U34="",T34="",T34=0),"",(U34-T34)/T34)</f>
        <v/>
      </c>
      <c r="AA34" s="15">
        <f>IF(Z34="","",IF(Z34&lt;-0.05,"Moins cher",IF(Z34&gt;0.05,"Plus cher","Équivalent")))</f>
        <v/>
      </c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11" t="n"/>
      <c r="R35" s="11" t="n"/>
      <c r="S35" s="11" t="n"/>
      <c r="T35" s="12" t="n"/>
      <c r="U35" s="12" t="n"/>
      <c r="V35" s="11" t="n"/>
      <c r="W35" s="11" t="n"/>
      <c r="X35" s="11" t="n"/>
      <c r="Y35" s="13">
        <f>IF(OR(U35="",T35=""),"",U35-T35)</f>
        <v/>
      </c>
      <c r="Z35" s="14">
        <f>IF(OR(U35="",T35="",T35=0),"",(U35-T35)/T35)</f>
        <v/>
      </c>
      <c r="AA35" s="15">
        <f>IF(Z35="","",IF(Z35&lt;-0.05,"Moins cher",IF(Z35&gt;0.05,"Plus cher","Équivalent")))</f>
        <v/>
      </c>
    </row>
    <row r="36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11" t="n"/>
      <c r="R36" s="11" t="n"/>
      <c r="S36" s="11" t="n"/>
      <c r="T36" s="12" t="n"/>
      <c r="U36" s="12" t="n"/>
      <c r="V36" s="11" t="n"/>
      <c r="W36" s="11" t="n"/>
      <c r="X36" s="11" t="n"/>
      <c r="Y36" s="13">
        <f>IF(OR(U36="",T36=""),"",U36-T36)</f>
        <v/>
      </c>
      <c r="Z36" s="14">
        <f>IF(OR(U36="",T36="",T36=0),"",(U36-T36)/T36)</f>
        <v/>
      </c>
      <c r="AA36" s="15">
        <f>IF(Z36="","",IF(Z36&lt;-0.05,"Moins cher",IF(Z36&gt;0.05,"Plus cher","Équivalent")))</f>
        <v/>
      </c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11" t="n"/>
      <c r="R37" s="11" t="n"/>
      <c r="S37" s="11" t="n"/>
      <c r="T37" s="12" t="n"/>
      <c r="U37" s="12" t="n"/>
      <c r="V37" s="11" t="n"/>
      <c r="W37" s="11" t="n"/>
      <c r="X37" s="11" t="n"/>
      <c r="Y37" s="13">
        <f>IF(OR(U37="",T37=""),"",U37-T37)</f>
        <v/>
      </c>
      <c r="Z37" s="14">
        <f>IF(OR(U37="",T37="",T37=0),"",(U37-T37)/T37)</f>
        <v/>
      </c>
      <c r="AA37" s="15">
        <f>IF(Z37="","",IF(Z37&lt;-0.05,"Moins cher",IF(Z37&gt;0.05,"Plus cher","Équivalent")))</f>
        <v/>
      </c>
    </row>
    <row r="38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11" t="n"/>
      <c r="R38" s="11" t="n"/>
      <c r="S38" s="11" t="n"/>
      <c r="T38" s="12" t="n"/>
      <c r="U38" s="12" t="n"/>
      <c r="V38" s="11" t="n"/>
      <c r="W38" s="11" t="n"/>
      <c r="X38" s="11" t="n"/>
      <c r="Y38" s="13">
        <f>IF(OR(U38="",T38=""),"",U38-T38)</f>
        <v/>
      </c>
      <c r="Z38" s="14">
        <f>IF(OR(U38="",T38="",T38=0),"",(U38-T38)/T38)</f>
        <v/>
      </c>
      <c r="AA38" s="15">
        <f>IF(Z38="","",IF(Z38&lt;-0.05,"Moins cher",IF(Z38&gt;0.05,"Plus cher","Équivalent")))</f>
        <v/>
      </c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11" t="n"/>
      <c r="R39" s="11" t="n"/>
      <c r="S39" s="11" t="n"/>
      <c r="T39" s="12" t="n"/>
      <c r="U39" s="12" t="n"/>
      <c r="V39" s="11" t="n"/>
      <c r="W39" s="11" t="n"/>
      <c r="X39" s="11" t="n"/>
      <c r="Y39" s="13">
        <f>IF(OR(U39="",T39=""),"",U39-T39)</f>
        <v/>
      </c>
      <c r="Z39" s="14">
        <f>IF(OR(U39="",T39="",T39=0),"",(U39-T39)/T39)</f>
        <v/>
      </c>
      <c r="AA39" s="15">
        <f>IF(Z39="","",IF(Z39&lt;-0.05,"Moins cher",IF(Z39&gt;0.05,"Plus cher","Équivalent")))</f>
        <v/>
      </c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11" t="n"/>
      <c r="R40" s="11" t="n"/>
      <c r="S40" s="11" t="n"/>
      <c r="T40" s="12" t="n"/>
      <c r="U40" s="12" t="n"/>
      <c r="V40" s="11" t="n"/>
      <c r="W40" s="11" t="n"/>
      <c r="X40" s="11" t="n"/>
      <c r="Y40" s="13">
        <f>IF(OR(U40="",T40=""),"",U40-T40)</f>
        <v/>
      </c>
      <c r="Z40" s="14">
        <f>IF(OR(U40="",T40="",T40=0),"",(U40-T40)/T40)</f>
        <v/>
      </c>
      <c r="AA40" s="15">
        <f>IF(Z40="","",IF(Z40&lt;-0.05,"Moins cher",IF(Z40&gt;0.05,"Plus cher","Équivalent")))</f>
        <v/>
      </c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11" t="n"/>
      <c r="R41" s="11" t="n"/>
      <c r="S41" s="11" t="n"/>
      <c r="T41" s="12" t="n"/>
      <c r="U41" s="12" t="n"/>
      <c r="V41" s="11" t="n"/>
      <c r="W41" s="11" t="n"/>
      <c r="X41" s="11" t="n"/>
      <c r="Y41" s="13">
        <f>IF(OR(U41="",T41=""),"",U41-T41)</f>
        <v/>
      </c>
      <c r="Z41" s="14">
        <f>IF(OR(U41="",T41="",T41=0),"",(U41-T41)/T41)</f>
        <v/>
      </c>
      <c r="AA41" s="15">
        <f>IF(Z41="","",IF(Z41&lt;-0.05,"Moins cher",IF(Z41&gt;0.05,"Plus cher","Équivalent")))</f>
        <v/>
      </c>
    </row>
    <row r="42">
      <c r="A42" s="28" t="n"/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11" t="n"/>
      <c r="R42" s="11" t="n"/>
      <c r="S42" s="11" t="n"/>
      <c r="T42" s="12" t="n"/>
      <c r="U42" s="12" t="n"/>
      <c r="V42" s="11" t="n"/>
      <c r="W42" s="11" t="n"/>
      <c r="X42" s="11" t="n"/>
      <c r="Y42" s="13">
        <f>IF(OR(U42="",T42=""),"",U42-T42)</f>
        <v/>
      </c>
      <c r="Z42" s="14">
        <f>IF(OR(U42="",T42="",T42=0),"",(U42-T42)/T42)</f>
        <v/>
      </c>
      <c r="AA42" s="15">
        <f>IF(Z42="","",IF(Z42&lt;-0.05,"Moins cher",IF(Z42&gt;0.05,"Plus cher","Équivalent")))</f>
        <v/>
      </c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11" t="n"/>
      <c r="R43" s="11" t="n"/>
      <c r="S43" s="11" t="n"/>
      <c r="T43" s="12" t="n"/>
      <c r="U43" s="12" t="n"/>
      <c r="V43" s="11" t="n"/>
      <c r="W43" s="11" t="n"/>
      <c r="X43" s="11" t="n"/>
      <c r="Y43" s="13">
        <f>IF(OR(U43="",T43=""),"",U43-T43)</f>
        <v/>
      </c>
      <c r="Z43" s="14">
        <f>IF(OR(U43="",T43="",T43=0),"",(U43-T43)/T43)</f>
        <v/>
      </c>
      <c r="AA43" s="15">
        <f>IF(Z43="","",IF(Z43&lt;-0.05,"Moins cher",IF(Z43&gt;0.05,"Plus cher","Équivalent")))</f>
        <v/>
      </c>
    </row>
    <row r="44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11" t="n"/>
      <c r="R44" s="11" t="n"/>
      <c r="S44" s="11" t="n"/>
      <c r="T44" s="12" t="n"/>
      <c r="U44" s="12" t="n"/>
      <c r="V44" s="11" t="n"/>
      <c r="W44" s="11" t="n"/>
      <c r="X44" s="11" t="n"/>
      <c r="Y44" s="13">
        <f>IF(OR(U44="",T44=""),"",U44-T44)</f>
        <v/>
      </c>
      <c r="Z44" s="14">
        <f>IF(OR(U44="",T44="",T44=0),"",(U44-T44)/T44)</f>
        <v/>
      </c>
      <c r="AA44" s="15">
        <f>IF(Z44="","",IF(Z44&lt;-0.05,"Moins cher",IF(Z44&gt;0.05,"Plus cher","Équivalent")))</f>
        <v/>
      </c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11" t="n"/>
      <c r="R45" s="11" t="n"/>
      <c r="S45" s="11" t="n"/>
      <c r="T45" s="12" t="n"/>
      <c r="U45" s="12" t="n"/>
      <c r="V45" s="11" t="n"/>
      <c r="W45" s="11" t="n"/>
      <c r="X45" s="11" t="n"/>
      <c r="Y45" s="13">
        <f>IF(OR(U45="",T45=""),"",U45-T45)</f>
        <v/>
      </c>
      <c r="Z45" s="14">
        <f>IF(OR(U45="",T45="",T45=0),"",(U45-T45)/T45)</f>
        <v/>
      </c>
      <c r="AA45" s="15">
        <f>IF(Z45="","",IF(Z45&lt;-0.05,"Moins cher",IF(Z45&gt;0.05,"Plus cher","Équivalent")))</f>
        <v/>
      </c>
    </row>
    <row r="46">
      <c r="A46" s="28" t="n"/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11" t="n"/>
      <c r="R46" s="11" t="n"/>
      <c r="S46" s="11" t="n"/>
      <c r="T46" s="12" t="n"/>
      <c r="U46" s="12" t="n"/>
      <c r="V46" s="11" t="n"/>
      <c r="W46" s="11" t="n"/>
      <c r="X46" s="11" t="n"/>
      <c r="Y46" s="13">
        <f>IF(OR(U46="",T46=""),"",U46-T46)</f>
        <v/>
      </c>
      <c r="Z46" s="14">
        <f>IF(OR(U46="",T46="",T46=0),"",(U46-T46)/T46)</f>
        <v/>
      </c>
      <c r="AA46" s="15">
        <f>IF(Z46="","",IF(Z46&lt;-0.05,"Moins cher",IF(Z46&gt;0.05,"Plus cher","Équivalent")))</f>
        <v/>
      </c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11" t="n"/>
      <c r="R47" s="11" t="n"/>
      <c r="S47" s="11" t="n"/>
      <c r="T47" s="12" t="n"/>
      <c r="U47" s="12" t="n"/>
      <c r="V47" s="11" t="n"/>
      <c r="W47" s="11" t="n"/>
      <c r="X47" s="11" t="n"/>
      <c r="Y47" s="13">
        <f>IF(OR(U47="",T47=""),"",U47-T47)</f>
        <v/>
      </c>
      <c r="Z47" s="14">
        <f>IF(OR(U47="",T47="",T47=0),"",(U47-T47)/T47)</f>
        <v/>
      </c>
      <c r="AA47" s="15">
        <f>IF(Z47="","",IF(Z47&lt;-0.05,"Moins cher",IF(Z47&gt;0.05,"Plus cher","Équivalent")))</f>
        <v/>
      </c>
    </row>
    <row r="48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11" t="n"/>
      <c r="R48" s="11" t="n"/>
      <c r="S48" s="11" t="n"/>
      <c r="T48" s="12" t="n"/>
      <c r="U48" s="12" t="n"/>
      <c r="V48" s="11" t="n"/>
      <c r="W48" s="11" t="n"/>
      <c r="X48" s="11" t="n"/>
      <c r="Y48" s="13">
        <f>IF(OR(U48="",T48=""),"",U48-T48)</f>
        <v/>
      </c>
      <c r="Z48" s="14">
        <f>IF(OR(U48="",T48="",T48=0),"",(U48-T48)/T48)</f>
        <v/>
      </c>
      <c r="AA48" s="15">
        <f>IF(Z48="","",IF(Z48&lt;-0.05,"Moins cher",IF(Z48&gt;0.05,"Plus cher","Équivalent")))</f>
        <v/>
      </c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11" t="n"/>
      <c r="R49" s="11" t="n"/>
      <c r="S49" s="11" t="n"/>
      <c r="T49" s="12" t="n"/>
      <c r="U49" s="12" t="n"/>
      <c r="V49" s="11" t="n"/>
      <c r="W49" s="11" t="n"/>
      <c r="X49" s="11" t="n"/>
      <c r="Y49" s="13">
        <f>IF(OR(U49="",T49=""),"",U49-T49)</f>
        <v/>
      </c>
      <c r="Z49" s="14">
        <f>IF(OR(U49="",T49="",T49=0),"",(U49-T49)/T49)</f>
        <v/>
      </c>
      <c r="AA49" s="15">
        <f>IF(Z49="","",IF(Z49&lt;-0.05,"Moins cher",IF(Z49&gt;0.05,"Plus cher","Équivalent")))</f>
        <v/>
      </c>
    </row>
    <row r="50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11" t="n"/>
      <c r="R50" s="11" t="n"/>
      <c r="S50" s="11" t="n"/>
      <c r="T50" s="12" t="n"/>
      <c r="U50" s="12" t="n"/>
      <c r="V50" s="11" t="n"/>
      <c r="W50" s="11" t="n"/>
      <c r="X50" s="11" t="n"/>
      <c r="Y50" s="13">
        <f>IF(OR(U50="",T50=""),"",U50-T50)</f>
        <v/>
      </c>
      <c r="Z50" s="14">
        <f>IF(OR(U50="",T50="",T50=0),"",(U50-T50)/T50)</f>
        <v/>
      </c>
      <c r="AA50" s="15">
        <f>IF(Z50="","",IF(Z50&lt;-0.05,"Moins cher",IF(Z50&gt;0.05,"Plus cher","Équivalent")))</f>
        <v/>
      </c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11" t="n"/>
      <c r="R51" s="11" t="n"/>
      <c r="S51" s="11" t="n"/>
      <c r="T51" s="12" t="n"/>
      <c r="U51" s="12" t="n"/>
      <c r="V51" s="11" t="n"/>
      <c r="W51" s="11" t="n"/>
      <c r="X51" s="11" t="n"/>
      <c r="Y51" s="13">
        <f>IF(OR(U51="",T51=""),"",U51-T51)</f>
        <v/>
      </c>
      <c r="Z51" s="14">
        <f>IF(OR(U51="",T51="",T51=0),"",(U51-T51)/T51)</f>
        <v/>
      </c>
      <c r="AA51" s="15">
        <f>IF(Z51="","",IF(Z51&lt;-0.05,"Moins cher",IF(Z51&gt;0.05,"Plus cher","Équivalent")))</f>
        <v/>
      </c>
    </row>
    <row r="52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11" t="n"/>
      <c r="R52" s="11" t="n"/>
      <c r="S52" s="11" t="n"/>
      <c r="T52" s="12" t="n"/>
      <c r="U52" s="12" t="n"/>
      <c r="V52" s="11" t="n"/>
      <c r="W52" s="11" t="n"/>
      <c r="X52" s="11" t="n"/>
      <c r="Y52" s="13">
        <f>IF(OR(U52="",T52=""),"",U52-T52)</f>
        <v/>
      </c>
      <c r="Z52" s="14">
        <f>IF(OR(U52="",T52="",T52=0),"",(U52-T52)/T52)</f>
        <v/>
      </c>
      <c r="AA52" s="15">
        <f>IF(Z52="","",IF(Z52&lt;-0.05,"Moins cher",IF(Z52&gt;0.05,"Plus cher","Équivalent")))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A1:AA52"/>
  <conditionalFormatting sqref="Z2:Z52">
    <cfRule type="cellIs" priority="1" operator="greaterThan" dxfId="0">
      <formula>0.05</formula>
    </cfRule>
    <cfRule type="cellIs" priority="2" operator="lessThan" dxfId="1">
      <formula>-0.05</formula>
    </cfRule>
    <cfRule type="cellIs" priority="3" operator="between" dxfId="2">
      <formula>-0.05</formula>
      <formula>0.05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42" customWidth="1" min="3" max="3"/>
    <col width="18" customWidth="1" min="4" max="4"/>
    <col width="52" customWidth="1" min="5" max="5"/>
    <col width="10" customWidth="1" min="6" max="6"/>
    <col width="22" customWidth="1" min="7" max="7"/>
    <col width="20" customWidth="1" min="8" max="8"/>
    <col width="22" customWidth="1" min="9" max="9"/>
    <col width="15" customWidth="1" min="10" max="10"/>
    <col width="14" customWidth="1" min="11" max="11"/>
    <col width="10" customWidth="1" min="12" max="12"/>
    <col width="20" customWidth="1" min="13" max="13"/>
    <col width="32" customWidth="1" min="14" max="14"/>
    <col width="18" customWidth="1" min="15" max="15"/>
    <col width="16" customWidth="1" min="16" max="16"/>
    <col width="20" customWidth="1" min="17" max="17"/>
  </cols>
  <sheetData>
    <row r="1" ht="40" customHeight="1">
      <c r="A1" s="1" t="inlineStr">
        <is>
          <t>Référence SEAGO</t>
        </is>
      </c>
      <c r="B1" s="1" t="inlineStr">
        <is>
          <t>Famille</t>
        </is>
      </c>
      <c r="C1" s="1" t="inlineStr">
        <is>
          <t>Type de tête</t>
        </is>
      </c>
      <c r="D1" s="1" t="inlineStr">
        <is>
          <t>Système de fixation</t>
        </is>
      </c>
      <c r="E1" s="1" t="inlineStr">
        <is>
          <t>Compatibilité</t>
        </is>
      </c>
      <c r="F1" s="1" t="inlineStr">
        <is>
          <t>Page catalogue</t>
        </is>
      </c>
      <c r="G1" s="2" t="inlineStr">
        <is>
          <t>Produit concurrent</t>
        </is>
      </c>
      <c r="H1" s="2" t="inlineStr">
        <is>
          <t>Marque concurrente</t>
        </is>
      </c>
      <c r="I1" s="2" t="inlineStr">
        <is>
          <t>Référence concurrente</t>
        </is>
      </c>
      <c r="J1" s="2" t="inlineStr">
        <is>
          <t>Prix concurrent</t>
        </is>
      </c>
      <c r="K1" s="2" t="inlineStr">
        <is>
          <t>Prix SEAGO</t>
        </is>
      </c>
      <c r="L1" s="2" t="inlineStr">
        <is>
          <t>Devise</t>
        </is>
      </c>
      <c r="M1" s="2" t="inlineStr">
        <is>
          <t>Source / canal</t>
        </is>
      </c>
      <c r="N1" s="2" t="inlineStr">
        <is>
          <t>Commentaire</t>
        </is>
      </c>
      <c r="O1" s="3" t="inlineStr">
        <is>
          <t>Écart de prix (valeur)</t>
        </is>
      </c>
      <c r="P1" s="3" t="inlineStr">
        <is>
          <t>Écart de prix (%)</t>
        </is>
      </c>
      <c r="Q1" s="3" t="inlineStr">
        <is>
          <t>Positionnement prix</t>
        </is>
      </c>
    </row>
    <row r="2">
      <c r="A2" s="4" t="inlineStr">
        <is>
          <t>SG-B027</t>
        </is>
      </c>
      <c r="B2" s="4" t="inlineStr">
        <is>
          <t>Tête de brosse</t>
        </is>
      </c>
      <c r="C2" s="4" t="inlineStr">
        <is>
          <t>Tête sans ancrage (sans métal)</t>
        </is>
      </c>
      <c r="D2" s="27" t="inlineStr">
        <is>
          <t>N/D</t>
        </is>
      </c>
      <c r="E2" s="29" t="inlineStr">
        <is>
          <t>N/D</t>
        </is>
      </c>
      <c r="F2" s="10" t="n">
        <v>23</v>
      </c>
      <c r="G2" s="11" t="n"/>
      <c r="H2" s="11" t="n"/>
      <c r="I2" s="11" t="n"/>
      <c r="J2" s="12" t="n"/>
      <c r="K2" s="12" t="n"/>
      <c r="L2" s="11" t="n"/>
      <c r="M2" s="11" t="n"/>
      <c r="N2" s="11" t="n"/>
      <c r="O2" s="13">
        <f>IF(OR(K2="",J2=""),"",K2-J2)</f>
        <v/>
      </c>
      <c r="P2" s="14">
        <f>IF(OR(K2="",J2="",J2=0),"",(K2-J2)/J2)</f>
        <v/>
      </c>
      <c r="Q2" s="15">
        <f>IF(P2="","",IF(P2&lt;-0.05,"Moins cher",IF(P2&gt;0.05,"Plus cher","Équivalent")))</f>
        <v/>
      </c>
    </row>
    <row r="3">
      <c r="A3" s="16" t="inlineStr">
        <is>
          <t>SG-B008</t>
        </is>
      </c>
      <c r="B3" s="16" t="inlineStr">
        <is>
          <t>Tête de brosse</t>
        </is>
      </c>
      <c r="C3" s="16" t="inlineStr">
        <is>
          <t>Tête sans ancrage (sans métal)</t>
        </is>
      </c>
      <c r="D3" s="24" t="inlineStr">
        <is>
          <t>N/D</t>
        </is>
      </c>
      <c r="E3" s="30" t="inlineStr">
        <is>
          <t>N/D</t>
        </is>
      </c>
      <c r="F3" s="21" t="n">
        <v>23</v>
      </c>
      <c r="G3" s="11" t="n"/>
      <c r="H3" s="11" t="n"/>
      <c r="I3" s="11" t="n"/>
      <c r="J3" s="12" t="n"/>
      <c r="K3" s="12" t="n"/>
      <c r="L3" s="11" t="n"/>
      <c r="M3" s="11" t="n"/>
      <c r="N3" s="11" t="n"/>
      <c r="O3" s="13">
        <f>IF(OR(K3="",J3=""),"",K3-J3)</f>
        <v/>
      </c>
      <c r="P3" s="14">
        <f>IF(OR(K3="",J3="",J3=0),"",(K3-J3)/J3)</f>
        <v/>
      </c>
      <c r="Q3" s="15">
        <f>IF(P3="","",IF(P3&lt;-0.05,"Moins cher",IF(P3&gt;0.05,"Plus cher","Équivalent")))</f>
        <v/>
      </c>
    </row>
    <row r="4">
      <c r="A4" s="4" t="inlineStr">
        <is>
          <t>SG-C021</t>
        </is>
      </c>
      <c r="B4" s="4" t="inlineStr">
        <is>
          <t>Tête de brosse</t>
        </is>
      </c>
      <c r="C4" s="4" t="inlineStr">
        <is>
          <t>Tête sans ancrage (sans métal)</t>
        </is>
      </c>
      <c r="D4" s="27" t="inlineStr">
        <is>
          <t>N/D</t>
        </is>
      </c>
      <c r="E4" s="29" t="inlineStr">
        <is>
          <t>N/D</t>
        </is>
      </c>
      <c r="F4" s="10" t="n">
        <v>23</v>
      </c>
      <c r="G4" s="11" t="n"/>
      <c r="H4" s="11" t="n"/>
      <c r="I4" s="11" t="n"/>
      <c r="J4" s="12" t="n"/>
      <c r="K4" s="12" t="n"/>
      <c r="L4" s="11" t="n"/>
      <c r="M4" s="11" t="n"/>
      <c r="N4" s="11" t="n"/>
      <c r="O4" s="13">
        <f>IF(OR(K4="",J4=""),"",K4-J4)</f>
        <v/>
      </c>
      <c r="P4" s="14">
        <f>IF(OR(K4="",J4="",J4=0),"",(K4-J4)/J4)</f>
        <v/>
      </c>
      <c r="Q4" s="15">
        <f>IF(P4="","",IF(P4&lt;-0.05,"Moins cher",IF(P4&gt;0.05,"Plus cher","Équivalent")))</f>
        <v/>
      </c>
    </row>
    <row r="5">
      <c r="A5" s="16" t="inlineStr">
        <is>
          <t>SG-C107</t>
        </is>
      </c>
      <c r="B5" s="16" t="inlineStr">
        <is>
          <t>Tête de brosse</t>
        </is>
      </c>
      <c r="C5" s="16" t="inlineStr">
        <is>
          <t>Tête sans ancrage (sans métal)</t>
        </is>
      </c>
      <c r="D5" s="24" t="inlineStr">
        <is>
          <t>N/D</t>
        </is>
      </c>
      <c r="E5" s="30" t="inlineStr">
        <is>
          <t>N/D</t>
        </is>
      </c>
      <c r="F5" s="21" t="n">
        <v>23</v>
      </c>
      <c r="G5" s="11" t="n"/>
      <c r="H5" s="11" t="n"/>
      <c r="I5" s="11" t="n"/>
      <c r="J5" s="12" t="n"/>
      <c r="K5" s="12" t="n"/>
      <c r="L5" s="11" t="n"/>
      <c r="M5" s="11" t="n"/>
      <c r="N5" s="11" t="n"/>
      <c r="O5" s="13">
        <f>IF(OR(K5="",J5=""),"",K5-J5)</f>
        <v/>
      </c>
      <c r="P5" s="14">
        <f>IF(OR(K5="",J5="",J5=0),"",(K5-J5)/J5)</f>
        <v/>
      </c>
      <c r="Q5" s="15">
        <f>IF(P5="","",IF(P5&lt;-0.05,"Moins cher",IF(P5&gt;0.05,"Plus cher","Équivalent")))</f>
        <v/>
      </c>
    </row>
    <row r="6">
      <c r="A6" s="4" t="inlineStr">
        <is>
          <t>SG-092</t>
        </is>
      </c>
      <c r="B6" s="4" t="inlineStr">
        <is>
          <t>Tête de brosse</t>
        </is>
      </c>
      <c r="C6" s="4" t="inlineStr">
        <is>
          <t>Tête de polissage avec gratte-langue</t>
        </is>
      </c>
      <c r="D6" s="27" t="inlineStr">
        <is>
          <t>N/D</t>
        </is>
      </c>
      <c r="E6" s="29" t="inlineStr">
        <is>
          <t>N/D</t>
        </is>
      </c>
      <c r="F6" s="10" t="n">
        <v>23</v>
      </c>
      <c r="G6" s="11" t="n"/>
      <c r="H6" s="11" t="n"/>
      <c r="I6" s="11" t="n"/>
      <c r="J6" s="12" t="n"/>
      <c r="K6" s="12" t="n"/>
      <c r="L6" s="11" t="n"/>
      <c r="M6" s="11" t="n"/>
      <c r="N6" s="11" t="n"/>
      <c r="O6" s="13">
        <f>IF(OR(K6="",J6=""),"",K6-J6)</f>
        <v/>
      </c>
      <c r="P6" s="14">
        <f>IF(OR(K6="",J6="",J6=0),"",(K6-J6)/J6)</f>
        <v/>
      </c>
      <c r="Q6" s="15">
        <f>IF(P6="","",IF(P6&lt;-0.05,"Moins cher",IF(P6&gt;0.05,"Plus cher","Équivalent")))</f>
        <v/>
      </c>
    </row>
    <row r="7">
      <c r="A7" s="16" t="inlineStr">
        <is>
          <t>SG-B002</t>
        </is>
      </c>
      <c r="B7" s="16" t="inlineStr">
        <is>
          <t>Tête de brosse</t>
        </is>
      </c>
      <c r="C7" s="16" t="inlineStr">
        <is>
          <t>Tête standard</t>
        </is>
      </c>
      <c r="D7" s="24" t="inlineStr">
        <is>
          <t>N/D</t>
        </is>
      </c>
      <c r="E7" s="30" t="inlineStr">
        <is>
          <t>N/D</t>
        </is>
      </c>
      <c r="F7" s="21" t="n">
        <v>23</v>
      </c>
      <c r="G7" s="11" t="n"/>
      <c r="H7" s="11" t="n"/>
      <c r="I7" s="11" t="n"/>
      <c r="J7" s="12" t="n"/>
      <c r="K7" s="12" t="n"/>
      <c r="L7" s="11" t="n"/>
      <c r="M7" s="11" t="n"/>
      <c r="N7" s="11" t="n"/>
      <c r="O7" s="13">
        <f>IF(OR(K7="",J7=""),"",K7-J7)</f>
        <v/>
      </c>
      <c r="P7" s="14">
        <f>IF(OR(K7="",J7="",J7=0),"",(K7-J7)/J7)</f>
        <v/>
      </c>
      <c r="Q7" s="15">
        <f>IF(P7="","",IF(P7&lt;-0.05,"Moins cher",IF(P7&gt;0.05,"Plus cher","Équivalent")))</f>
        <v/>
      </c>
    </row>
    <row r="8">
      <c r="A8" s="4" t="inlineStr">
        <is>
          <t>SG-095</t>
        </is>
      </c>
      <c r="B8" s="4" t="inlineStr">
        <is>
          <t>Tête de brosse</t>
        </is>
      </c>
      <c r="C8" s="4" t="inlineStr">
        <is>
          <t>Tête standard</t>
        </is>
      </c>
      <c r="D8" s="27" t="inlineStr">
        <is>
          <t>N/D</t>
        </is>
      </c>
      <c r="E8" s="29" t="inlineStr">
        <is>
          <t>N/D</t>
        </is>
      </c>
      <c r="F8" s="10" t="n">
        <v>23</v>
      </c>
      <c r="G8" s="11" t="n"/>
      <c r="H8" s="11" t="n"/>
      <c r="I8" s="11" t="n"/>
      <c r="J8" s="12" t="n"/>
      <c r="K8" s="12" t="n"/>
      <c r="L8" s="11" t="n"/>
      <c r="M8" s="11" t="n"/>
      <c r="N8" s="11" t="n"/>
      <c r="O8" s="13">
        <f>IF(OR(K8="",J8=""),"",K8-J8)</f>
        <v/>
      </c>
      <c r="P8" s="14">
        <f>IF(OR(K8="",J8="",J8=0),"",(K8-J8)/J8)</f>
        <v/>
      </c>
      <c r="Q8" s="15">
        <f>IF(P8="","",IF(P8&lt;-0.05,"Moins cher",IF(P8&gt;0.05,"Plus cher","Équivalent")))</f>
        <v/>
      </c>
    </row>
    <row r="9">
      <c r="A9" s="16" t="inlineStr">
        <is>
          <t>SG-090</t>
        </is>
      </c>
      <c r="B9" s="16" t="inlineStr">
        <is>
          <t>Tête de brosse</t>
        </is>
      </c>
      <c r="C9" s="16" t="inlineStr">
        <is>
          <t>Tête standard</t>
        </is>
      </c>
      <c r="D9" s="24" t="inlineStr">
        <is>
          <t>N/D</t>
        </is>
      </c>
      <c r="E9" s="30" t="inlineStr">
        <is>
          <t>N/D</t>
        </is>
      </c>
      <c r="F9" s="21" t="n">
        <v>23</v>
      </c>
      <c r="G9" s="11" t="n"/>
      <c r="H9" s="11" t="n"/>
      <c r="I9" s="11" t="n"/>
      <c r="J9" s="12" t="n"/>
      <c r="K9" s="12" t="n"/>
      <c r="L9" s="11" t="n"/>
      <c r="M9" s="11" t="n"/>
      <c r="N9" s="11" t="n"/>
      <c r="O9" s="13">
        <f>IF(OR(K9="",J9=""),"",K9-J9)</f>
        <v/>
      </c>
      <c r="P9" s="14">
        <f>IF(OR(K9="",J9="",J9=0),"",(K9-J9)/J9)</f>
        <v/>
      </c>
      <c r="Q9" s="15">
        <f>IF(P9="","",IF(P9&lt;-0.05,"Moins cher",IF(P9&gt;0.05,"Plus cher","Équivalent")))</f>
        <v/>
      </c>
    </row>
    <row r="10">
      <c r="A10" s="4" t="inlineStr">
        <is>
          <t>SG-093</t>
        </is>
      </c>
      <c r="B10" s="4" t="inlineStr">
        <is>
          <t>Tête de brosse</t>
        </is>
      </c>
      <c r="C10" s="4" t="inlineStr">
        <is>
          <t>Tête avec gratte-langue</t>
        </is>
      </c>
      <c r="D10" s="27" t="inlineStr">
        <is>
          <t>N/D</t>
        </is>
      </c>
      <c r="E10" s="29" t="inlineStr">
        <is>
          <t>N/D</t>
        </is>
      </c>
      <c r="F10" s="10" t="n">
        <v>23</v>
      </c>
      <c r="G10" s="11" t="n"/>
      <c r="H10" s="11" t="n"/>
      <c r="I10" s="11" t="n"/>
      <c r="J10" s="12" t="n"/>
      <c r="K10" s="12" t="n"/>
      <c r="L10" s="11" t="n"/>
      <c r="M10" s="11" t="n"/>
      <c r="N10" s="11" t="n"/>
      <c r="O10" s="13">
        <f>IF(OR(K10="",J10=""),"",K10-J10)</f>
        <v/>
      </c>
      <c r="P10" s="14">
        <f>IF(OR(K10="",J10="",J10=0),"",(K10-J10)/J10)</f>
        <v/>
      </c>
      <c r="Q10" s="15">
        <f>IF(P10="","",IF(P10&lt;-0.05,"Moins cher",IF(P10&gt;0.05,"Plus cher","Équivalent")))</f>
        <v/>
      </c>
    </row>
    <row r="11">
      <c r="A11" s="16" t="inlineStr">
        <is>
          <t>SG-C108</t>
        </is>
      </c>
      <c r="B11" s="16" t="inlineStr">
        <is>
          <t>Tête de brosse</t>
        </is>
      </c>
      <c r="C11" s="16" t="inlineStr">
        <is>
          <t>Tête avec gratte-langue</t>
        </is>
      </c>
      <c r="D11" s="24" t="inlineStr">
        <is>
          <t>N/D</t>
        </is>
      </c>
      <c r="E11" s="20" t="inlineStr">
        <is>
          <t>SG-567, SG-2711 (version small hétérotype hole)</t>
        </is>
      </c>
      <c r="F11" s="21" t="n">
        <v>23</v>
      </c>
      <c r="G11" s="11" t="n"/>
      <c r="H11" s="11" t="n"/>
      <c r="I11" s="11" t="n"/>
      <c r="J11" s="12" t="n"/>
      <c r="K11" s="12" t="n"/>
      <c r="L11" s="11" t="n"/>
      <c r="M11" s="11" t="n"/>
      <c r="N11" s="11" t="n"/>
      <c r="O11" s="13">
        <f>IF(OR(K11="",J11=""),"",K11-J11)</f>
        <v/>
      </c>
      <c r="P11" s="14">
        <f>IF(OR(K11="",J11="",J11=0),"",(K11-J11)/J11)</f>
        <v/>
      </c>
      <c r="Q11" s="15">
        <f>IF(P11="","",IF(P11&lt;-0.05,"Moins cher",IF(P11&gt;0.05,"Plus cher","Équivalent")))</f>
        <v/>
      </c>
    </row>
    <row r="12">
      <c r="A12" s="4" t="inlineStr">
        <is>
          <t>SG-C110</t>
        </is>
      </c>
      <c r="B12" s="4" t="inlineStr">
        <is>
          <t>Tête de brosse</t>
        </is>
      </c>
      <c r="C12" s="4" t="inlineStr">
        <is>
          <t>Tête avec gratte-langue</t>
        </is>
      </c>
      <c r="D12" s="27" t="inlineStr">
        <is>
          <t>N/D</t>
        </is>
      </c>
      <c r="E12" s="9" t="inlineStr">
        <is>
          <t>SG-567, SG-2711 (version medium hétérotype hole)</t>
        </is>
      </c>
      <c r="F12" s="10" t="n">
        <v>23</v>
      </c>
      <c r="G12" s="11" t="n"/>
      <c r="H12" s="11" t="n"/>
      <c r="I12" s="11" t="n"/>
      <c r="J12" s="12" t="n"/>
      <c r="K12" s="12" t="n"/>
      <c r="L12" s="11" t="n"/>
      <c r="M12" s="11" t="n"/>
      <c r="N12" s="11" t="n"/>
      <c r="O12" s="13">
        <f>IF(OR(K12="",J12=""),"",K12-J12)</f>
        <v/>
      </c>
      <c r="P12" s="14">
        <f>IF(OR(K12="",J12="",J12=0),"",(K12-J12)/J12)</f>
        <v/>
      </c>
      <c r="Q12" s="15">
        <f>IF(P12="","",IF(P12&lt;-0.05,"Moins cher",IF(P12&gt;0.05,"Plus cher","Équivalent")))</f>
        <v/>
      </c>
    </row>
    <row r="13">
      <c r="A13" s="16" t="inlineStr">
        <is>
          <t>SG-C020</t>
        </is>
      </c>
      <c r="B13" s="16" t="inlineStr">
        <is>
          <t>Tête de brosse</t>
        </is>
      </c>
      <c r="C13" s="16" t="inlineStr">
        <is>
          <t>Tête interdentaire</t>
        </is>
      </c>
      <c r="D13" s="24" t="inlineStr">
        <is>
          <t>N/D</t>
        </is>
      </c>
      <c r="E13" s="30" t="inlineStr">
        <is>
          <t>N/D</t>
        </is>
      </c>
      <c r="F13" s="21" t="n">
        <v>23</v>
      </c>
      <c r="G13" s="11" t="n"/>
      <c r="H13" s="11" t="n"/>
      <c r="I13" s="11" t="n"/>
      <c r="J13" s="12" t="n"/>
      <c r="K13" s="12" t="n"/>
      <c r="L13" s="11" t="n"/>
      <c r="M13" s="11" t="n"/>
      <c r="N13" s="11" t="n"/>
      <c r="O13" s="13">
        <f>IF(OR(K13="",J13=""),"",K13-J13)</f>
        <v/>
      </c>
      <c r="P13" s="14">
        <f>IF(OR(K13="",J13="",J13=0),"",(K13-J13)/J13)</f>
        <v/>
      </c>
      <c r="Q13" s="15">
        <f>IF(P13="","",IF(P13&lt;-0.05,"Moins cher",IF(P13&gt;0.05,"Plus cher","Équivalent")))</f>
        <v/>
      </c>
    </row>
    <row r="14">
      <c r="A14" s="4" t="inlineStr">
        <is>
          <t>SG-C019</t>
        </is>
      </c>
      <c r="B14" s="4" t="inlineStr">
        <is>
          <t>Tête de brosse</t>
        </is>
      </c>
      <c r="C14" s="4" t="inlineStr">
        <is>
          <t>Tête avec gratte-langue et massage des gencives</t>
        </is>
      </c>
      <c r="D14" s="27" t="inlineStr">
        <is>
          <t>N/D</t>
        </is>
      </c>
      <c r="E14" s="29" t="inlineStr">
        <is>
          <t>N/D</t>
        </is>
      </c>
      <c r="F14" s="10" t="n">
        <v>23</v>
      </c>
      <c r="G14" s="11" t="n"/>
      <c r="H14" s="11" t="n"/>
      <c r="I14" s="11" t="n"/>
      <c r="J14" s="12" t="n"/>
      <c r="K14" s="12" t="n"/>
      <c r="L14" s="11" t="n"/>
      <c r="M14" s="11" t="n"/>
      <c r="N14" s="11" t="n"/>
      <c r="O14" s="13">
        <f>IF(OR(K14="",J14=""),"",K14-J14)</f>
        <v/>
      </c>
      <c r="P14" s="14">
        <f>IF(OR(K14="",J14="",J14=0),"",(K14-J14)/J14)</f>
        <v/>
      </c>
      <c r="Q14" s="15">
        <f>IF(P14="","",IF(P14&lt;-0.05,"Moins cher",IF(P14&gt;0.05,"Plus cher","Équivalent")))</f>
        <v/>
      </c>
    </row>
    <row r="15">
      <c r="A15" s="16" t="inlineStr">
        <is>
          <t>SG-C099</t>
        </is>
      </c>
      <c r="B15" s="16" t="inlineStr">
        <is>
          <t>Tête de brosse</t>
        </is>
      </c>
      <c r="C15" s="16" t="inlineStr">
        <is>
          <t>Tête avec gratte-langue et massage des gencives</t>
        </is>
      </c>
      <c r="D15" s="24" t="inlineStr">
        <is>
          <t>N/D</t>
        </is>
      </c>
      <c r="E15" s="30" t="inlineStr">
        <is>
          <t>N/D</t>
        </is>
      </c>
      <c r="F15" s="21" t="n">
        <v>23</v>
      </c>
      <c r="G15" s="11" t="n"/>
      <c r="H15" s="11" t="n"/>
      <c r="I15" s="11" t="n"/>
      <c r="J15" s="12" t="n"/>
      <c r="K15" s="12" t="n"/>
      <c r="L15" s="11" t="n"/>
      <c r="M15" s="11" t="n"/>
      <c r="N15" s="11" t="n"/>
      <c r="O15" s="13">
        <f>IF(OR(K15="",J15=""),"",K15-J15)</f>
        <v/>
      </c>
      <c r="P15" s="14">
        <f>IF(OR(K15="",J15="",J15=0),"",(K15-J15)/J15)</f>
        <v/>
      </c>
      <c r="Q15" s="15">
        <f>IF(P15="","",IF(P15&lt;-0.05,"Moins cher",IF(P15&gt;0.05,"Plus cher","Équivalent")))</f>
        <v/>
      </c>
    </row>
    <row r="16">
      <c r="A16" s="4" t="inlineStr">
        <is>
          <t>SG-112</t>
        </is>
      </c>
      <c r="B16" s="4" t="inlineStr">
        <is>
          <t>Tête de brosse</t>
        </is>
      </c>
      <c r="C16" s="4" t="inlineStr">
        <is>
          <t>Tête sans ancrage</t>
        </is>
      </c>
      <c r="D16" s="27" t="inlineStr">
        <is>
          <t>N/D</t>
        </is>
      </c>
      <c r="E16" s="29" t="inlineStr">
        <is>
          <t>N/D</t>
        </is>
      </c>
      <c r="F16" s="10" t="n">
        <v>37</v>
      </c>
      <c r="G16" s="11" t="n"/>
      <c r="H16" s="11" t="n"/>
      <c r="I16" s="11" t="n"/>
      <c r="J16" s="12" t="n"/>
      <c r="K16" s="12" t="n"/>
      <c r="L16" s="11" t="n"/>
      <c r="M16" s="11" t="n"/>
      <c r="N16" s="11" t="n"/>
      <c r="O16" s="13">
        <f>IF(OR(K16="",J16=""),"",K16-J16)</f>
        <v/>
      </c>
      <c r="P16" s="14">
        <f>IF(OR(K16="",J16="",J16=0),"",(K16-J16)/J16)</f>
        <v/>
      </c>
      <c r="Q16" s="15">
        <f>IF(P16="","",IF(P16&lt;-0.05,"Moins cher",IF(P16&gt;0.05,"Plus cher","Équivalent")))</f>
        <v/>
      </c>
    </row>
    <row r="17">
      <c r="A17" s="16" t="inlineStr">
        <is>
          <t>SG-011</t>
        </is>
      </c>
      <c r="B17" s="16" t="inlineStr">
        <is>
          <t>Tête de brosse</t>
        </is>
      </c>
      <c r="C17" s="16" t="inlineStr">
        <is>
          <t>Tête avec gratte-langue</t>
        </is>
      </c>
      <c r="D17" s="24" t="inlineStr">
        <is>
          <t>N/D</t>
        </is>
      </c>
      <c r="E17" s="30" t="inlineStr">
        <is>
          <t>N/D</t>
        </is>
      </c>
      <c r="F17" s="21" t="n">
        <v>37</v>
      </c>
      <c r="G17" s="11" t="n"/>
      <c r="H17" s="11" t="n"/>
      <c r="I17" s="11" t="n"/>
      <c r="J17" s="12" t="n"/>
      <c r="K17" s="12" t="n"/>
      <c r="L17" s="11" t="n"/>
      <c r="M17" s="11" t="n"/>
      <c r="N17" s="11" t="n"/>
      <c r="O17" s="13">
        <f>IF(OR(K17="",J17=""),"",K17-J17)</f>
        <v/>
      </c>
      <c r="P17" s="14">
        <f>IF(OR(K17="",J17="",J17=0),"",(K17-J17)/J17)</f>
        <v/>
      </c>
      <c r="Q17" s="15">
        <f>IF(P17="","",IF(P17&lt;-0.05,"Moins cher",IF(P17&gt;0.05,"Plus cher","Équivalent")))</f>
        <v/>
      </c>
    </row>
    <row r="18">
      <c r="A18" s="4" t="inlineStr">
        <is>
          <t>SG-108</t>
        </is>
      </c>
      <c r="B18" s="4" t="inlineStr">
        <is>
          <t>Tête de brosse</t>
        </is>
      </c>
      <c r="C18" s="4" t="inlineStr">
        <is>
          <t>Tête standard</t>
        </is>
      </c>
      <c r="D18" s="27" t="inlineStr">
        <is>
          <t>N/D</t>
        </is>
      </c>
      <c r="E18" s="29" t="inlineStr">
        <is>
          <t>N/D</t>
        </is>
      </c>
      <c r="F18" s="10" t="n">
        <v>37</v>
      </c>
      <c r="G18" s="11" t="n"/>
      <c r="H18" s="11" t="n"/>
      <c r="I18" s="11" t="n"/>
      <c r="J18" s="12" t="n"/>
      <c r="K18" s="12" t="n"/>
      <c r="L18" s="11" t="n"/>
      <c r="M18" s="11" t="n"/>
      <c r="N18" s="11" t="n"/>
      <c r="O18" s="13">
        <f>IF(OR(K18="",J18=""),"",K18-J18)</f>
        <v/>
      </c>
      <c r="P18" s="14">
        <f>IF(OR(K18="",J18="",J18=0),"",(K18-J18)/J18)</f>
        <v/>
      </c>
      <c r="Q18" s="15">
        <f>IF(P18="","",IF(P18&lt;-0.05,"Moins cher",IF(P18&gt;0.05,"Plus cher","Équivalent")))</f>
        <v/>
      </c>
    </row>
    <row r="19">
      <c r="A19" s="16" t="inlineStr">
        <is>
          <t>SG-010</t>
        </is>
      </c>
      <c r="B19" s="16" t="inlineStr">
        <is>
          <t>Tête de brosse</t>
        </is>
      </c>
      <c r="C19" s="16" t="inlineStr">
        <is>
          <t>Tête standard</t>
        </is>
      </c>
      <c r="D19" s="24" t="inlineStr">
        <is>
          <t>N/D</t>
        </is>
      </c>
      <c r="E19" s="30" t="inlineStr">
        <is>
          <t>N/D</t>
        </is>
      </c>
      <c r="F19" s="21" t="n">
        <v>37</v>
      </c>
      <c r="G19" s="11" t="n"/>
      <c r="H19" s="11" t="n"/>
      <c r="I19" s="11" t="n"/>
      <c r="J19" s="12" t="n"/>
      <c r="K19" s="12" t="n"/>
      <c r="L19" s="11" t="n"/>
      <c r="M19" s="11" t="n"/>
      <c r="N19" s="11" t="n"/>
      <c r="O19" s="13">
        <f>IF(OR(K19="",J19=""),"",K19-J19)</f>
        <v/>
      </c>
      <c r="P19" s="14">
        <f>IF(OR(K19="",J19="",J19=0),"",(K19-J19)/J19)</f>
        <v/>
      </c>
      <c r="Q19" s="15">
        <f>IF(P19="","",IF(P19&lt;-0.05,"Moins cher",IF(P19&gt;0.05,"Plus cher","Équivalent")))</f>
        <v/>
      </c>
    </row>
    <row r="20">
      <c r="A20" s="4" t="inlineStr">
        <is>
          <t>SG-917</t>
        </is>
      </c>
      <c r="B20" s="4" t="inlineStr">
        <is>
          <t>Tête de brosse</t>
        </is>
      </c>
      <c r="C20" s="4" t="inlineStr">
        <is>
          <t>Tête standard</t>
        </is>
      </c>
      <c r="D20" s="27" t="inlineStr">
        <is>
          <t>N/D</t>
        </is>
      </c>
      <c r="E20" s="9" t="inlineStr">
        <is>
          <t>ND (référence identique à la brosse SG-917, à confirmer auprès du fournisseur)</t>
        </is>
      </c>
      <c r="F20" s="10" t="n">
        <v>37</v>
      </c>
      <c r="G20" s="11" t="n"/>
      <c r="H20" s="11" t="n"/>
      <c r="I20" s="11" t="n"/>
      <c r="J20" s="12" t="n"/>
      <c r="K20" s="12" t="n"/>
      <c r="L20" s="11" t="n"/>
      <c r="M20" s="11" t="n"/>
      <c r="N20" s="11" t="n"/>
      <c r="O20" s="13">
        <f>IF(OR(K20="",J20=""),"",K20-J20)</f>
        <v/>
      </c>
      <c r="P20" s="14">
        <f>IF(OR(K20="",J20="",J20=0),"",(K20-J20)/J20)</f>
        <v/>
      </c>
      <c r="Q20" s="15">
        <f>IF(P20="","",IF(P20&lt;-0.05,"Moins cher",IF(P20&gt;0.05,"Plus cher","Équivalent")))</f>
        <v/>
      </c>
    </row>
    <row r="21">
      <c r="A21" s="16" t="inlineStr">
        <is>
          <t>SG-017</t>
        </is>
      </c>
      <c r="B21" s="16" t="inlineStr">
        <is>
          <t>Tête de brosse</t>
        </is>
      </c>
      <c r="C21" s="16" t="inlineStr">
        <is>
          <t>Tête standard</t>
        </is>
      </c>
      <c r="D21" s="24" t="inlineStr">
        <is>
          <t>N/D</t>
        </is>
      </c>
      <c r="E21" s="30" t="inlineStr">
        <is>
          <t>N/D</t>
        </is>
      </c>
      <c r="F21" s="21" t="n">
        <v>37</v>
      </c>
      <c r="G21" s="11" t="n"/>
      <c r="H21" s="11" t="n"/>
      <c r="I21" s="11" t="n"/>
      <c r="J21" s="12" t="n"/>
      <c r="K21" s="12" t="n"/>
      <c r="L21" s="11" t="n"/>
      <c r="M21" s="11" t="n"/>
      <c r="N21" s="11" t="n"/>
      <c r="O21" s="13">
        <f>IF(OR(K21="",J21=""),"",K21-J21)</f>
        <v/>
      </c>
      <c r="P21" s="14">
        <f>IF(OR(K21="",J21="",J21=0),"",(K21-J21)/J21)</f>
        <v/>
      </c>
      <c r="Q21" s="15">
        <f>IF(P21="","",IF(P21&lt;-0.05,"Moins cher",IF(P21&gt;0.05,"Plus cher","Équivalent")))</f>
        <v/>
      </c>
    </row>
    <row r="22">
      <c r="A22" s="4" t="inlineStr">
        <is>
          <t>SG-002</t>
        </is>
      </c>
      <c r="B22" s="4" t="inlineStr">
        <is>
          <t>Tête de brosse</t>
        </is>
      </c>
      <c r="C22" s="4" t="inlineStr">
        <is>
          <t>Tête standard</t>
        </is>
      </c>
      <c r="D22" s="27" t="inlineStr">
        <is>
          <t>N/D</t>
        </is>
      </c>
      <c r="E22" s="29" t="inlineStr">
        <is>
          <t>N/D</t>
        </is>
      </c>
      <c r="F22" s="10" t="n">
        <v>37</v>
      </c>
      <c r="G22" s="11" t="n"/>
      <c r="H22" s="11" t="n"/>
      <c r="I22" s="11" t="n"/>
      <c r="J22" s="12" t="n"/>
      <c r="K22" s="12" t="n"/>
      <c r="L22" s="11" t="n"/>
      <c r="M22" s="11" t="n"/>
      <c r="N22" s="11" t="n"/>
      <c r="O22" s="13">
        <f>IF(OR(K22="",J22=""),"",K22-J22)</f>
        <v/>
      </c>
      <c r="P22" s="14">
        <f>IF(OR(K22="",J22="",J22=0),"",(K22-J22)/J22)</f>
        <v/>
      </c>
      <c r="Q22" s="15">
        <f>IF(P22="","",IF(P22&lt;-0.05,"Moins cher",IF(P22&gt;0.05,"Plus cher","Équivalent")))</f>
        <v/>
      </c>
    </row>
    <row r="23">
      <c r="A23" s="16" t="inlineStr">
        <is>
          <t>SG-012</t>
        </is>
      </c>
      <c r="B23" s="16" t="inlineStr">
        <is>
          <t>Tête de brosse</t>
        </is>
      </c>
      <c r="C23" s="16" t="inlineStr">
        <is>
          <t>Tête interdentaire</t>
        </is>
      </c>
      <c r="D23" s="24" t="inlineStr">
        <is>
          <t>N/D</t>
        </is>
      </c>
      <c r="E23" s="30" t="inlineStr">
        <is>
          <t>N/D</t>
        </is>
      </c>
      <c r="F23" s="21" t="n">
        <v>37</v>
      </c>
      <c r="G23" s="11" t="n"/>
      <c r="H23" s="11" t="n"/>
      <c r="I23" s="11" t="n"/>
      <c r="J23" s="12" t="n"/>
      <c r="K23" s="12" t="n"/>
      <c r="L23" s="11" t="n"/>
      <c r="M23" s="11" t="n"/>
      <c r="N23" s="11" t="n"/>
      <c r="O23" s="13">
        <f>IF(OR(K23="",J23=""),"",K23-J23)</f>
        <v/>
      </c>
      <c r="P23" s="14">
        <f>IF(OR(K23="",J23="",J23=0),"",(K23-J23)/J23)</f>
        <v/>
      </c>
      <c r="Q23" s="15">
        <f>IF(P23="","",IF(P23&lt;-0.05,"Moins cher",IF(P23&gt;0.05,"Plus cher","Équivalent")))</f>
        <v/>
      </c>
    </row>
    <row r="24">
      <c r="A24" s="4" t="inlineStr">
        <is>
          <t>SG-A923</t>
        </is>
      </c>
      <c r="B24" s="4" t="inlineStr">
        <is>
          <t>Tête de brosse</t>
        </is>
      </c>
      <c r="C24" s="4" t="inlineStr">
        <is>
          <t>Tête standard</t>
        </is>
      </c>
      <c r="D24" s="4" t="inlineStr">
        <is>
          <t>Tenon plastique</t>
        </is>
      </c>
      <c r="E24" s="9" t="inlineStr">
        <is>
          <t>Séries à tenon plastique</t>
        </is>
      </c>
      <c r="F24" s="10" t="n">
        <v>50</v>
      </c>
      <c r="G24" s="11" t="n"/>
      <c r="H24" s="11" t="n"/>
      <c r="I24" s="11" t="n"/>
      <c r="J24" s="12" t="n"/>
      <c r="K24" s="12" t="n"/>
      <c r="L24" s="11" t="n"/>
      <c r="M24" s="11" t="n"/>
      <c r="N24" s="11" t="n"/>
      <c r="O24" s="13">
        <f>IF(OR(K24="",J24=""),"",K24-J24)</f>
        <v/>
      </c>
      <c r="P24" s="14">
        <f>IF(OR(K24="",J24="",J24=0),"",(K24-J24)/J24)</f>
        <v/>
      </c>
      <c r="Q24" s="15">
        <f>IF(P24="","",IF(P24&lt;-0.05,"Moins cher",IF(P24&gt;0.05,"Plus cher","Équivalent")))</f>
        <v/>
      </c>
    </row>
    <row r="25">
      <c r="A25" s="16" t="inlineStr">
        <is>
          <t>SG-A021</t>
        </is>
      </c>
      <c r="B25" s="16" t="inlineStr">
        <is>
          <t>Tête de brosse</t>
        </is>
      </c>
      <c r="C25" s="16" t="inlineStr">
        <is>
          <t>Tête standard</t>
        </is>
      </c>
      <c r="D25" s="16" t="inlineStr">
        <is>
          <t>Tenon plastique</t>
        </is>
      </c>
      <c r="E25" s="20" t="inlineStr">
        <is>
          <t>Séries à tenon plastique</t>
        </is>
      </c>
      <c r="F25" s="21" t="n">
        <v>50</v>
      </c>
      <c r="G25" s="11" t="n"/>
      <c r="H25" s="11" t="n"/>
      <c r="I25" s="11" t="n"/>
      <c r="J25" s="12" t="n"/>
      <c r="K25" s="12" t="n"/>
      <c r="L25" s="11" t="n"/>
      <c r="M25" s="11" t="n"/>
      <c r="N25" s="11" t="n"/>
      <c r="O25" s="13">
        <f>IF(OR(K25="",J25=""),"",K25-J25)</f>
        <v/>
      </c>
      <c r="P25" s="14">
        <f>IF(OR(K25="",J25="",J25=0),"",(K25-J25)/J25)</f>
        <v/>
      </c>
      <c r="Q25" s="15">
        <f>IF(P25="","",IF(P25&lt;-0.05,"Moins cher",IF(P25&gt;0.05,"Plus cher","Équivalent")))</f>
        <v/>
      </c>
    </row>
    <row r="26">
      <c r="A26" s="4" t="inlineStr">
        <is>
          <t>SG-A022</t>
        </is>
      </c>
      <c r="B26" s="4" t="inlineStr">
        <is>
          <t>Tête de brosse</t>
        </is>
      </c>
      <c r="C26" s="4" t="inlineStr">
        <is>
          <t>Tête à brins obliques</t>
        </is>
      </c>
      <c r="D26" s="4" t="inlineStr">
        <is>
          <t>Tenon plastique</t>
        </is>
      </c>
      <c r="E26" s="9" t="inlineStr">
        <is>
          <t>Séries à tenon plastique</t>
        </is>
      </c>
      <c r="F26" s="10" t="n">
        <v>50</v>
      </c>
      <c r="G26" s="11" t="n"/>
      <c r="H26" s="11" t="n"/>
      <c r="I26" s="11" t="n"/>
      <c r="J26" s="12" t="n"/>
      <c r="K26" s="12" t="n"/>
      <c r="L26" s="11" t="n"/>
      <c r="M26" s="11" t="n"/>
      <c r="N26" s="11" t="n"/>
      <c r="O26" s="13">
        <f>IF(OR(K26="",J26=""),"",K26-J26)</f>
        <v/>
      </c>
      <c r="P26" s="14">
        <f>IF(OR(K26="",J26="",J26=0),"",(K26-J26)/J26)</f>
        <v/>
      </c>
      <c r="Q26" s="15">
        <f>IF(P26="","",IF(P26&lt;-0.05,"Moins cher",IF(P26&gt;0.05,"Plus cher","Équivalent")))</f>
        <v/>
      </c>
    </row>
    <row r="27">
      <c r="A27" s="16" t="inlineStr">
        <is>
          <t>SG-A023</t>
        </is>
      </c>
      <c r="B27" s="16" t="inlineStr">
        <is>
          <t>Tête de brosse</t>
        </is>
      </c>
      <c r="C27" s="16" t="inlineStr">
        <is>
          <t>Tête avec gratte-langue</t>
        </is>
      </c>
      <c r="D27" s="16" t="inlineStr">
        <is>
          <t>Tenon plastique</t>
        </is>
      </c>
      <c r="E27" s="20" t="inlineStr">
        <is>
          <t>Séries à tenon plastique</t>
        </is>
      </c>
      <c r="F27" s="21" t="n">
        <v>50</v>
      </c>
      <c r="G27" s="11" t="n"/>
      <c r="H27" s="11" t="n"/>
      <c r="I27" s="11" t="n"/>
      <c r="J27" s="12" t="n"/>
      <c r="K27" s="12" t="n"/>
      <c r="L27" s="11" t="n"/>
      <c r="M27" s="11" t="n"/>
      <c r="N27" s="11" t="n"/>
      <c r="O27" s="13">
        <f>IF(OR(K27="",J27=""),"",K27-J27)</f>
        <v/>
      </c>
      <c r="P27" s="14">
        <f>IF(OR(K27="",J27="",J27=0),"",(K27-J27)/J27)</f>
        <v/>
      </c>
      <c r="Q27" s="15">
        <f>IF(P27="","",IF(P27&lt;-0.05,"Moins cher",IF(P27&gt;0.05,"Plus cher","Équivalent")))</f>
        <v/>
      </c>
    </row>
    <row r="28">
      <c r="A28" s="4" t="inlineStr">
        <is>
          <t>SG-A032</t>
        </is>
      </c>
      <c r="B28" s="4" t="inlineStr">
        <is>
          <t>Tête de brosse</t>
        </is>
      </c>
      <c r="C28" s="4" t="inlineStr">
        <is>
          <t>Tête interdentaire</t>
        </is>
      </c>
      <c r="D28" s="4" t="inlineStr">
        <is>
          <t>Tenon plastique</t>
        </is>
      </c>
      <c r="E28" s="9" t="inlineStr">
        <is>
          <t>Séries à tenon plastique</t>
        </is>
      </c>
      <c r="F28" s="10" t="n">
        <v>50</v>
      </c>
      <c r="G28" s="11" t="n"/>
      <c r="H28" s="11" t="n"/>
      <c r="I28" s="11" t="n"/>
      <c r="J28" s="12" t="n"/>
      <c r="K28" s="12" t="n"/>
      <c r="L28" s="11" t="n"/>
      <c r="M28" s="11" t="n"/>
      <c r="N28" s="11" t="n"/>
      <c r="O28" s="13">
        <f>IF(OR(K28="",J28=""),"",K28-J28)</f>
        <v/>
      </c>
      <c r="P28" s="14">
        <f>IF(OR(K28="",J28="",J28=0),"",(K28-J28)/J28)</f>
        <v/>
      </c>
      <c r="Q28" s="15">
        <f>IF(P28="","",IF(P28&lt;-0.05,"Moins cher",IF(P28&gt;0.05,"Plus cher","Équivalent")))</f>
        <v/>
      </c>
    </row>
    <row r="29">
      <c r="A29" s="16" t="inlineStr">
        <is>
          <t>SG-A036</t>
        </is>
      </c>
      <c r="B29" s="16" t="inlineStr">
        <is>
          <t>Tête de brosse</t>
        </is>
      </c>
      <c r="C29" s="16" t="inlineStr">
        <is>
          <t>Tête interdentaire</t>
        </is>
      </c>
      <c r="D29" s="16" t="inlineStr">
        <is>
          <t>Tenon plastique</t>
        </is>
      </c>
      <c r="E29" s="20" t="inlineStr">
        <is>
          <t>Séries à tenon plastique</t>
        </is>
      </c>
      <c r="F29" s="21" t="n">
        <v>50</v>
      </c>
      <c r="G29" s="11" t="n"/>
      <c r="H29" s="11" t="n"/>
      <c r="I29" s="11" t="n"/>
      <c r="J29" s="12" t="n"/>
      <c r="K29" s="12" t="n"/>
      <c r="L29" s="11" t="n"/>
      <c r="M29" s="11" t="n"/>
      <c r="N29" s="11" t="n"/>
      <c r="O29" s="13">
        <f>IF(OR(K29="",J29=""),"",K29-J29)</f>
        <v/>
      </c>
      <c r="P29" s="14">
        <f>IF(OR(K29="",J29="",J29=0),"",(K29-J29)/J29)</f>
        <v/>
      </c>
      <c r="Q29" s="15">
        <f>IF(P29="","",IF(P29&lt;-0.05,"Moins cher",IF(P29&gt;0.05,"Plus cher","Équivalent")))</f>
        <v/>
      </c>
    </row>
    <row r="30">
      <c r="A30" s="4" t="inlineStr">
        <is>
          <t>SG-A100</t>
        </is>
      </c>
      <c r="B30" s="4" t="inlineStr">
        <is>
          <t>Tête de brosse</t>
        </is>
      </c>
      <c r="C30" s="4" t="inlineStr">
        <is>
          <t>Tête à implantation hétérotype</t>
        </is>
      </c>
      <c r="D30" s="4" t="inlineStr">
        <is>
          <t>Tenon plastique</t>
        </is>
      </c>
      <c r="E30" s="9" t="inlineStr">
        <is>
          <t>Séries à tenon plastique</t>
        </is>
      </c>
      <c r="F30" s="10" t="n">
        <v>50</v>
      </c>
      <c r="G30" s="11" t="n"/>
      <c r="H30" s="11" t="n"/>
      <c r="I30" s="11" t="n"/>
      <c r="J30" s="12" t="n"/>
      <c r="K30" s="12" t="n"/>
      <c r="L30" s="11" t="n"/>
      <c r="M30" s="11" t="n"/>
      <c r="N30" s="11" t="n"/>
      <c r="O30" s="13">
        <f>IF(OR(K30="",J30=""),"",K30-J30)</f>
        <v/>
      </c>
      <c r="P30" s="14">
        <f>IF(OR(K30="",J30="",J30=0),"",(K30-J30)/J30)</f>
        <v/>
      </c>
      <c r="Q30" s="15">
        <f>IF(P30="","",IF(P30&lt;-0.05,"Moins cher",IF(P30&gt;0.05,"Plus cher","Équivalent")))</f>
        <v/>
      </c>
    </row>
    <row r="31">
      <c r="A31" s="16" t="inlineStr">
        <is>
          <t>SG-A928</t>
        </is>
      </c>
      <c r="B31" s="16" t="inlineStr">
        <is>
          <t>Tête de brosse</t>
        </is>
      </c>
      <c r="C31" s="16" t="inlineStr">
        <is>
          <t>Tête standard</t>
        </is>
      </c>
      <c r="D31" s="16" t="inlineStr">
        <is>
          <t>Tenon plastique</t>
        </is>
      </c>
      <c r="E31" s="20" t="inlineStr">
        <is>
          <t>Séries à tenon plastique</t>
        </is>
      </c>
      <c r="F31" s="21" t="n">
        <v>50</v>
      </c>
      <c r="G31" s="11" t="n"/>
      <c r="H31" s="11" t="n"/>
      <c r="I31" s="11" t="n"/>
      <c r="J31" s="12" t="n"/>
      <c r="K31" s="12" t="n"/>
      <c r="L31" s="11" t="n"/>
      <c r="M31" s="11" t="n"/>
      <c r="N31" s="11" t="n"/>
      <c r="O31" s="13">
        <f>IF(OR(K31="",J31=""),"",K31-J31)</f>
        <v/>
      </c>
      <c r="P31" s="14">
        <f>IF(OR(K31="",J31="",J31=0),"",(K31-J31)/J31)</f>
        <v/>
      </c>
      <c r="Q31" s="15">
        <f>IF(P31="","",IF(P31&lt;-0.05,"Moins cher",IF(P31&gt;0.05,"Plus cher","Équivalent")))</f>
        <v/>
      </c>
    </row>
    <row r="32">
      <c r="A32" s="4" t="inlineStr">
        <is>
          <t>SG-G001</t>
        </is>
      </c>
      <c r="B32" s="4" t="inlineStr">
        <is>
          <t>Tête de brosse</t>
        </is>
      </c>
      <c r="C32" s="4" t="inlineStr">
        <is>
          <t>Tête standard</t>
        </is>
      </c>
      <c r="D32" s="4" t="inlineStr">
        <is>
          <t>Tenon métal</t>
        </is>
      </c>
      <c r="E32" s="9" t="inlineStr">
        <is>
          <t>Séries à tenon métal</t>
        </is>
      </c>
      <c r="F32" s="10" t="n">
        <v>50</v>
      </c>
      <c r="G32" s="11" t="n"/>
      <c r="H32" s="11" t="n"/>
      <c r="I32" s="11" t="n"/>
      <c r="J32" s="12" t="n"/>
      <c r="K32" s="12" t="n"/>
      <c r="L32" s="11" t="n"/>
      <c r="M32" s="11" t="n"/>
      <c r="N32" s="11" t="n"/>
      <c r="O32" s="13">
        <f>IF(OR(K32="",J32=""),"",K32-J32)</f>
        <v/>
      </c>
      <c r="P32" s="14">
        <f>IF(OR(K32="",J32="",J32=0),"",(K32-J32)/J32)</f>
        <v/>
      </c>
      <c r="Q32" s="15">
        <f>IF(P32="","",IF(P32&lt;-0.05,"Moins cher",IF(P32&gt;0.05,"Plus cher","Équivalent")))</f>
        <v/>
      </c>
    </row>
    <row r="33">
      <c r="A33" s="16" t="inlineStr">
        <is>
          <t>SG-G002</t>
        </is>
      </c>
      <c r="B33" s="16" t="inlineStr">
        <is>
          <t>Tête de brosse</t>
        </is>
      </c>
      <c r="C33" s="16" t="inlineStr">
        <is>
          <t>Tête à implantation hétérotype</t>
        </is>
      </c>
      <c r="D33" s="16" t="inlineStr">
        <is>
          <t>Tenon métal</t>
        </is>
      </c>
      <c r="E33" s="20" t="inlineStr">
        <is>
          <t>Séries à tenon métal</t>
        </is>
      </c>
      <c r="F33" s="21" t="n">
        <v>50</v>
      </c>
      <c r="G33" s="11" t="n"/>
      <c r="H33" s="11" t="n"/>
      <c r="I33" s="11" t="n"/>
      <c r="J33" s="12" t="n"/>
      <c r="K33" s="12" t="n"/>
      <c r="L33" s="11" t="n"/>
      <c r="M33" s="11" t="n"/>
      <c r="N33" s="11" t="n"/>
      <c r="O33" s="13">
        <f>IF(OR(K33="",J33=""),"",K33-J33)</f>
        <v/>
      </c>
      <c r="P33" s="14">
        <f>IF(OR(K33="",J33="",J33=0),"",(K33-J33)/J33)</f>
        <v/>
      </c>
      <c r="Q33" s="15">
        <f>IF(P33="","",IF(P33&lt;-0.05,"Moins cher",IF(P33&gt;0.05,"Plus cher","Équivalent")))</f>
        <v/>
      </c>
    </row>
    <row r="34">
      <c r="A34" s="4" t="inlineStr">
        <is>
          <t>SG-G044</t>
        </is>
      </c>
      <c r="B34" s="4" t="inlineStr">
        <is>
          <t>Tête de brosse</t>
        </is>
      </c>
      <c r="C34" s="4" t="inlineStr">
        <is>
          <t>Tête interdentaire</t>
        </is>
      </c>
      <c r="D34" s="4" t="inlineStr">
        <is>
          <t>Tenon métal</t>
        </is>
      </c>
      <c r="E34" s="9" t="inlineStr">
        <is>
          <t>Séries à tenon métal</t>
        </is>
      </c>
      <c r="F34" s="10" t="n">
        <v>50</v>
      </c>
      <c r="G34" s="11" t="n"/>
      <c r="H34" s="11" t="n"/>
      <c r="I34" s="11" t="n"/>
      <c r="J34" s="12" t="n"/>
      <c r="K34" s="12" t="n"/>
      <c r="L34" s="11" t="n"/>
      <c r="M34" s="11" t="n"/>
      <c r="N34" s="11" t="n"/>
      <c r="O34" s="13">
        <f>IF(OR(K34="",J34=""),"",K34-J34)</f>
        <v/>
      </c>
      <c r="P34" s="14">
        <f>IF(OR(K34="",J34="",J34=0),"",(K34-J34)/J34)</f>
        <v/>
      </c>
      <c r="Q34" s="15">
        <f>IF(P34="","",IF(P34&lt;-0.05,"Moins cher",IF(P34&gt;0.05,"Plus cher","Équivalent")))</f>
        <v/>
      </c>
    </row>
    <row r="35">
      <c r="A35" s="16" t="inlineStr">
        <is>
          <t>SG-G045</t>
        </is>
      </c>
      <c r="B35" s="16" t="inlineStr">
        <is>
          <t>Tête de brosse</t>
        </is>
      </c>
      <c r="C35" s="16" t="inlineStr">
        <is>
          <t>Tête standard</t>
        </is>
      </c>
      <c r="D35" s="16" t="inlineStr">
        <is>
          <t>Tenon métal</t>
        </is>
      </c>
      <c r="E35" s="20" t="inlineStr">
        <is>
          <t>Séries à tenon métal</t>
        </is>
      </c>
      <c r="F35" s="21" t="n">
        <v>50</v>
      </c>
      <c r="G35" s="11" t="n"/>
      <c r="H35" s="11" t="n"/>
      <c r="I35" s="11" t="n"/>
      <c r="J35" s="12" t="n"/>
      <c r="K35" s="12" t="n"/>
      <c r="L35" s="11" t="n"/>
      <c r="M35" s="11" t="n"/>
      <c r="N35" s="11" t="n"/>
      <c r="O35" s="13">
        <f>IF(OR(K35="",J35=""),"",K35-J35)</f>
        <v/>
      </c>
      <c r="P35" s="14">
        <f>IF(OR(K35="",J35="",J35=0),"",(K35-J35)/J35)</f>
        <v/>
      </c>
      <c r="Q35" s="15">
        <f>IF(P35="","",IF(P35&lt;-0.05,"Moins cher",IF(P35&gt;0.05,"Plus cher","Équivalent")))</f>
        <v/>
      </c>
    </row>
    <row r="36">
      <c r="A36" s="4" t="inlineStr">
        <is>
          <t>SG-G048</t>
        </is>
      </c>
      <c r="B36" s="4" t="inlineStr">
        <is>
          <t>Tête de brosse</t>
        </is>
      </c>
      <c r="C36" s="4" t="inlineStr">
        <is>
          <t>Tête mini</t>
        </is>
      </c>
      <c r="D36" s="4" t="inlineStr">
        <is>
          <t>Tenon métal</t>
        </is>
      </c>
      <c r="E36" s="9" t="inlineStr">
        <is>
          <t>Séries à tenon métal</t>
        </is>
      </c>
      <c r="F36" s="10" t="n">
        <v>50</v>
      </c>
      <c r="G36" s="11" t="n"/>
      <c r="H36" s="11" t="n"/>
      <c r="I36" s="11" t="n"/>
      <c r="J36" s="12" t="n"/>
      <c r="K36" s="12" t="n"/>
      <c r="L36" s="11" t="n"/>
      <c r="M36" s="11" t="n"/>
      <c r="N36" s="11" t="n"/>
      <c r="O36" s="13">
        <f>IF(OR(K36="",J36=""),"",K36-J36)</f>
        <v/>
      </c>
      <c r="P36" s="14">
        <f>IF(OR(K36="",J36="",J36=0),"",(K36-J36)/J36)</f>
        <v/>
      </c>
      <c r="Q36" s="15">
        <f>IF(P36="","",IF(P36&lt;-0.05,"Moins cher",IF(P36&gt;0.05,"Plus cher","Équivalent")))</f>
        <v/>
      </c>
    </row>
    <row r="37">
      <c r="A37" s="16" t="inlineStr">
        <is>
          <t>SG-G049</t>
        </is>
      </c>
      <c r="B37" s="16" t="inlineStr">
        <is>
          <t>Tête de brosse</t>
        </is>
      </c>
      <c r="C37" s="16" t="inlineStr">
        <is>
          <t>Tête large</t>
        </is>
      </c>
      <c r="D37" s="16" t="inlineStr">
        <is>
          <t>Tenon métal</t>
        </is>
      </c>
      <c r="E37" s="20" t="inlineStr">
        <is>
          <t>Séries à tenon métal</t>
        </is>
      </c>
      <c r="F37" s="21" t="n">
        <v>50</v>
      </c>
      <c r="G37" s="11" t="n"/>
      <c r="H37" s="11" t="n"/>
      <c r="I37" s="11" t="n"/>
      <c r="J37" s="12" t="n"/>
      <c r="K37" s="12" t="n"/>
      <c r="L37" s="11" t="n"/>
      <c r="M37" s="11" t="n"/>
      <c r="N37" s="11" t="n"/>
      <c r="O37" s="13">
        <f>IF(OR(K37="",J37=""),"",K37-J37)</f>
        <v/>
      </c>
      <c r="P37" s="14">
        <f>IF(OR(K37="",J37="",J37=0),"",(K37-J37)/J37)</f>
        <v/>
      </c>
      <c r="Q37" s="15">
        <f>IF(P37="","",IF(P37&lt;-0.05,"Moins cher",IF(P37&gt;0.05,"Plus cher","Équivalent")))</f>
        <v/>
      </c>
    </row>
    <row r="38">
      <c r="A38" s="4" t="inlineStr">
        <is>
          <t>SG-i026</t>
        </is>
      </c>
      <c r="B38" s="4" t="inlineStr">
        <is>
          <t>Tête de brosse</t>
        </is>
      </c>
      <c r="C38" s="4" t="inlineStr">
        <is>
          <t>Tête standard</t>
        </is>
      </c>
      <c r="D38" s="27" t="inlineStr">
        <is>
          <t>N/D</t>
        </is>
      </c>
      <c r="E38" s="9" t="inlineStr">
        <is>
          <t>SG-932, SG-956</t>
        </is>
      </c>
      <c r="F38" s="10" t="n">
        <v>50</v>
      </c>
      <c r="G38" s="11" t="n"/>
      <c r="H38" s="11" t="n"/>
      <c r="I38" s="11" t="n"/>
      <c r="J38" s="12" t="n"/>
      <c r="K38" s="12" t="n"/>
      <c r="L38" s="11" t="n"/>
      <c r="M38" s="11" t="n"/>
      <c r="N38" s="11" t="n"/>
      <c r="O38" s="13">
        <f>IF(OR(K38="",J38=""),"",K38-J38)</f>
        <v/>
      </c>
      <c r="P38" s="14">
        <f>IF(OR(K38="",J38="",J38=0),"",(K38-J38)/J38)</f>
        <v/>
      </c>
      <c r="Q38" s="15">
        <f>IF(P38="","",IF(P38&lt;-0.05,"Moins cher",IF(P38&gt;0.05,"Plus cher","Équivalent")))</f>
        <v/>
      </c>
    </row>
    <row r="39">
      <c r="A39" s="16" t="inlineStr">
        <is>
          <t>SG-i932</t>
        </is>
      </c>
      <c r="B39" s="16" t="inlineStr">
        <is>
          <t>Tête de brosse</t>
        </is>
      </c>
      <c r="C39" s="16" t="inlineStr">
        <is>
          <t>Tête standard</t>
        </is>
      </c>
      <c r="D39" s="24" t="inlineStr">
        <is>
          <t>N/D</t>
        </is>
      </c>
      <c r="E39" s="20" t="inlineStr">
        <is>
          <t>SG-932, SG-956</t>
        </is>
      </c>
      <c r="F39" s="21" t="n">
        <v>50</v>
      </c>
      <c r="G39" s="11" t="n"/>
      <c r="H39" s="11" t="n"/>
      <c r="I39" s="11" t="n"/>
      <c r="J39" s="12" t="n"/>
      <c r="K39" s="12" t="n"/>
      <c r="L39" s="11" t="n"/>
      <c r="M39" s="11" t="n"/>
      <c r="N39" s="11" t="n"/>
      <c r="O39" s="13">
        <f>IF(OR(K39="",J39=""),"",K39-J39)</f>
        <v/>
      </c>
      <c r="P39" s="14">
        <f>IF(OR(K39="",J39="",J39=0),"",(K39-J39)/J39)</f>
        <v/>
      </c>
      <c r="Q39" s="15">
        <f>IF(P39="","",IF(P39&lt;-0.05,"Moins cher",IF(P39&gt;0.05,"Plus cher","Équivalent")))</f>
        <v/>
      </c>
    </row>
    <row r="40">
      <c r="A40" s="4" t="inlineStr">
        <is>
          <t>SG-H025</t>
        </is>
      </c>
      <c r="B40" s="4" t="inlineStr">
        <is>
          <t>Tête de brosse</t>
        </is>
      </c>
      <c r="C40" s="4" t="inlineStr">
        <is>
          <t>Petite tête</t>
        </is>
      </c>
      <c r="D40" s="27" t="inlineStr">
        <is>
          <t>N/D</t>
        </is>
      </c>
      <c r="E40" s="9" t="inlineStr">
        <is>
          <t>SG-513, SG-2113, SG-976, SG-977, SG-2107, SG-921</t>
        </is>
      </c>
      <c r="F40" s="10" t="n">
        <v>61</v>
      </c>
      <c r="G40" s="11" t="n"/>
      <c r="H40" s="11" t="n"/>
      <c r="I40" s="11" t="n"/>
      <c r="J40" s="12" t="n"/>
      <c r="K40" s="12" t="n"/>
      <c r="L40" s="11" t="n"/>
      <c r="M40" s="11" t="n"/>
      <c r="N40" s="11" t="n"/>
      <c r="O40" s="13">
        <f>IF(OR(K40="",J40=""),"",K40-J40)</f>
        <v/>
      </c>
      <c r="P40" s="14">
        <f>IF(OR(K40="",J40="",J40=0),"",(K40-J40)/J40)</f>
        <v/>
      </c>
      <c r="Q40" s="15">
        <f>IF(P40="","",IF(P40&lt;-0.05,"Moins cher",IF(P40&gt;0.05,"Plus cher","Équivalent")))</f>
        <v/>
      </c>
    </row>
    <row r="41">
      <c r="A41" s="16" t="inlineStr">
        <is>
          <t>SG-H037</t>
        </is>
      </c>
      <c r="B41" s="16" t="inlineStr">
        <is>
          <t>Tête de brosse</t>
        </is>
      </c>
      <c r="C41" s="16" t="inlineStr">
        <is>
          <t>Tête medium</t>
        </is>
      </c>
      <c r="D41" s="24" t="inlineStr">
        <is>
          <t>N/D</t>
        </is>
      </c>
      <c r="E41" s="20" t="inlineStr">
        <is>
          <t>SG-513, SG-2113, SG-976, SG-977, SG-2107, SG-921</t>
        </is>
      </c>
      <c r="F41" s="21" t="n">
        <v>61</v>
      </c>
      <c r="G41" s="11" t="n"/>
      <c r="H41" s="11" t="n"/>
      <c r="I41" s="11" t="n"/>
      <c r="J41" s="12" t="n"/>
      <c r="K41" s="12" t="n"/>
      <c r="L41" s="11" t="n"/>
      <c r="M41" s="11" t="n"/>
      <c r="N41" s="11" t="n"/>
      <c r="O41" s="13">
        <f>IF(OR(K41="",J41=""),"",K41-J41)</f>
        <v/>
      </c>
      <c r="P41" s="14">
        <f>IF(OR(K41="",J41="",J41=0),"",(K41-J41)/J41)</f>
        <v/>
      </c>
      <c r="Q41" s="15">
        <f>IF(P41="","",IF(P41&lt;-0.05,"Moins cher",IF(P41&gt;0.05,"Plus cher","Équivalent")))</f>
        <v/>
      </c>
    </row>
    <row r="42">
      <c r="A42" s="4" t="inlineStr">
        <is>
          <t>SG-H047</t>
        </is>
      </c>
      <c r="B42" s="4" t="inlineStr">
        <is>
          <t>Tête de brosse</t>
        </is>
      </c>
      <c r="C42" s="4" t="inlineStr">
        <is>
          <t>Petite tête avec gratte-langue</t>
        </is>
      </c>
      <c r="D42" s="27" t="inlineStr">
        <is>
          <t>N/D</t>
        </is>
      </c>
      <c r="E42" s="9" t="inlineStr">
        <is>
          <t>SG-513, SG-2113, SG-976, SG-977, SG-2107, SG-921</t>
        </is>
      </c>
      <c r="F42" s="10" t="n">
        <v>61</v>
      </c>
      <c r="G42" s="11" t="n"/>
      <c r="H42" s="11" t="n"/>
      <c r="I42" s="11" t="n"/>
      <c r="J42" s="12" t="n"/>
      <c r="K42" s="12" t="n"/>
      <c r="L42" s="11" t="n"/>
      <c r="M42" s="11" t="n"/>
      <c r="N42" s="11" t="n"/>
      <c r="O42" s="13">
        <f>IF(OR(K42="",J42=""),"",K42-J42)</f>
        <v/>
      </c>
      <c r="P42" s="14">
        <f>IF(OR(K42="",J42="",J42=0),"",(K42-J42)/J42)</f>
        <v/>
      </c>
      <c r="Q42" s="15">
        <f>IF(P42="","",IF(P42&lt;-0.05,"Moins cher",IF(P42&gt;0.05,"Plus cher","Équivalent")))</f>
        <v/>
      </c>
    </row>
    <row r="43">
      <c r="A43" s="16" t="inlineStr">
        <is>
          <t>SG-H923</t>
        </is>
      </c>
      <c r="B43" s="16" t="inlineStr">
        <is>
          <t>Tête de brosse</t>
        </is>
      </c>
      <c r="C43" s="16" t="inlineStr">
        <is>
          <t>Grande tête</t>
        </is>
      </c>
      <c r="D43" s="24" t="inlineStr">
        <is>
          <t>N/D</t>
        </is>
      </c>
      <c r="E43" s="20" t="inlineStr">
        <is>
          <t>SG-513, SG-2113, SG-976, SG-977, SG-2107, SG-921</t>
        </is>
      </c>
      <c r="F43" s="21" t="n">
        <v>61</v>
      </c>
      <c r="G43" s="11" t="n"/>
      <c r="H43" s="11" t="n"/>
      <c r="I43" s="11" t="n"/>
      <c r="J43" s="12" t="n"/>
      <c r="K43" s="12" t="n"/>
      <c r="L43" s="11" t="n"/>
      <c r="M43" s="11" t="n"/>
      <c r="N43" s="11" t="n"/>
      <c r="O43" s="13">
        <f>IF(OR(K43="",J43=""),"",K43-J43)</f>
        <v/>
      </c>
      <c r="P43" s="14">
        <f>IF(OR(K43="",J43="",J43=0),"",(K43-J43)/J43)</f>
        <v/>
      </c>
      <c r="Q43" s="15">
        <f>IF(P43="","",IF(P43&lt;-0.05,"Moins cher",IF(P43&gt;0.05,"Plus cher","Équivalent")))</f>
        <v/>
      </c>
    </row>
    <row r="44">
      <c r="A44" s="4" t="inlineStr">
        <is>
          <t>SG-H029</t>
        </is>
      </c>
      <c r="B44" s="4" t="inlineStr">
        <is>
          <t>Tête de brosse</t>
        </is>
      </c>
      <c r="C44" s="4" t="inlineStr">
        <is>
          <t>Tête interdentaire</t>
        </is>
      </c>
      <c r="D44" s="27" t="inlineStr">
        <is>
          <t>N/D</t>
        </is>
      </c>
      <c r="E44" s="9" t="inlineStr">
        <is>
          <t>SG-513, SG-2113, SG-976, SG-977, SG-2107, SG-921</t>
        </is>
      </c>
      <c r="F44" s="10" t="n">
        <v>61</v>
      </c>
      <c r="G44" s="11" t="n"/>
      <c r="H44" s="11" t="n"/>
      <c r="I44" s="11" t="n"/>
      <c r="J44" s="12" t="n"/>
      <c r="K44" s="12" t="n"/>
      <c r="L44" s="11" t="n"/>
      <c r="M44" s="11" t="n"/>
      <c r="N44" s="11" t="n"/>
      <c r="O44" s="13">
        <f>IF(OR(K44="",J44=""),"",K44-J44)</f>
        <v/>
      </c>
      <c r="P44" s="14">
        <f>IF(OR(K44="",J44="",J44=0),"",(K44-J44)/J44)</f>
        <v/>
      </c>
      <c r="Q44" s="15">
        <f>IF(P44="","",IF(P44&lt;-0.05,"Moins cher",IF(P44&gt;0.05,"Plus cher","Équivalent")))</f>
        <v/>
      </c>
    </row>
    <row r="45">
      <c r="A45" s="16" t="inlineStr">
        <is>
          <t>SG-H039</t>
        </is>
      </c>
      <c r="B45" s="16" t="inlineStr">
        <is>
          <t>Tête de brosse</t>
        </is>
      </c>
      <c r="C45" s="16" t="inlineStr">
        <is>
          <t>Tête gratte-langue</t>
        </is>
      </c>
      <c r="D45" s="24" t="inlineStr">
        <is>
          <t>N/D</t>
        </is>
      </c>
      <c r="E45" s="20" t="inlineStr">
        <is>
          <t>SG-513, SG-2113, SG-976, SG-977, SG-2107, SG-921</t>
        </is>
      </c>
      <c r="F45" s="21" t="n">
        <v>61</v>
      </c>
      <c r="G45" s="11" t="n"/>
      <c r="H45" s="11" t="n"/>
      <c r="I45" s="11" t="n"/>
      <c r="J45" s="12" t="n"/>
      <c r="K45" s="12" t="n"/>
      <c r="L45" s="11" t="n"/>
      <c r="M45" s="11" t="n"/>
      <c r="N45" s="11" t="n"/>
      <c r="O45" s="13">
        <f>IF(OR(K45="",J45=""),"",K45-J45)</f>
        <v/>
      </c>
      <c r="P45" s="14">
        <f>IF(OR(K45="",J45="",J45=0),"",(K45-J45)/J45)</f>
        <v/>
      </c>
      <c r="Q45" s="15">
        <f>IF(P45="","",IF(P45&lt;-0.05,"Moins cher",IF(P45&gt;0.05,"Plus cher","Équivalent")))</f>
        <v/>
      </c>
    </row>
    <row r="46">
      <c r="A46" s="4" t="inlineStr">
        <is>
          <t>SG-H046</t>
        </is>
      </c>
      <c r="B46" s="4" t="inlineStr">
        <is>
          <t>Tête de brosse</t>
        </is>
      </c>
      <c r="C46" s="4" t="inlineStr">
        <is>
          <t>Tête massage des gencives</t>
        </is>
      </c>
      <c r="D46" s="27" t="inlineStr">
        <is>
          <t>N/D</t>
        </is>
      </c>
      <c r="E46" s="9" t="inlineStr">
        <is>
          <t>SG-513, SG-2113, SG-976, SG-977, SG-2107, SG-921</t>
        </is>
      </c>
      <c r="F46" s="10" t="n">
        <v>61</v>
      </c>
      <c r="G46" s="11" t="n"/>
      <c r="H46" s="11" t="n"/>
      <c r="I46" s="11" t="n"/>
      <c r="J46" s="12" t="n"/>
      <c r="K46" s="12" t="n"/>
      <c r="L46" s="11" t="n"/>
      <c r="M46" s="11" t="n"/>
      <c r="N46" s="11" t="n"/>
      <c r="O46" s="13">
        <f>IF(OR(K46="",J46=""),"",K46-J46)</f>
        <v/>
      </c>
      <c r="P46" s="14">
        <f>IF(OR(K46="",J46="",J46=0),"",(K46-J46)/J46)</f>
        <v/>
      </c>
      <c r="Q46" s="15">
        <f>IF(P46="","",IF(P46&lt;-0.05,"Moins cher",IF(P46&gt;0.05,"Plus cher","Équivalent")))</f>
        <v/>
      </c>
    </row>
    <row r="47">
      <c r="A47" s="16" t="inlineStr">
        <is>
          <t>SG-H052</t>
        </is>
      </c>
      <c r="B47" s="16" t="inlineStr">
        <is>
          <t>Tête de brosse</t>
        </is>
      </c>
      <c r="C47" s="16" t="inlineStr">
        <is>
          <t>Tête miroir d'observation</t>
        </is>
      </c>
      <c r="D47" s="24" t="inlineStr">
        <is>
          <t>N/D</t>
        </is>
      </c>
      <c r="E47" s="20" t="inlineStr">
        <is>
          <t>SG-513, SG-2113, SG-976, SG-977, SG-2107, SG-921</t>
        </is>
      </c>
      <c r="F47" s="21" t="n">
        <v>61</v>
      </c>
      <c r="G47" s="11" t="n"/>
      <c r="H47" s="11" t="n"/>
      <c r="I47" s="11" t="n"/>
      <c r="J47" s="12" t="n"/>
      <c r="K47" s="12" t="n"/>
      <c r="L47" s="11" t="n"/>
      <c r="M47" s="11" t="n"/>
      <c r="N47" s="11" t="n"/>
      <c r="O47" s="13">
        <f>IF(OR(K47="",J47=""),"",K47-J47)</f>
        <v/>
      </c>
      <c r="P47" s="14">
        <f>IF(OR(K47="",J47="",J47=0),"",(K47-J47)/J47)</f>
        <v/>
      </c>
      <c r="Q47" s="15">
        <f>IF(P47="","",IF(P47&lt;-0.05,"Moins cher",IF(P47&gt;0.05,"Plus cher","Équivalent")))</f>
        <v/>
      </c>
    </row>
    <row r="48">
      <c r="A48" s="4" t="inlineStr">
        <is>
          <t>SG-D011</t>
        </is>
      </c>
      <c r="B48" s="4" t="inlineStr">
        <is>
          <t>Tête de brosse</t>
        </is>
      </c>
      <c r="C48" s="4" t="inlineStr">
        <is>
          <t>Tête standard avec gratte-langue</t>
        </is>
      </c>
      <c r="D48" s="27" t="inlineStr">
        <is>
          <t>N/D</t>
        </is>
      </c>
      <c r="E48" s="9" t="inlineStr">
        <is>
          <t>SG-2001, SG-2008</t>
        </is>
      </c>
      <c r="F48" s="10" t="n">
        <v>61</v>
      </c>
      <c r="G48" s="11" t="n"/>
      <c r="H48" s="11" t="n"/>
      <c r="I48" s="11" t="n"/>
      <c r="J48" s="12" t="n"/>
      <c r="K48" s="12" t="n"/>
      <c r="L48" s="11" t="n"/>
      <c r="M48" s="11" t="n"/>
      <c r="N48" s="11" t="n"/>
      <c r="O48" s="13">
        <f>IF(OR(K48="",J48=""),"",K48-J48)</f>
        <v/>
      </c>
      <c r="P48" s="14">
        <f>IF(OR(K48="",J48="",J48=0),"",(K48-J48)/J48)</f>
        <v/>
      </c>
      <c r="Q48" s="15">
        <f>IF(P48="","",IF(P48&lt;-0.05,"Moins cher",IF(P48&gt;0.05,"Plus cher","Équivalent")))</f>
        <v/>
      </c>
    </row>
    <row r="49">
      <c r="A49" s="16" t="inlineStr">
        <is>
          <t>SG-D917</t>
        </is>
      </c>
      <c r="B49" s="16" t="inlineStr">
        <is>
          <t>Tête de brosse</t>
        </is>
      </c>
      <c r="C49" s="16" t="inlineStr">
        <is>
          <t>Tête standard</t>
        </is>
      </c>
      <c r="D49" s="24" t="inlineStr">
        <is>
          <t>N/D</t>
        </is>
      </c>
      <c r="E49" s="20" t="inlineStr">
        <is>
          <t>SG-2001, SG-2008</t>
        </is>
      </c>
      <c r="F49" s="21" t="n">
        <v>61</v>
      </c>
      <c r="G49" s="11" t="n"/>
      <c r="H49" s="11" t="n"/>
      <c r="I49" s="11" t="n"/>
      <c r="J49" s="12" t="n"/>
      <c r="K49" s="12" t="n"/>
      <c r="L49" s="11" t="n"/>
      <c r="M49" s="11" t="n"/>
      <c r="N49" s="11" t="n"/>
      <c r="O49" s="13">
        <f>IF(OR(K49="",J49=""),"",K49-J49)</f>
        <v/>
      </c>
      <c r="P49" s="14">
        <f>IF(OR(K49="",J49="",J49=0),"",(K49-J49)/J49)</f>
        <v/>
      </c>
      <c r="Q49" s="15">
        <f>IF(P49="","",IF(P49&lt;-0.05,"Moins cher",IF(P49&gt;0.05,"Plus cher","Équivalent")))</f>
        <v/>
      </c>
    </row>
    <row r="50">
      <c r="A50" s="4" t="inlineStr">
        <is>
          <t>SG-C093</t>
        </is>
      </c>
      <c r="B50" s="4" t="inlineStr">
        <is>
          <t>Tête de brosse</t>
        </is>
      </c>
      <c r="C50" s="4" t="inlineStr">
        <is>
          <t>Tête standard</t>
        </is>
      </c>
      <c r="D50" s="27" t="inlineStr">
        <is>
          <t>N/D</t>
        </is>
      </c>
      <c r="E50" s="9" t="inlineStr">
        <is>
          <t>SG-567, SG-2711</t>
        </is>
      </c>
      <c r="F50" s="10" t="n">
        <v>61</v>
      </c>
      <c r="G50" s="11" t="n"/>
      <c r="H50" s="11" t="n"/>
      <c r="I50" s="11" t="n"/>
      <c r="J50" s="12" t="n"/>
      <c r="K50" s="12" t="n"/>
      <c r="L50" s="11" t="n"/>
      <c r="M50" s="11" t="n"/>
      <c r="N50" s="11" t="n"/>
      <c r="O50" s="13">
        <f>IF(OR(K50="",J50=""),"",K50-J50)</f>
        <v/>
      </c>
      <c r="P50" s="14">
        <f>IF(OR(K50="",J50="",J50=0),"",(K50-J50)/J50)</f>
        <v/>
      </c>
      <c r="Q50" s="15">
        <f>IF(P50="","",IF(P50&lt;-0.05,"Moins cher",IF(P50&gt;0.05,"Plus cher","Équivalent")))</f>
        <v/>
      </c>
    </row>
    <row r="51">
      <c r="A51" s="16" t="inlineStr">
        <is>
          <t>SG-E001</t>
        </is>
      </c>
      <c r="B51" s="16" t="inlineStr">
        <is>
          <t>Tête de brosse</t>
        </is>
      </c>
      <c r="C51" s="16" t="inlineStr">
        <is>
          <t>Tête rotative</t>
        </is>
      </c>
      <c r="D51" s="24" t="inlineStr">
        <is>
          <t>N/D</t>
        </is>
      </c>
      <c r="E51" s="20" t="inlineStr">
        <is>
          <t>SG-913, SG-2004</t>
        </is>
      </c>
      <c r="F51" s="21" t="n">
        <v>67</v>
      </c>
      <c r="G51" s="11" t="n"/>
      <c r="H51" s="11" t="n"/>
      <c r="I51" s="11" t="n"/>
      <c r="J51" s="12" t="n"/>
      <c r="K51" s="12" t="n"/>
      <c r="L51" s="11" t="n"/>
      <c r="M51" s="11" t="n"/>
      <c r="N51" s="11" t="n"/>
      <c r="O51" s="13">
        <f>IF(OR(K51="",J51=""),"",K51-J51)</f>
        <v/>
      </c>
      <c r="P51" s="14">
        <f>IF(OR(K51="",J51="",J51=0),"",(K51-J51)/J51)</f>
        <v/>
      </c>
      <c r="Q51" s="15">
        <f>IF(P51="","",IF(P51&lt;-0.05,"Moins cher",IF(P51&gt;0.05,"Plus cher","Équivalent")))</f>
        <v/>
      </c>
    </row>
    <row r="52">
      <c r="A52" s="4" t="inlineStr">
        <is>
          <t>SG-E002</t>
        </is>
      </c>
      <c r="B52" s="4" t="inlineStr">
        <is>
          <t>Tête de brosse</t>
        </is>
      </c>
      <c r="C52" s="4" t="inlineStr">
        <is>
          <t>Tête rotative</t>
        </is>
      </c>
      <c r="D52" s="27" t="inlineStr">
        <is>
          <t>N/D</t>
        </is>
      </c>
      <c r="E52" s="9" t="inlineStr">
        <is>
          <t>SG-913, SG-2004</t>
        </is>
      </c>
      <c r="F52" s="10" t="n">
        <v>67</v>
      </c>
      <c r="G52" s="11" t="n"/>
      <c r="H52" s="11" t="n"/>
      <c r="I52" s="11" t="n"/>
      <c r="J52" s="12" t="n"/>
      <c r="K52" s="12" t="n"/>
      <c r="L52" s="11" t="n"/>
      <c r="M52" s="11" t="n"/>
      <c r="N52" s="11" t="n"/>
      <c r="O52" s="13">
        <f>IF(OR(K52="",J52=""),"",K52-J52)</f>
        <v/>
      </c>
      <c r="P52" s="14">
        <f>IF(OR(K52="",J52="",J52=0),"",(K52-J52)/J52)</f>
        <v/>
      </c>
      <c r="Q52" s="15">
        <f>IF(P52="","",IF(P52&lt;-0.05,"Moins cher",IF(P52&gt;0.05,"Plus cher","Équivalent")))</f>
        <v/>
      </c>
    </row>
    <row r="53">
      <c r="A53" s="16" t="inlineStr">
        <is>
          <t>SG-F930</t>
        </is>
      </c>
      <c r="B53" s="16" t="inlineStr">
        <is>
          <t>Tête de brosse</t>
        </is>
      </c>
      <c r="C53" s="16" t="inlineStr">
        <is>
          <t>Tête rotative</t>
        </is>
      </c>
      <c r="D53" s="24" t="inlineStr">
        <is>
          <t>N/D</t>
        </is>
      </c>
      <c r="E53" s="20" t="inlineStr">
        <is>
          <t>SG-930, SG-587, SG-533, SG-2602</t>
        </is>
      </c>
      <c r="F53" s="21" t="n">
        <v>67</v>
      </c>
      <c r="G53" s="11" t="n"/>
      <c r="H53" s="11" t="n"/>
      <c r="I53" s="11" t="n"/>
      <c r="J53" s="12" t="n"/>
      <c r="K53" s="12" t="n"/>
      <c r="L53" s="11" t="n"/>
      <c r="M53" s="11" t="n"/>
      <c r="N53" s="11" t="n"/>
      <c r="O53" s="13">
        <f>IF(OR(K53="",J53=""),"",K53-J53)</f>
        <v/>
      </c>
      <c r="P53" s="14">
        <f>IF(OR(K53="",J53="",J53=0),"",(K53-J53)/J53)</f>
        <v/>
      </c>
      <c r="Q53" s="15">
        <f>IF(P53="","",IF(P53&lt;-0.05,"Moins cher",IF(P53&gt;0.05,"Plus cher","Équivalent")))</f>
        <v/>
      </c>
    </row>
    <row r="54">
      <c r="A54" s="4" t="inlineStr">
        <is>
          <t>SG-F084</t>
        </is>
      </c>
      <c r="B54" s="4" t="inlineStr">
        <is>
          <t>Tête de brosse</t>
        </is>
      </c>
      <c r="C54" s="4" t="inlineStr">
        <is>
          <t>Tête rotative</t>
        </is>
      </c>
      <c r="D54" s="27" t="inlineStr">
        <is>
          <t>N/D</t>
        </is>
      </c>
      <c r="E54" s="9" t="inlineStr">
        <is>
          <t>SG-930, SG-587, SG-533, SG-2602</t>
        </is>
      </c>
      <c r="F54" s="10" t="n">
        <v>67</v>
      </c>
      <c r="G54" s="11" t="n"/>
      <c r="H54" s="11" t="n"/>
      <c r="I54" s="11" t="n"/>
      <c r="J54" s="12" t="n"/>
      <c r="K54" s="12" t="n"/>
      <c r="L54" s="11" t="n"/>
      <c r="M54" s="11" t="n"/>
      <c r="N54" s="11" t="n"/>
      <c r="O54" s="13">
        <f>IF(OR(K54="",J54=""),"",K54-J54)</f>
        <v/>
      </c>
      <c r="P54" s="14">
        <f>IF(OR(K54="",J54="",J54=0),"",(K54-J54)/J54)</f>
        <v/>
      </c>
      <c r="Q54" s="15">
        <f>IF(P54="","",IF(P54&lt;-0.05,"Moins cher",IF(P54&gt;0.05,"Plus cher","Équivalent")))</f>
        <v/>
      </c>
    </row>
    <row r="55">
      <c r="A55" s="16" t="inlineStr">
        <is>
          <t>SG-P001</t>
        </is>
      </c>
      <c r="B55" s="16" t="inlineStr">
        <is>
          <t>Buse hydropulseur</t>
        </is>
      </c>
      <c r="C55" s="16" t="inlineStr">
        <is>
          <t>Buse standard (ligne gingivale, usage quotidien)</t>
        </is>
      </c>
      <c r="D55" s="24" t="inlineStr">
        <is>
          <t>N/D</t>
        </is>
      </c>
      <c r="E55" s="20" t="inlineStr">
        <is>
          <t>Hydropulseurs SEAGO</t>
        </is>
      </c>
      <c r="F55" s="21" t="n">
        <v>100</v>
      </c>
      <c r="G55" s="11" t="n"/>
      <c r="H55" s="11" t="n"/>
      <c r="I55" s="11" t="n"/>
      <c r="J55" s="12" t="n"/>
      <c r="K55" s="12" t="n"/>
      <c r="L55" s="11" t="n"/>
      <c r="M55" s="11" t="n"/>
      <c r="N55" s="11" t="n"/>
      <c r="O55" s="13">
        <f>IF(OR(K55="",J55=""),"",K55-J55)</f>
        <v/>
      </c>
      <c r="P55" s="14">
        <f>IF(OR(K55="",J55="",J55=0),"",(K55-J55)/J55)</f>
        <v/>
      </c>
      <c r="Q55" s="15">
        <f>IF(P55="","",IF(P55&lt;-0.05,"Moins cher",IF(P55&gt;0.05,"Plus cher","Équivalent")))</f>
        <v/>
      </c>
    </row>
    <row r="56">
      <c r="A56" s="4" t="inlineStr">
        <is>
          <t>SG-P002</t>
        </is>
      </c>
      <c r="B56" s="4" t="inlineStr">
        <is>
          <t>Buse hydropulseur</t>
        </is>
      </c>
      <c r="C56" s="4" t="inlineStr">
        <is>
          <t>Gratte-langue</t>
        </is>
      </c>
      <c r="D56" s="27" t="inlineStr">
        <is>
          <t>N/D</t>
        </is>
      </c>
      <c r="E56" s="9" t="inlineStr">
        <is>
          <t>Hydropulseurs SEAGO</t>
        </is>
      </c>
      <c r="F56" s="10" t="n">
        <v>100</v>
      </c>
      <c r="G56" s="11" t="n"/>
      <c r="H56" s="11" t="n"/>
      <c r="I56" s="11" t="n"/>
      <c r="J56" s="12" t="n"/>
      <c r="K56" s="12" t="n"/>
      <c r="L56" s="11" t="n"/>
      <c r="M56" s="11" t="n"/>
      <c r="N56" s="11" t="n"/>
      <c r="O56" s="13">
        <f>IF(OR(K56="",J56=""),"",K56-J56)</f>
        <v/>
      </c>
      <c r="P56" s="14">
        <f>IF(OR(K56="",J56="",J56=0),"",(K56-J56)/J56)</f>
        <v/>
      </c>
      <c r="Q56" s="15">
        <f>IF(P56="","",IF(P56&lt;-0.05,"Moins cher",IF(P56&gt;0.05,"Plus cher","Équivalent")))</f>
        <v/>
      </c>
    </row>
    <row r="57">
      <c r="A57" s="16" t="inlineStr">
        <is>
          <t>SG-P003</t>
        </is>
      </c>
      <c r="B57" s="16" t="inlineStr">
        <is>
          <t>Buse hydropulseur</t>
        </is>
      </c>
      <c r="C57" s="16" t="inlineStr">
        <is>
          <t>Buse spray nasal</t>
        </is>
      </c>
      <c r="D57" s="24" t="inlineStr">
        <is>
          <t>N/D</t>
        </is>
      </c>
      <c r="E57" s="20" t="inlineStr">
        <is>
          <t>Hydropulseurs SEAGO</t>
        </is>
      </c>
      <c r="F57" s="21" t="n">
        <v>100</v>
      </c>
      <c r="G57" s="11" t="n"/>
      <c r="H57" s="11" t="n"/>
      <c r="I57" s="11" t="n"/>
      <c r="J57" s="12" t="n"/>
      <c r="K57" s="12" t="n"/>
      <c r="L57" s="11" t="n"/>
      <c r="M57" s="11" t="n"/>
      <c r="N57" s="11" t="n"/>
      <c r="O57" s="13">
        <f>IF(OR(K57="",J57=""),"",K57-J57)</f>
        <v/>
      </c>
      <c r="P57" s="14">
        <f>IF(OR(K57="",J57="",J57=0),"",(K57-J57)/J57)</f>
        <v/>
      </c>
      <c r="Q57" s="15">
        <f>IF(P57="","",IF(P57&lt;-0.05,"Moins cher",IF(P57&gt;0.05,"Plus cher","Équivalent")))</f>
        <v/>
      </c>
    </row>
    <row r="58">
      <c r="A58" s="4" t="inlineStr">
        <is>
          <t>SG-P004</t>
        </is>
      </c>
      <c r="B58" s="4" t="inlineStr">
        <is>
          <t>Buse hydropulseur</t>
        </is>
      </c>
      <c r="C58" s="4" t="inlineStr">
        <is>
          <t>Buse poche parodontale</t>
        </is>
      </c>
      <c r="D58" s="27" t="inlineStr">
        <is>
          <t>N/D</t>
        </is>
      </c>
      <c r="E58" s="9" t="inlineStr">
        <is>
          <t>Hydropulseurs SEAGO</t>
        </is>
      </c>
      <c r="F58" s="10" t="n">
        <v>100</v>
      </c>
      <c r="G58" s="11" t="n"/>
      <c r="H58" s="11" t="n"/>
      <c r="I58" s="11" t="n"/>
      <c r="J58" s="12" t="n"/>
      <c r="K58" s="12" t="n"/>
      <c r="L58" s="11" t="n"/>
      <c r="M58" s="11" t="n"/>
      <c r="N58" s="11" t="n"/>
      <c r="O58" s="13">
        <f>IF(OR(K58="",J58=""),"",K58-J58)</f>
        <v/>
      </c>
      <c r="P58" s="14">
        <f>IF(OR(K58="",J58="",J58=0),"",(K58-J58)/J58)</f>
        <v/>
      </c>
      <c r="Q58" s="15">
        <f>IF(P58="","",IF(P58&lt;-0.05,"Moins cher",IF(P58&gt;0.05,"Plus cher","Équivalent")))</f>
        <v/>
      </c>
    </row>
    <row r="59">
      <c r="A59" s="16" t="inlineStr">
        <is>
          <t>SG-P006</t>
        </is>
      </c>
      <c r="B59" s="16" t="inlineStr">
        <is>
          <t>Buse hydropulseur</t>
        </is>
      </c>
      <c r="C59" s="16" t="inlineStr">
        <is>
          <t>Buse orthodontique (bagues, prothèses)</t>
        </is>
      </c>
      <c r="D59" s="24" t="inlineStr">
        <is>
          <t>N/D</t>
        </is>
      </c>
      <c r="E59" s="20" t="inlineStr">
        <is>
          <t>Hydropulseurs SEAGO</t>
        </is>
      </c>
      <c r="F59" s="21" t="n">
        <v>100</v>
      </c>
      <c r="G59" s="11" t="n"/>
      <c r="H59" s="11" t="n"/>
      <c r="I59" s="11" t="n"/>
      <c r="J59" s="12" t="n"/>
      <c r="K59" s="12" t="n"/>
      <c r="L59" s="11" t="n"/>
      <c r="M59" s="11" t="n"/>
      <c r="N59" s="11" t="n"/>
      <c r="O59" s="13">
        <f>IF(OR(K59="",J59=""),"",K59-J59)</f>
        <v/>
      </c>
      <c r="P59" s="14">
        <f>IF(OR(K59="",J59="",J59=0),"",(K59-J59)/J59)</f>
        <v/>
      </c>
      <c r="Q59" s="15">
        <f>IF(P59="","",IF(P59&lt;-0.05,"Moins cher",IF(P59&gt;0.05,"Plus cher","Équivalent")))</f>
        <v/>
      </c>
    </row>
    <row r="60">
      <c r="A60" s="4" t="inlineStr">
        <is>
          <t>SG-P010</t>
        </is>
      </c>
      <c r="B60" s="4" t="inlineStr">
        <is>
          <t>Buse hydropulseur</t>
        </is>
      </c>
      <c r="C60" s="4" t="inlineStr">
        <is>
          <t>Buse tornade (effet tourbillon)</t>
        </is>
      </c>
      <c r="D60" s="27" t="inlineStr">
        <is>
          <t>N/D</t>
        </is>
      </c>
      <c r="E60" s="9" t="inlineStr">
        <is>
          <t>Hydropulseurs SEAGO</t>
        </is>
      </c>
      <c r="F60" s="10" t="n">
        <v>100</v>
      </c>
      <c r="G60" s="11" t="n"/>
      <c r="H60" s="11" t="n"/>
      <c r="I60" s="11" t="n"/>
      <c r="J60" s="12" t="n"/>
      <c r="K60" s="12" t="n"/>
      <c r="L60" s="11" t="n"/>
      <c r="M60" s="11" t="n"/>
      <c r="N60" s="11" t="n"/>
      <c r="O60" s="13">
        <f>IF(OR(K60="",J60=""),"",K60-J60)</f>
        <v/>
      </c>
      <c r="P60" s="14">
        <f>IF(OR(K60="",J60="",J60=0),"",(K60-J60)/J60)</f>
        <v/>
      </c>
      <c r="Q60" s="15">
        <f>IF(P60="","",IF(P60&lt;-0.05,"Moins cher",IF(P60&gt;0.05,"Plus cher","Équivalent")))</f>
        <v/>
      </c>
    </row>
    <row r="61">
      <c r="A61" s="28" t="n"/>
      <c r="B61" s="28" t="n"/>
      <c r="C61" s="28" t="n"/>
      <c r="D61" s="28" t="n"/>
      <c r="E61" s="28" t="n"/>
      <c r="F61" s="28" t="n"/>
      <c r="G61" s="11" t="n"/>
      <c r="H61" s="11" t="n"/>
      <c r="I61" s="11" t="n"/>
      <c r="J61" s="12" t="n"/>
      <c r="K61" s="12" t="n"/>
      <c r="L61" s="11" t="n"/>
      <c r="M61" s="11" t="n"/>
      <c r="N61" s="11" t="n"/>
      <c r="O61" s="13">
        <f>IF(OR(K61="",J61=""),"",K61-J61)</f>
        <v/>
      </c>
      <c r="P61" s="14">
        <f>IF(OR(K61="",J61="",J61=0),"",(K61-J61)/J61)</f>
        <v/>
      </c>
      <c r="Q61" s="15">
        <f>IF(P61="","",IF(P61&lt;-0.05,"Moins cher",IF(P61&gt;0.05,"Plus cher","Équivalent")))</f>
        <v/>
      </c>
    </row>
    <row r="62">
      <c r="A62" s="28" t="n"/>
      <c r="B62" s="28" t="n"/>
      <c r="C62" s="28" t="n"/>
      <c r="D62" s="28" t="n"/>
      <c r="E62" s="28" t="n"/>
      <c r="F62" s="28" t="n"/>
      <c r="G62" s="11" t="n"/>
      <c r="H62" s="11" t="n"/>
      <c r="I62" s="11" t="n"/>
      <c r="J62" s="12" t="n"/>
      <c r="K62" s="12" t="n"/>
      <c r="L62" s="11" t="n"/>
      <c r="M62" s="11" t="n"/>
      <c r="N62" s="11" t="n"/>
      <c r="O62" s="13">
        <f>IF(OR(K62="",J62=""),"",K62-J62)</f>
        <v/>
      </c>
      <c r="P62" s="14">
        <f>IF(OR(K62="",J62="",J62=0),"",(K62-J62)/J62)</f>
        <v/>
      </c>
      <c r="Q62" s="15">
        <f>IF(P62="","",IF(P62&lt;-0.05,"Moins cher",IF(P62&gt;0.05,"Plus cher","Équivalent")))</f>
        <v/>
      </c>
    </row>
    <row r="63">
      <c r="A63" s="28" t="n"/>
      <c r="B63" s="28" t="n"/>
      <c r="C63" s="28" t="n"/>
      <c r="D63" s="28" t="n"/>
      <c r="E63" s="28" t="n"/>
      <c r="F63" s="28" t="n"/>
      <c r="G63" s="11" t="n"/>
      <c r="H63" s="11" t="n"/>
      <c r="I63" s="11" t="n"/>
      <c r="J63" s="12" t="n"/>
      <c r="K63" s="12" t="n"/>
      <c r="L63" s="11" t="n"/>
      <c r="M63" s="11" t="n"/>
      <c r="N63" s="11" t="n"/>
      <c r="O63" s="13">
        <f>IF(OR(K63="",J63=""),"",K63-J63)</f>
        <v/>
      </c>
      <c r="P63" s="14">
        <f>IF(OR(K63="",J63="",J63=0),"",(K63-J63)/J63)</f>
        <v/>
      </c>
      <c r="Q63" s="15">
        <f>IF(P63="","",IF(P63&lt;-0.05,"Moins cher",IF(P63&gt;0.05,"Plus cher","Équivalent")))</f>
        <v/>
      </c>
    </row>
    <row r="64">
      <c r="A64" s="28" t="n"/>
      <c r="B64" s="28" t="n"/>
      <c r="C64" s="28" t="n"/>
      <c r="D64" s="28" t="n"/>
      <c r="E64" s="28" t="n"/>
      <c r="F64" s="28" t="n"/>
      <c r="G64" s="11" t="n"/>
      <c r="H64" s="11" t="n"/>
      <c r="I64" s="11" t="n"/>
      <c r="J64" s="12" t="n"/>
      <c r="K64" s="12" t="n"/>
      <c r="L64" s="11" t="n"/>
      <c r="M64" s="11" t="n"/>
      <c r="N64" s="11" t="n"/>
      <c r="O64" s="13">
        <f>IF(OR(K64="",J64=""),"",K64-J64)</f>
        <v/>
      </c>
      <c r="P64" s="14">
        <f>IF(OR(K64="",J64="",J64=0),"",(K64-J64)/J64)</f>
        <v/>
      </c>
      <c r="Q64" s="15">
        <f>IF(P64="","",IF(P64&lt;-0.05,"Moins cher",IF(P64&gt;0.05,"Plus cher","Équivalent")))</f>
        <v/>
      </c>
    </row>
    <row r="65">
      <c r="A65" s="28" t="n"/>
      <c r="B65" s="28" t="n"/>
      <c r="C65" s="28" t="n"/>
      <c r="D65" s="28" t="n"/>
      <c r="E65" s="28" t="n"/>
      <c r="F65" s="28" t="n"/>
      <c r="G65" s="11" t="n"/>
      <c r="H65" s="11" t="n"/>
      <c r="I65" s="11" t="n"/>
      <c r="J65" s="12" t="n"/>
      <c r="K65" s="12" t="n"/>
      <c r="L65" s="11" t="n"/>
      <c r="M65" s="11" t="n"/>
      <c r="N65" s="11" t="n"/>
      <c r="O65" s="13">
        <f>IF(OR(K65="",J65=""),"",K65-J65)</f>
        <v/>
      </c>
      <c r="P65" s="14">
        <f>IF(OR(K65="",J65="",J65=0),"",(K65-J65)/J65)</f>
        <v/>
      </c>
      <c r="Q65" s="15">
        <f>IF(P65="","",IF(P65&lt;-0.05,"Moins cher",IF(P65&gt;0.05,"Plus cher","Équivalent")))</f>
        <v/>
      </c>
    </row>
    <row r="66">
      <c r="A66" s="28" t="n"/>
      <c r="B66" s="28" t="n"/>
      <c r="C66" s="28" t="n"/>
      <c r="D66" s="28" t="n"/>
      <c r="E66" s="28" t="n"/>
      <c r="F66" s="28" t="n"/>
      <c r="G66" s="11" t="n"/>
      <c r="H66" s="11" t="n"/>
      <c r="I66" s="11" t="n"/>
      <c r="J66" s="12" t="n"/>
      <c r="K66" s="12" t="n"/>
      <c r="L66" s="11" t="n"/>
      <c r="M66" s="11" t="n"/>
      <c r="N66" s="11" t="n"/>
      <c r="O66" s="13">
        <f>IF(OR(K66="",J66=""),"",K66-J66)</f>
        <v/>
      </c>
      <c r="P66" s="14">
        <f>IF(OR(K66="",J66="",J66=0),"",(K66-J66)/J66)</f>
        <v/>
      </c>
      <c r="Q66" s="15">
        <f>IF(P66="","",IF(P66&lt;-0.05,"Moins cher",IF(P66&gt;0.05,"Plus cher","Équivalent")))</f>
        <v/>
      </c>
    </row>
    <row r="67">
      <c r="A67" s="28" t="n"/>
      <c r="B67" s="28" t="n"/>
      <c r="C67" s="28" t="n"/>
      <c r="D67" s="28" t="n"/>
      <c r="E67" s="28" t="n"/>
      <c r="F67" s="28" t="n"/>
      <c r="G67" s="11" t="n"/>
      <c r="H67" s="11" t="n"/>
      <c r="I67" s="11" t="n"/>
      <c r="J67" s="12" t="n"/>
      <c r="K67" s="12" t="n"/>
      <c r="L67" s="11" t="n"/>
      <c r="M67" s="11" t="n"/>
      <c r="N67" s="11" t="n"/>
      <c r="O67" s="13">
        <f>IF(OR(K67="",J67=""),"",K67-J67)</f>
        <v/>
      </c>
      <c r="P67" s="14">
        <f>IF(OR(K67="",J67="",J67=0),"",(K67-J67)/J67)</f>
        <v/>
      </c>
      <c r="Q67" s="15">
        <f>IF(P67="","",IF(P67&lt;-0.05,"Moins cher",IF(P67&gt;0.05,"Plus cher","Équivalent")))</f>
        <v/>
      </c>
    </row>
    <row r="68">
      <c r="A68" s="28" t="n"/>
      <c r="B68" s="28" t="n"/>
      <c r="C68" s="28" t="n"/>
      <c r="D68" s="28" t="n"/>
      <c r="E68" s="28" t="n"/>
      <c r="F68" s="28" t="n"/>
      <c r="G68" s="11" t="n"/>
      <c r="H68" s="11" t="n"/>
      <c r="I68" s="11" t="n"/>
      <c r="J68" s="12" t="n"/>
      <c r="K68" s="12" t="n"/>
      <c r="L68" s="11" t="n"/>
      <c r="M68" s="11" t="n"/>
      <c r="N68" s="11" t="n"/>
      <c r="O68" s="13">
        <f>IF(OR(K68="",J68=""),"",K68-J68)</f>
        <v/>
      </c>
      <c r="P68" s="14">
        <f>IF(OR(K68="",J68="",J68=0),"",(K68-J68)/J68)</f>
        <v/>
      </c>
      <c r="Q68" s="15">
        <f>IF(P68="","",IF(P68&lt;-0.05,"Moins cher",IF(P68&gt;0.05,"Plus cher","Équivalent")))</f>
        <v/>
      </c>
    </row>
    <row r="69">
      <c r="A69" s="28" t="n"/>
      <c r="B69" s="28" t="n"/>
      <c r="C69" s="28" t="n"/>
      <c r="D69" s="28" t="n"/>
      <c r="E69" s="28" t="n"/>
      <c r="F69" s="28" t="n"/>
      <c r="G69" s="11" t="n"/>
      <c r="H69" s="11" t="n"/>
      <c r="I69" s="11" t="n"/>
      <c r="J69" s="12" t="n"/>
      <c r="K69" s="12" t="n"/>
      <c r="L69" s="11" t="n"/>
      <c r="M69" s="11" t="n"/>
      <c r="N69" s="11" t="n"/>
      <c r="O69" s="13">
        <f>IF(OR(K69="",J69=""),"",K69-J69)</f>
        <v/>
      </c>
      <c r="P69" s="14">
        <f>IF(OR(K69="",J69="",J69=0),"",(K69-J69)/J69)</f>
        <v/>
      </c>
      <c r="Q69" s="15">
        <f>IF(P69="","",IF(P69&lt;-0.05,"Moins cher",IF(P69&gt;0.05,"Plus cher","Équivalent")))</f>
        <v/>
      </c>
    </row>
    <row r="70">
      <c r="A70" s="28" t="n"/>
      <c r="B70" s="28" t="n"/>
      <c r="C70" s="28" t="n"/>
      <c r="D70" s="28" t="n"/>
      <c r="E70" s="28" t="n"/>
      <c r="F70" s="28" t="n"/>
      <c r="G70" s="11" t="n"/>
      <c r="H70" s="11" t="n"/>
      <c r="I70" s="11" t="n"/>
      <c r="J70" s="12" t="n"/>
      <c r="K70" s="12" t="n"/>
      <c r="L70" s="11" t="n"/>
      <c r="M70" s="11" t="n"/>
      <c r="N70" s="11" t="n"/>
      <c r="O70" s="13">
        <f>IF(OR(K70="",J70=""),"",K70-J70)</f>
        <v/>
      </c>
      <c r="P70" s="14">
        <f>IF(OR(K70="",J70="",J70=0),"",(K70-J70)/J70)</f>
        <v/>
      </c>
      <c r="Q70" s="15">
        <f>IF(P70="","",IF(P70&lt;-0.05,"Moins cher",IF(P70&gt;0.05,"Plus cher","Équivalent")))</f>
        <v/>
      </c>
    </row>
    <row r="71">
      <c r="A71" s="28" t="n"/>
      <c r="B71" s="28" t="n"/>
      <c r="C71" s="28" t="n"/>
      <c r="D71" s="28" t="n"/>
      <c r="E71" s="28" t="n"/>
      <c r="F71" s="28" t="n"/>
      <c r="G71" s="11" t="n"/>
      <c r="H71" s="11" t="n"/>
      <c r="I71" s="11" t="n"/>
      <c r="J71" s="12" t="n"/>
      <c r="K71" s="12" t="n"/>
      <c r="L71" s="11" t="n"/>
      <c r="M71" s="11" t="n"/>
      <c r="N71" s="11" t="n"/>
      <c r="O71" s="13">
        <f>IF(OR(K71="",J71=""),"",K71-J71)</f>
        <v/>
      </c>
      <c r="P71" s="14">
        <f>IF(OR(K71="",J71="",J71=0),"",(K71-J71)/J71)</f>
        <v/>
      </c>
      <c r="Q71" s="15">
        <f>IF(P71="","",IF(P71&lt;-0.05,"Moins cher",IF(P71&gt;0.05,"Plus cher","Équivalent")))</f>
        <v/>
      </c>
    </row>
    <row r="72">
      <c r="A72" s="28" t="n"/>
      <c r="B72" s="28" t="n"/>
      <c r="C72" s="28" t="n"/>
      <c r="D72" s="28" t="n"/>
      <c r="E72" s="28" t="n"/>
      <c r="F72" s="28" t="n"/>
      <c r="G72" s="11" t="n"/>
      <c r="H72" s="11" t="n"/>
      <c r="I72" s="11" t="n"/>
      <c r="J72" s="12" t="n"/>
      <c r="K72" s="12" t="n"/>
      <c r="L72" s="11" t="n"/>
      <c r="M72" s="11" t="n"/>
      <c r="N72" s="11" t="n"/>
      <c r="O72" s="13">
        <f>IF(OR(K72="",J72=""),"",K72-J72)</f>
        <v/>
      </c>
      <c r="P72" s="14">
        <f>IF(OR(K72="",J72="",J72=0),"",(K72-J72)/J72)</f>
        <v/>
      </c>
      <c r="Q72" s="15">
        <f>IF(P72="","",IF(P72&lt;-0.05,"Moins cher",IF(P72&gt;0.05,"Plus cher","Équivalent")))</f>
        <v/>
      </c>
    </row>
    <row r="73">
      <c r="A73" s="28" t="n"/>
      <c r="B73" s="28" t="n"/>
      <c r="C73" s="28" t="n"/>
      <c r="D73" s="28" t="n"/>
      <c r="E73" s="28" t="n"/>
      <c r="F73" s="28" t="n"/>
      <c r="G73" s="11" t="n"/>
      <c r="H73" s="11" t="n"/>
      <c r="I73" s="11" t="n"/>
      <c r="J73" s="12" t="n"/>
      <c r="K73" s="12" t="n"/>
      <c r="L73" s="11" t="n"/>
      <c r="M73" s="11" t="n"/>
      <c r="N73" s="11" t="n"/>
      <c r="O73" s="13">
        <f>IF(OR(K73="",J73=""),"",K73-J73)</f>
        <v/>
      </c>
      <c r="P73" s="14">
        <f>IF(OR(K73="",J73="",J73=0),"",(K73-J73)/J73)</f>
        <v/>
      </c>
      <c r="Q73" s="15">
        <f>IF(P73="","",IF(P73&lt;-0.05,"Moins cher",IF(P73&gt;0.05,"Plus cher","Équivalent")))</f>
        <v/>
      </c>
    </row>
    <row r="74">
      <c r="A74" s="28" t="n"/>
      <c r="B74" s="28" t="n"/>
      <c r="C74" s="28" t="n"/>
      <c r="D74" s="28" t="n"/>
      <c r="E74" s="28" t="n"/>
      <c r="F74" s="28" t="n"/>
      <c r="G74" s="11" t="n"/>
      <c r="H74" s="11" t="n"/>
      <c r="I74" s="11" t="n"/>
      <c r="J74" s="12" t="n"/>
      <c r="K74" s="12" t="n"/>
      <c r="L74" s="11" t="n"/>
      <c r="M74" s="11" t="n"/>
      <c r="N74" s="11" t="n"/>
      <c r="O74" s="13">
        <f>IF(OR(K74="",J74=""),"",K74-J74)</f>
        <v/>
      </c>
      <c r="P74" s="14">
        <f>IF(OR(K74="",J74="",J74=0),"",(K74-J74)/J74)</f>
        <v/>
      </c>
      <c r="Q74" s="15">
        <f>IF(P74="","",IF(P74&lt;-0.05,"Moins cher",IF(P74&gt;0.05,"Plus cher","Équivalent")))</f>
        <v/>
      </c>
    </row>
    <row r="75">
      <c r="A75" s="28" t="n"/>
      <c r="B75" s="28" t="n"/>
      <c r="C75" s="28" t="n"/>
      <c r="D75" s="28" t="n"/>
      <c r="E75" s="28" t="n"/>
      <c r="F75" s="28" t="n"/>
      <c r="G75" s="11" t="n"/>
      <c r="H75" s="11" t="n"/>
      <c r="I75" s="11" t="n"/>
      <c r="J75" s="12" t="n"/>
      <c r="K75" s="12" t="n"/>
      <c r="L75" s="11" t="n"/>
      <c r="M75" s="11" t="n"/>
      <c r="N75" s="11" t="n"/>
      <c r="O75" s="13">
        <f>IF(OR(K75="",J75=""),"",K75-J75)</f>
        <v/>
      </c>
      <c r="P75" s="14">
        <f>IF(OR(K75="",J75="",J75=0),"",(K75-J75)/J75)</f>
        <v/>
      </c>
      <c r="Q75" s="15">
        <f>IF(P75="","",IF(P75&lt;-0.05,"Moins cher",IF(P75&gt;0.05,"Plus cher","Équivalent")))</f>
        <v/>
      </c>
    </row>
    <row r="76">
      <c r="A76" s="28" t="n"/>
      <c r="B76" s="28" t="n"/>
      <c r="C76" s="28" t="n"/>
      <c r="D76" s="28" t="n"/>
      <c r="E76" s="28" t="n"/>
      <c r="F76" s="28" t="n"/>
      <c r="G76" s="11" t="n"/>
      <c r="H76" s="11" t="n"/>
      <c r="I76" s="11" t="n"/>
      <c r="J76" s="12" t="n"/>
      <c r="K76" s="12" t="n"/>
      <c r="L76" s="11" t="n"/>
      <c r="M76" s="11" t="n"/>
      <c r="N76" s="11" t="n"/>
      <c r="O76" s="13">
        <f>IF(OR(K76="",J76=""),"",K76-J76)</f>
        <v/>
      </c>
      <c r="P76" s="14">
        <f>IF(OR(K76="",J76="",J76=0),"",(K76-J76)/J76)</f>
        <v/>
      </c>
      <c r="Q76" s="15">
        <f>IF(P76="","",IF(P76&lt;-0.05,"Moins cher",IF(P76&gt;0.05,"Plus cher","Équivalent")))</f>
        <v/>
      </c>
    </row>
    <row r="77">
      <c r="A77" s="28" t="n"/>
      <c r="B77" s="28" t="n"/>
      <c r="C77" s="28" t="n"/>
      <c r="D77" s="28" t="n"/>
      <c r="E77" s="28" t="n"/>
      <c r="F77" s="28" t="n"/>
      <c r="G77" s="11" t="n"/>
      <c r="H77" s="11" t="n"/>
      <c r="I77" s="11" t="n"/>
      <c r="J77" s="12" t="n"/>
      <c r="K77" s="12" t="n"/>
      <c r="L77" s="11" t="n"/>
      <c r="M77" s="11" t="n"/>
      <c r="N77" s="11" t="n"/>
      <c r="O77" s="13">
        <f>IF(OR(K77="",J77=""),"",K77-J77)</f>
        <v/>
      </c>
      <c r="P77" s="14">
        <f>IF(OR(K77="",J77="",J77=0),"",(K77-J77)/J77)</f>
        <v/>
      </c>
      <c r="Q77" s="15">
        <f>IF(P77="","",IF(P77&lt;-0.05,"Moins cher",IF(P77&gt;0.05,"Plus cher","Équivalent")))</f>
        <v/>
      </c>
    </row>
    <row r="78">
      <c r="A78" s="28" t="n"/>
      <c r="B78" s="28" t="n"/>
      <c r="C78" s="28" t="n"/>
      <c r="D78" s="28" t="n"/>
      <c r="E78" s="28" t="n"/>
      <c r="F78" s="28" t="n"/>
      <c r="G78" s="11" t="n"/>
      <c r="H78" s="11" t="n"/>
      <c r="I78" s="11" t="n"/>
      <c r="J78" s="12" t="n"/>
      <c r="K78" s="12" t="n"/>
      <c r="L78" s="11" t="n"/>
      <c r="M78" s="11" t="n"/>
      <c r="N78" s="11" t="n"/>
      <c r="O78" s="13">
        <f>IF(OR(K78="",J78=""),"",K78-J78)</f>
        <v/>
      </c>
      <c r="P78" s="14">
        <f>IF(OR(K78="",J78="",J78=0),"",(K78-J78)/J78)</f>
        <v/>
      </c>
      <c r="Q78" s="15">
        <f>IF(P78="","",IF(P78&lt;-0.05,"Moins cher",IF(P78&gt;0.05,"Plus cher","Équivalent")))</f>
        <v/>
      </c>
    </row>
    <row r="79">
      <c r="A79" s="28" t="n"/>
      <c r="B79" s="28" t="n"/>
      <c r="C79" s="28" t="n"/>
      <c r="D79" s="28" t="n"/>
      <c r="E79" s="28" t="n"/>
      <c r="F79" s="28" t="n"/>
      <c r="G79" s="11" t="n"/>
      <c r="H79" s="11" t="n"/>
      <c r="I79" s="11" t="n"/>
      <c r="J79" s="12" t="n"/>
      <c r="K79" s="12" t="n"/>
      <c r="L79" s="11" t="n"/>
      <c r="M79" s="11" t="n"/>
      <c r="N79" s="11" t="n"/>
      <c r="O79" s="13">
        <f>IF(OR(K79="",J79=""),"",K79-J79)</f>
        <v/>
      </c>
      <c r="P79" s="14">
        <f>IF(OR(K79="",J79="",J79=0),"",(K79-J79)/J79)</f>
        <v/>
      </c>
      <c r="Q79" s="15">
        <f>IF(P79="","",IF(P79&lt;-0.05,"Moins cher",IF(P79&gt;0.05,"Plus cher","Équivalent")))</f>
        <v/>
      </c>
    </row>
    <row r="80">
      <c r="A80" s="28" t="n"/>
      <c r="B80" s="28" t="n"/>
      <c r="C80" s="28" t="n"/>
      <c r="D80" s="28" t="n"/>
      <c r="E80" s="28" t="n"/>
      <c r="F80" s="28" t="n"/>
      <c r="G80" s="11" t="n"/>
      <c r="H80" s="11" t="n"/>
      <c r="I80" s="11" t="n"/>
      <c r="J80" s="12" t="n"/>
      <c r="K80" s="12" t="n"/>
      <c r="L80" s="11" t="n"/>
      <c r="M80" s="11" t="n"/>
      <c r="N80" s="11" t="n"/>
      <c r="O80" s="13">
        <f>IF(OR(K80="",J80=""),"",K80-J80)</f>
        <v/>
      </c>
      <c r="P80" s="14">
        <f>IF(OR(K80="",J80="",J80=0),"",(K80-J80)/J80)</f>
        <v/>
      </c>
      <c r="Q80" s="15">
        <f>IF(P80="","",IF(P80&lt;-0.05,"Moins cher",IF(P80&gt;0.05,"Plus cher","Équivalent")))</f>
        <v/>
      </c>
    </row>
    <row r="81">
      <c r="A81" s="28" t="n"/>
      <c r="B81" s="28" t="n"/>
      <c r="C81" s="28" t="n"/>
      <c r="D81" s="28" t="n"/>
      <c r="E81" s="28" t="n"/>
      <c r="F81" s="28" t="n"/>
      <c r="G81" s="11" t="n"/>
      <c r="H81" s="11" t="n"/>
      <c r="I81" s="11" t="n"/>
      <c r="J81" s="12" t="n"/>
      <c r="K81" s="12" t="n"/>
      <c r="L81" s="11" t="n"/>
      <c r="M81" s="11" t="n"/>
      <c r="N81" s="11" t="n"/>
      <c r="O81" s="13">
        <f>IF(OR(K81="",J81=""),"",K81-J81)</f>
        <v/>
      </c>
      <c r="P81" s="14">
        <f>IF(OR(K81="",J81="",J81=0),"",(K81-J81)/J81)</f>
        <v/>
      </c>
      <c r="Q81" s="15">
        <f>IF(P81="","",IF(P81&lt;-0.05,"Moins cher",IF(P81&gt;0.05,"Plus cher","Équivalent")))</f>
        <v/>
      </c>
    </row>
    <row r="82">
      <c r="A82" s="28" t="n"/>
      <c r="B82" s="28" t="n"/>
      <c r="C82" s="28" t="n"/>
      <c r="D82" s="28" t="n"/>
      <c r="E82" s="28" t="n"/>
      <c r="F82" s="28" t="n"/>
      <c r="G82" s="11" t="n"/>
      <c r="H82" s="11" t="n"/>
      <c r="I82" s="11" t="n"/>
      <c r="J82" s="12" t="n"/>
      <c r="K82" s="12" t="n"/>
      <c r="L82" s="11" t="n"/>
      <c r="M82" s="11" t="n"/>
      <c r="N82" s="11" t="n"/>
      <c r="O82" s="13">
        <f>IF(OR(K82="",J82=""),"",K82-J82)</f>
        <v/>
      </c>
      <c r="P82" s="14">
        <f>IF(OR(K82="",J82="",J82=0),"",(K82-J82)/J82)</f>
        <v/>
      </c>
      <c r="Q82" s="15">
        <f>IF(P82="","",IF(P82&lt;-0.05,"Moins cher",IF(P82&gt;0.05,"Plus cher","Équivalent")))</f>
        <v/>
      </c>
    </row>
    <row r="83">
      <c r="A83" s="28" t="n"/>
      <c r="B83" s="28" t="n"/>
      <c r="C83" s="28" t="n"/>
      <c r="D83" s="28" t="n"/>
      <c r="E83" s="28" t="n"/>
      <c r="F83" s="28" t="n"/>
      <c r="G83" s="11" t="n"/>
      <c r="H83" s="11" t="n"/>
      <c r="I83" s="11" t="n"/>
      <c r="J83" s="12" t="n"/>
      <c r="K83" s="12" t="n"/>
      <c r="L83" s="11" t="n"/>
      <c r="M83" s="11" t="n"/>
      <c r="N83" s="11" t="n"/>
      <c r="O83" s="13">
        <f>IF(OR(K83="",J83=""),"",K83-J83)</f>
        <v/>
      </c>
      <c r="P83" s="14">
        <f>IF(OR(K83="",J83="",J83=0),"",(K83-J83)/J83)</f>
        <v/>
      </c>
      <c r="Q83" s="15">
        <f>IF(P83="","",IF(P83&lt;-0.05,"Moins cher",IF(P83&gt;0.05,"Plus cher","Équivalent")))</f>
        <v/>
      </c>
    </row>
    <row r="84">
      <c r="A84" s="28" t="n"/>
      <c r="B84" s="28" t="n"/>
      <c r="C84" s="28" t="n"/>
      <c r="D84" s="28" t="n"/>
      <c r="E84" s="28" t="n"/>
      <c r="F84" s="28" t="n"/>
      <c r="G84" s="11" t="n"/>
      <c r="H84" s="11" t="n"/>
      <c r="I84" s="11" t="n"/>
      <c r="J84" s="12" t="n"/>
      <c r="K84" s="12" t="n"/>
      <c r="L84" s="11" t="n"/>
      <c r="M84" s="11" t="n"/>
      <c r="N84" s="11" t="n"/>
      <c r="O84" s="13">
        <f>IF(OR(K84="",J84=""),"",K84-J84)</f>
        <v/>
      </c>
      <c r="P84" s="14">
        <f>IF(OR(K84="",J84="",J84=0),"",(K84-J84)/J84)</f>
        <v/>
      </c>
      <c r="Q84" s="15">
        <f>IF(P84="","",IF(P84&lt;-0.05,"Moins cher",IF(P84&gt;0.05,"Plus cher","Équivalent")))</f>
        <v/>
      </c>
    </row>
    <row r="85">
      <c r="A85" s="28" t="n"/>
      <c r="B85" s="28" t="n"/>
      <c r="C85" s="28" t="n"/>
      <c r="D85" s="28" t="n"/>
      <c r="E85" s="28" t="n"/>
      <c r="F85" s="28" t="n"/>
      <c r="G85" s="11" t="n"/>
      <c r="H85" s="11" t="n"/>
      <c r="I85" s="11" t="n"/>
      <c r="J85" s="12" t="n"/>
      <c r="K85" s="12" t="n"/>
      <c r="L85" s="11" t="n"/>
      <c r="M85" s="11" t="n"/>
      <c r="N85" s="11" t="n"/>
      <c r="O85" s="13">
        <f>IF(OR(K85="",J85=""),"",K85-J85)</f>
        <v/>
      </c>
      <c r="P85" s="14">
        <f>IF(OR(K85="",J85="",J85=0),"",(K85-J85)/J85)</f>
        <v/>
      </c>
      <c r="Q85" s="15">
        <f>IF(P85="","",IF(P85&lt;-0.05,"Moins cher",IF(P85&gt;0.05,"Plus cher","Équivalent")))</f>
        <v/>
      </c>
    </row>
    <row r="86">
      <c r="A86" s="28" t="n"/>
      <c r="B86" s="28" t="n"/>
      <c r="C86" s="28" t="n"/>
      <c r="D86" s="28" t="n"/>
      <c r="E86" s="28" t="n"/>
      <c r="F86" s="28" t="n"/>
      <c r="G86" s="11" t="n"/>
      <c r="H86" s="11" t="n"/>
      <c r="I86" s="11" t="n"/>
      <c r="J86" s="12" t="n"/>
      <c r="K86" s="12" t="n"/>
      <c r="L86" s="11" t="n"/>
      <c r="M86" s="11" t="n"/>
      <c r="N86" s="11" t="n"/>
      <c r="O86" s="13">
        <f>IF(OR(K86="",J86=""),"",K86-J86)</f>
        <v/>
      </c>
      <c r="P86" s="14">
        <f>IF(OR(K86="",J86="",J86=0),"",(K86-J86)/J86)</f>
        <v/>
      </c>
      <c r="Q86" s="15">
        <f>IF(P86="","",IF(P86&lt;-0.05,"Moins cher",IF(P86&gt;0.05,"Plus cher","Équivalent")))</f>
        <v/>
      </c>
    </row>
    <row r="87">
      <c r="A87" s="28" t="n"/>
      <c r="B87" s="28" t="n"/>
      <c r="C87" s="28" t="n"/>
      <c r="D87" s="28" t="n"/>
      <c r="E87" s="28" t="n"/>
      <c r="F87" s="28" t="n"/>
      <c r="G87" s="11" t="n"/>
      <c r="H87" s="11" t="n"/>
      <c r="I87" s="11" t="n"/>
      <c r="J87" s="12" t="n"/>
      <c r="K87" s="12" t="n"/>
      <c r="L87" s="11" t="n"/>
      <c r="M87" s="11" t="n"/>
      <c r="N87" s="11" t="n"/>
      <c r="O87" s="13">
        <f>IF(OR(K87="",J87=""),"",K87-J87)</f>
        <v/>
      </c>
      <c r="P87" s="14">
        <f>IF(OR(K87="",J87="",J87=0),"",(K87-J87)/J87)</f>
        <v/>
      </c>
      <c r="Q87" s="15">
        <f>IF(P87="","",IF(P87&lt;-0.05,"Moins cher",IF(P87&gt;0.05,"Plus cher","Équivalent")))</f>
        <v/>
      </c>
    </row>
    <row r="88">
      <c r="A88" s="28" t="n"/>
      <c r="B88" s="28" t="n"/>
      <c r="C88" s="28" t="n"/>
      <c r="D88" s="28" t="n"/>
      <c r="E88" s="28" t="n"/>
      <c r="F88" s="28" t="n"/>
      <c r="G88" s="11" t="n"/>
      <c r="H88" s="11" t="n"/>
      <c r="I88" s="11" t="n"/>
      <c r="J88" s="12" t="n"/>
      <c r="K88" s="12" t="n"/>
      <c r="L88" s="11" t="n"/>
      <c r="M88" s="11" t="n"/>
      <c r="N88" s="11" t="n"/>
      <c r="O88" s="13">
        <f>IF(OR(K88="",J88=""),"",K88-J88)</f>
        <v/>
      </c>
      <c r="P88" s="14">
        <f>IF(OR(K88="",J88="",J88=0),"",(K88-J88)/J88)</f>
        <v/>
      </c>
      <c r="Q88" s="15">
        <f>IF(P88="","",IF(P88&lt;-0.05,"Moins cher",IF(P88&gt;0.05,"Plus cher","Équivalent")))</f>
        <v/>
      </c>
    </row>
    <row r="89">
      <c r="A89" s="28" t="n"/>
      <c r="B89" s="28" t="n"/>
      <c r="C89" s="28" t="n"/>
      <c r="D89" s="28" t="n"/>
      <c r="E89" s="28" t="n"/>
      <c r="F89" s="28" t="n"/>
      <c r="G89" s="11" t="n"/>
      <c r="H89" s="11" t="n"/>
      <c r="I89" s="11" t="n"/>
      <c r="J89" s="12" t="n"/>
      <c r="K89" s="12" t="n"/>
      <c r="L89" s="11" t="n"/>
      <c r="M89" s="11" t="n"/>
      <c r="N89" s="11" t="n"/>
      <c r="O89" s="13">
        <f>IF(OR(K89="",J89=""),"",K89-J89)</f>
        <v/>
      </c>
      <c r="P89" s="14">
        <f>IF(OR(K89="",J89="",J89=0),"",(K89-J89)/J89)</f>
        <v/>
      </c>
      <c r="Q89" s="15">
        <f>IF(P89="","",IF(P89&lt;-0.05,"Moins cher",IF(P89&gt;0.05,"Plus cher","Équivalent")))</f>
        <v/>
      </c>
    </row>
    <row r="90">
      <c r="A90" s="28" t="n"/>
      <c r="B90" s="28" t="n"/>
      <c r="C90" s="28" t="n"/>
      <c r="D90" s="28" t="n"/>
      <c r="E90" s="28" t="n"/>
      <c r="F90" s="28" t="n"/>
      <c r="G90" s="11" t="n"/>
      <c r="H90" s="11" t="n"/>
      <c r="I90" s="11" t="n"/>
      <c r="J90" s="12" t="n"/>
      <c r="K90" s="12" t="n"/>
      <c r="L90" s="11" t="n"/>
      <c r="M90" s="11" t="n"/>
      <c r="N90" s="11" t="n"/>
      <c r="O90" s="13">
        <f>IF(OR(K90="",J90=""),"",K90-J90)</f>
        <v/>
      </c>
      <c r="P90" s="14">
        <f>IF(OR(K90="",J90="",J90=0),"",(K90-J90)/J90)</f>
        <v/>
      </c>
      <c r="Q90" s="15">
        <f>IF(P90="","",IF(P90&lt;-0.05,"Moins cher",IF(P90&gt;0.05,"Plus cher","Équivalent")))</f>
        <v/>
      </c>
    </row>
    <row r="91">
      <c r="A91" s="28" t="n"/>
      <c r="B91" s="28" t="n"/>
      <c r="C91" s="28" t="n"/>
      <c r="D91" s="28" t="n"/>
      <c r="E91" s="28" t="n"/>
      <c r="F91" s="28" t="n"/>
      <c r="G91" s="11" t="n"/>
      <c r="H91" s="11" t="n"/>
      <c r="I91" s="11" t="n"/>
      <c r="J91" s="12" t="n"/>
      <c r="K91" s="12" t="n"/>
      <c r="L91" s="11" t="n"/>
      <c r="M91" s="11" t="n"/>
      <c r="N91" s="11" t="n"/>
      <c r="O91" s="13">
        <f>IF(OR(K91="",J91=""),"",K91-J91)</f>
        <v/>
      </c>
      <c r="P91" s="14">
        <f>IF(OR(K91="",J91="",J91=0),"",(K91-J91)/J91)</f>
        <v/>
      </c>
      <c r="Q91" s="15">
        <f>IF(P91="","",IF(P91&lt;-0.05,"Moins cher",IF(P91&gt;0.05,"Plus cher","Équivalent")))</f>
        <v/>
      </c>
    </row>
    <row r="92">
      <c r="A92" s="28" t="n"/>
      <c r="B92" s="28" t="n"/>
      <c r="C92" s="28" t="n"/>
      <c r="D92" s="28" t="n"/>
      <c r="E92" s="28" t="n"/>
      <c r="F92" s="28" t="n"/>
      <c r="G92" s="11" t="n"/>
      <c r="H92" s="11" t="n"/>
      <c r="I92" s="11" t="n"/>
      <c r="J92" s="12" t="n"/>
      <c r="K92" s="12" t="n"/>
      <c r="L92" s="11" t="n"/>
      <c r="M92" s="11" t="n"/>
      <c r="N92" s="11" t="n"/>
      <c r="O92" s="13">
        <f>IF(OR(K92="",J92=""),"",K92-J92)</f>
        <v/>
      </c>
      <c r="P92" s="14">
        <f>IF(OR(K92="",J92="",J92=0),"",(K92-J92)/J92)</f>
        <v/>
      </c>
      <c r="Q92" s="15">
        <f>IF(P92="","",IF(P92&lt;-0.05,"Moins cher",IF(P92&gt;0.05,"Plus cher","Équivalent")))</f>
        <v/>
      </c>
    </row>
    <row r="93">
      <c r="A93" s="28" t="n"/>
      <c r="B93" s="28" t="n"/>
      <c r="C93" s="28" t="n"/>
      <c r="D93" s="28" t="n"/>
      <c r="E93" s="28" t="n"/>
      <c r="F93" s="28" t="n"/>
      <c r="G93" s="11" t="n"/>
      <c r="H93" s="11" t="n"/>
      <c r="I93" s="11" t="n"/>
      <c r="J93" s="12" t="n"/>
      <c r="K93" s="12" t="n"/>
      <c r="L93" s="11" t="n"/>
      <c r="M93" s="11" t="n"/>
      <c r="N93" s="11" t="n"/>
      <c r="O93" s="13">
        <f>IF(OR(K93="",J93=""),"",K93-J93)</f>
        <v/>
      </c>
      <c r="P93" s="14">
        <f>IF(OR(K93="",J93="",J93=0),"",(K93-J93)/J93)</f>
        <v/>
      </c>
      <c r="Q93" s="15">
        <f>IF(P93="","",IF(P93&lt;-0.05,"Moins cher",IF(P93&gt;0.05,"Plus cher","Équivalent")))</f>
        <v/>
      </c>
    </row>
    <row r="94">
      <c r="A94" s="28" t="n"/>
      <c r="B94" s="28" t="n"/>
      <c r="C94" s="28" t="n"/>
      <c r="D94" s="28" t="n"/>
      <c r="E94" s="28" t="n"/>
      <c r="F94" s="28" t="n"/>
      <c r="G94" s="11" t="n"/>
      <c r="H94" s="11" t="n"/>
      <c r="I94" s="11" t="n"/>
      <c r="J94" s="12" t="n"/>
      <c r="K94" s="12" t="n"/>
      <c r="L94" s="11" t="n"/>
      <c r="M94" s="11" t="n"/>
      <c r="N94" s="11" t="n"/>
      <c r="O94" s="13">
        <f>IF(OR(K94="",J94=""),"",K94-J94)</f>
        <v/>
      </c>
      <c r="P94" s="14">
        <f>IF(OR(K94="",J94="",J94=0),"",(K94-J94)/J94)</f>
        <v/>
      </c>
      <c r="Q94" s="15">
        <f>IF(P94="","",IF(P94&lt;-0.05,"Moins cher",IF(P94&gt;0.05,"Plus cher","Équivalent")))</f>
        <v/>
      </c>
    </row>
    <row r="95">
      <c r="A95" s="28" t="n"/>
      <c r="B95" s="28" t="n"/>
      <c r="C95" s="28" t="n"/>
      <c r="D95" s="28" t="n"/>
      <c r="E95" s="28" t="n"/>
      <c r="F95" s="28" t="n"/>
      <c r="G95" s="11" t="n"/>
      <c r="H95" s="11" t="n"/>
      <c r="I95" s="11" t="n"/>
      <c r="J95" s="12" t="n"/>
      <c r="K95" s="12" t="n"/>
      <c r="L95" s="11" t="n"/>
      <c r="M95" s="11" t="n"/>
      <c r="N95" s="11" t="n"/>
      <c r="O95" s="13">
        <f>IF(OR(K95="",J95=""),"",K95-J95)</f>
        <v/>
      </c>
      <c r="P95" s="14">
        <f>IF(OR(K95="",J95="",J95=0),"",(K95-J95)/J95)</f>
        <v/>
      </c>
      <c r="Q95" s="15">
        <f>IF(P95="","",IF(P95&lt;-0.05,"Moins cher",IF(P95&gt;0.05,"Plus cher","Équivalent")))</f>
        <v/>
      </c>
    </row>
    <row r="96">
      <c r="A96" s="28" t="n"/>
      <c r="B96" s="28" t="n"/>
      <c r="C96" s="28" t="n"/>
      <c r="D96" s="28" t="n"/>
      <c r="E96" s="28" t="n"/>
      <c r="F96" s="28" t="n"/>
      <c r="G96" s="11" t="n"/>
      <c r="H96" s="11" t="n"/>
      <c r="I96" s="11" t="n"/>
      <c r="J96" s="12" t="n"/>
      <c r="K96" s="12" t="n"/>
      <c r="L96" s="11" t="n"/>
      <c r="M96" s="11" t="n"/>
      <c r="N96" s="11" t="n"/>
      <c r="O96" s="13">
        <f>IF(OR(K96="",J96=""),"",K96-J96)</f>
        <v/>
      </c>
      <c r="P96" s="14">
        <f>IF(OR(K96="",J96="",J96=0),"",(K96-J96)/J96)</f>
        <v/>
      </c>
      <c r="Q96" s="15">
        <f>IF(P96="","",IF(P96&lt;-0.05,"Moins cher",IF(P96&gt;0.05,"Plus cher","Équivalent")))</f>
        <v/>
      </c>
    </row>
    <row r="97">
      <c r="A97" s="28" t="n"/>
      <c r="B97" s="28" t="n"/>
      <c r="C97" s="28" t="n"/>
      <c r="D97" s="28" t="n"/>
      <c r="E97" s="28" t="n"/>
      <c r="F97" s="28" t="n"/>
      <c r="G97" s="11" t="n"/>
      <c r="H97" s="11" t="n"/>
      <c r="I97" s="11" t="n"/>
      <c r="J97" s="12" t="n"/>
      <c r="K97" s="12" t="n"/>
      <c r="L97" s="11" t="n"/>
      <c r="M97" s="11" t="n"/>
      <c r="N97" s="11" t="n"/>
      <c r="O97" s="13">
        <f>IF(OR(K97="",J97=""),"",K97-J97)</f>
        <v/>
      </c>
      <c r="P97" s="14">
        <f>IF(OR(K97="",J97="",J97=0),"",(K97-J97)/J97)</f>
        <v/>
      </c>
      <c r="Q97" s="15">
        <f>IF(P97="","",IF(P97&lt;-0.05,"Moins cher",IF(P97&gt;0.05,"Plus cher","Équivalent")))</f>
        <v/>
      </c>
    </row>
    <row r="98">
      <c r="A98" s="28" t="n"/>
      <c r="B98" s="28" t="n"/>
      <c r="C98" s="28" t="n"/>
      <c r="D98" s="28" t="n"/>
      <c r="E98" s="28" t="n"/>
      <c r="F98" s="28" t="n"/>
      <c r="G98" s="11" t="n"/>
      <c r="H98" s="11" t="n"/>
      <c r="I98" s="11" t="n"/>
      <c r="J98" s="12" t="n"/>
      <c r="K98" s="12" t="n"/>
      <c r="L98" s="11" t="n"/>
      <c r="M98" s="11" t="n"/>
      <c r="N98" s="11" t="n"/>
      <c r="O98" s="13">
        <f>IF(OR(K98="",J98=""),"",K98-J98)</f>
        <v/>
      </c>
      <c r="P98" s="14">
        <f>IF(OR(K98="",J98="",J98=0),"",(K98-J98)/J98)</f>
        <v/>
      </c>
      <c r="Q98" s="15">
        <f>IF(P98="","",IF(P98&lt;-0.05,"Moins cher",IF(P98&gt;0.05,"Plus cher","Équivalent")))</f>
        <v/>
      </c>
    </row>
    <row r="99">
      <c r="A99" s="28" t="n"/>
      <c r="B99" s="28" t="n"/>
      <c r="C99" s="28" t="n"/>
      <c r="D99" s="28" t="n"/>
      <c r="E99" s="28" t="n"/>
      <c r="F99" s="28" t="n"/>
      <c r="G99" s="11" t="n"/>
      <c r="H99" s="11" t="n"/>
      <c r="I99" s="11" t="n"/>
      <c r="J99" s="12" t="n"/>
      <c r="K99" s="12" t="n"/>
      <c r="L99" s="11" t="n"/>
      <c r="M99" s="11" t="n"/>
      <c r="N99" s="11" t="n"/>
      <c r="O99" s="13">
        <f>IF(OR(K99="",J99=""),"",K99-J99)</f>
        <v/>
      </c>
      <c r="P99" s="14">
        <f>IF(OR(K99="",J99="",J99=0),"",(K99-J99)/J99)</f>
        <v/>
      </c>
      <c r="Q99" s="15">
        <f>IF(P99="","",IF(P99&lt;-0.05,"Moins cher",IF(P99&gt;0.05,"Plus cher","Équivalent")))</f>
        <v/>
      </c>
    </row>
    <row r="100">
      <c r="A100" s="28" t="n"/>
      <c r="B100" s="28" t="n"/>
      <c r="C100" s="28" t="n"/>
      <c r="D100" s="28" t="n"/>
      <c r="E100" s="28" t="n"/>
      <c r="F100" s="28" t="n"/>
      <c r="G100" s="11" t="n"/>
      <c r="H100" s="11" t="n"/>
      <c r="I100" s="11" t="n"/>
      <c r="J100" s="12" t="n"/>
      <c r="K100" s="12" t="n"/>
      <c r="L100" s="11" t="n"/>
      <c r="M100" s="11" t="n"/>
      <c r="N100" s="11" t="n"/>
      <c r="O100" s="13">
        <f>IF(OR(K100="",J100=""),"",K100-J100)</f>
        <v/>
      </c>
      <c r="P100" s="14">
        <f>IF(OR(K100="",J100="",J100=0),"",(K100-J100)/J100)</f>
        <v/>
      </c>
      <c r="Q100" s="15">
        <f>IF(P100="","",IF(P100&lt;-0.05,"Moins cher",IF(P100&gt;0.05,"Plus cher","Équivalent")))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A1:Q100"/>
  <conditionalFormatting sqref="P2:P100">
    <cfRule type="cellIs" priority="1" operator="greaterThan" dxfId="0">
      <formula>0.05</formula>
    </cfRule>
    <cfRule type="cellIs" priority="2" operator="lessThan" dxfId="1">
      <formula>-0.05</formula>
    </cfRule>
    <cfRule type="cellIs" priority="3" operator="between" dxfId="2">
      <formula>-0.05</formula>
      <formula>0.05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2026-09-01T13:54:54Z</dcterms:created>
  <dcterms:modified xsi:type="dcterms:W3CDTF">2026-09-01T13:54:54Z</dcterms:modified>
</cp:coreProperties>
</file>