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élection Atome" sheetId="1" state="visible" r:id="rId1"/>
    <sheet name="Brosses à dents" sheetId="2" state="visible" r:id="rId2"/>
    <sheet name="Hydropulseurs" sheetId="3" state="visible" r:id="rId3"/>
    <sheet name="Têtes de rechange" sheetId="4" state="visible" r:id="rId4"/>
    <sheet name="Concurrents" sheetId="5" state="visible" r:id="rId5"/>
    <sheet name="Relevé prix" sheetId="6" state="visible" r:id="rId6"/>
  </sheets>
  <definedNames>
    <definedName name="_xlnm._FilterDatabase" localSheetId="1" hidden="1">'Brosses à dents'!$A$1:$AQ$147</definedName>
    <definedName name="_xlnm._FilterDatabase" localSheetId="2" hidden="1">'Hydropulseurs'!$A$1:$AM$42</definedName>
    <definedName name="_xlnm._FilterDatabase" localSheetId="3" hidden="1">'Têtes de rechange'!$A$1:$AC$90</definedName>
    <definedName name="_xlnm._FilterDatabase" localSheetId="4" hidden="1">'Concurrents'!$A$1:$S$27</definedName>
    <definedName name="_xlnm._FilterDatabase" localSheetId="5" hidden="1">'Relevé prix'!$A$3:$N$29</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0.0%"/>
  </numFmts>
  <fonts count="9">
    <font>
      <name val="Calibri"/>
      <family val="2"/>
      <color theme="1"/>
      <sz val="11"/>
      <scheme val="minor"/>
    </font>
    <font>
      <b val="1"/>
      <color rgb="00FFFFFF"/>
      <sz val="10"/>
    </font>
    <font>
      <sz val="10"/>
    </font>
    <font>
      <i val="1"/>
      <color rgb="0098A2B3"/>
      <sz val="10"/>
    </font>
    <font>
      <color rgb="000B57D0"/>
      <sz val="10"/>
      <u val="single"/>
    </font>
    <font>
      <b val="1"/>
      <sz val="11"/>
    </font>
    <font>
      <b val="1"/>
      <color rgb="001F3864"/>
      <sz val="12"/>
    </font>
    <font>
      <i val="1"/>
      <color rgb="00475467"/>
      <sz val="9"/>
    </font>
    <font>
      <b val="1"/>
      <color rgb="001F3864"/>
      <sz val="13"/>
    </font>
  </fonts>
  <fills count="11">
    <fill>
      <patternFill/>
    </fill>
    <fill>
      <patternFill patternType="gray125"/>
    </fill>
    <fill>
      <patternFill patternType="solid">
        <fgColor rgb="001F3864"/>
      </patternFill>
    </fill>
    <fill>
      <patternFill patternType="solid">
        <fgColor rgb="004472A8"/>
      </patternFill>
    </fill>
    <fill>
      <patternFill patternType="solid">
        <fgColor rgb="00C55A11"/>
      </patternFill>
    </fill>
    <fill>
      <patternFill patternType="solid">
        <fgColor rgb="002E7D4F"/>
      </patternFill>
    </fill>
    <fill>
      <patternFill patternType="solid">
        <fgColor rgb="00F5F7FA"/>
      </patternFill>
    </fill>
    <fill>
      <patternFill patternType="solid">
        <fgColor rgb="00EDF3FA"/>
      </patternFill>
    </fill>
    <fill>
      <patternFill patternType="solid">
        <fgColor rgb="00EAF3EE"/>
      </patternFill>
    </fill>
    <fill>
      <patternFill patternType="solid">
        <fgColor rgb="00FDF2E3"/>
      </patternFill>
    </fill>
    <fill>
      <patternFill patternType="solid">
        <fgColor rgb="00FFF2CC"/>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62">
    <xf numFmtId="0" fontId="0" fillId="0" borderId="0" pivotButton="0" quotePrefix="0" xfId="0"/>
    <xf numFmtId="0" fontId="8" fillId="0" borderId="0" pivotButton="0" quotePrefix="0" xfId="0"/>
    <xf numFmtId="0" fontId="7" fillId="0" borderId="0" applyAlignment="1" pivotButton="0" quotePrefix="0" xfId="0">
      <alignment vertical="center" wrapText="1"/>
    </xf>
    <xf numFmtId="0" fontId="1" fillId="2" borderId="1" applyAlignment="1" pivotButton="0" quotePrefix="0" xfId="0">
      <alignment horizontal="center" vertical="center" wrapText="1"/>
    </xf>
    <xf numFmtId="0" fontId="2" fillId="9" borderId="1" applyAlignment="1" pivotButton="0" quotePrefix="0" xfId="0">
      <alignment horizontal="center" vertical="top" wrapText="1"/>
    </xf>
    <xf numFmtId="0" fontId="2" fillId="9" borderId="1" applyAlignment="1" pivotButton="0" quotePrefix="0" xfId="0">
      <alignment horizontal="left" vertical="top" wrapText="1"/>
    </xf>
    <xf numFmtId="1" fontId="2" fillId="9" borderId="1" applyAlignment="1" pivotButton="0" quotePrefix="0" xfId="0">
      <alignment horizontal="center"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1" fontId="2" fillId="7" borderId="1" applyAlignment="1" pivotButton="0" quotePrefix="0" xfId="0">
      <alignment horizontal="center" vertical="top"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6" borderId="1" applyAlignment="1" applyProtection="1" pivotButton="0" quotePrefix="0" xfId="0">
      <alignment vertical="top"/>
      <protection locked="0" hidden="0"/>
    </xf>
    <xf numFmtId="3" fontId="2" fillId="6" borderId="1" applyAlignment="1" applyProtection="1" pivotButton="0" quotePrefix="0" xfId="0">
      <alignment vertical="top"/>
      <protection locked="0" hidden="0"/>
    </xf>
    <xf numFmtId="1" fontId="2" fillId="6" borderId="1" applyAlignment="1" applyProtection="1" pivotButton="0" quotePrefix="0" xfId="0">
      <alignment vertical="top"/>
      <protection locked="0" hidden="0"/>
    </xf>
    <xf numFmtId="164" fontId="3" fillId="6" borderId="1" applyAlignment="1" applyProtection="1" pivotButton="0" quotePrefix="0" xfId="0">
      <alignment vertical="top"/>
      <protection locked="0" hidden="0"/>
    </xf>
    <xf numFmtId="164" fontId="2" fillId="6" borderId="1" applyAlignment="1" applyProtection="1" pivotButton="0" quotePrefix="0" xfId="0">
      <alignment vertical="top"/>
      <protection locked="0" hidden="0"/>
    </xf>
    <xf numFmtId="0" fontId="2" fillId="6" borderId="1" applyAlignment="1" applyProtection="1" pivotButton="0" quotePrefix="0" xfId="0">
      <alignment vertical="top" wrapText="1"/>
      <protection locked="0" hidden="0"/>
    </xf>
    <xf numFmtId="1" fontId="2" fillId="6" borderId="1" applyAlignment="1" applyProtection="1" pivotButton="0" quotePrefix="0" xfId="0">
      <alignment vertical="top" wrapText="1"/>
      <protection locked="0" hidden="0"/>
    </xf>
    <xf numFmtId="0" fontId="2" fillId="7" borderId="1" applyAlignment="1" applyProtection="1" pivotButton="0" quotePrefix="0" xfId="0">
      <alignment vertical="top" wrapText="1"/>
      <protection locked="0" hidden="0"/>
    </xf>
    <xf numFmtId="0" fontId="4" fillId="7" borderId="1" applyAlignment="1" applyProtection="1" pivotButton="0" quotePrefix="0" xfId="0">
      <alignment vertical="top" wrapText="1"/>
      <protection locked="0" hidden="0"/>
    </xf>
    <xf numFmtId="3" fontId="2" fillId="8" borderId="1" applyAlignment="1" pivotButton="0" quotePrefix="0" xfId="0">
      <alignment horizontal="center" vertical="top"/>
    </xf>
    <xf numFmtId="165" fontId="2" fillId="8" borderId="1" applyAlignment="1" pivotButton="0" quotePrefix="0" xfId="0">
      <alignment horizontal="center" vertical="top"/>
    </xf>
    <xf numFmtId="3" fontId="2" fillId="9" borderId="1" applyProtection="1" pivotButton="0" quotePrefix="0" xfId="0">
      <protection locked="0" hidden="0"/>
    </xf>
    <xf numFmtId="0" fontId="2" fillId="9" borderId="1" applyProtection="1" pivotButton="0" quotePrefix="0" xfId="0">
      <protection locked="0" hidden="0"/>
    </xf>
    <xf numFmtId="166" fontId="2" fillId="8" borderId="1" applyAlignment="1" pivotButton="0" quotePrefix="0" xfId="0">
      <alignment horizontal="center" vertical="top"/>
    </xf>
    <xf numFmtId="49" fontId="2" fillId="8" borderId="1" applyAlignment="1" pivotButton="0" quotePrefix="0" xfId="0">
      <alignment horizontal="center" vertical="top"/>
    </xf>
    <xf numFmtId="0" fontId="2" fillId="0" borderId="1" applyAlignment="1" applyProtection="1" pivotButton="0" quotePrefix="0" xfId="0">
      <alignment vertical="top"/>
      <protection locked="0" hidden="0"/>
    </xf>
    <xf numFmtId="3" fontId="2" fillId="0" borderId="1" applyAlignment="1" applyProtection="1" pivotButton="0" quotePrefix="0" xfId="0">
      <alignment vertical="top"/>
      <protection locked="0" hidden="0"/>
    </xf>
    <xf numFmtId="1" fontId="2" fillId="0" borderId="1" applyAlignment="1" applyProtection="1" pivotButton="0" quotePrefix="0" xfId="0">
      <alignment vertical="top"/>
      <protection locked="0" hidden="0"/>
    </xf>
    <xf numFmtId="164" fontId="2" fillId="0" borderId="1" applyAlignment="1" applyProtection="1" pivotButton="0" quotePrefix="0" xfId="0">
      <alignment vertical="top"/>
      <protection locked="0" hidden="0"/>
    </xf>
    <xf numFmtId="0" fontId="2" fillId="0" borderId="1" applyAlignment="1" applyProtection="1" pivotButton="0" quotePrefix="0" xfId="0">
      <alignment vertical="top" wrapText="1"/>
      <protection locked="0" hidden="0"/>
    </xf>
    <xf numFmtId="1" fontId="2" fillId="0" borderId="1" applyAlignment="1" applyProtection="1" pivotButton="0" quotePrefix="0" xfId="0">
      <alignment vertical="top" wrapText="1"/>
      <protection locked="0" hidden="0"/>
    </xf>
    <xf numFmtId="164" fontId="3" fillId="0" borderId="1" applyAlignment="1" applyProtection="1" pivotButton="0" quotePrefix="0" xfId="0">
      <alignment vertical="top"/>
      <protection locked="0" hidden="0"/>
    </xf>
    <xf numFmtId="1" fontId="3" fillId="0" borderId="1" applyAlignment="1" applyProtection="1" pivotButton="0" quotePrefix="0" xfId="0">
      <alignment vertical="top"/>
      <protection locked="0" hidden="0"/>
    </xf>
    <xf numFmtId="0" fontId="3" fillId="0" borderId="1" applyAlignment="1" applyProtection="1" pivotButton="0" quotePrefix="0" xfId="0">
      <alignment vertical="top"/>
      <protection locked="0" hidden="0"/>
    </xf>
    <xf numFmtId="0" fontId="3" fillId="7" borderId="1" applyAlignment="1" applyProtection="1" pivotButton="0" quotePrefix="0" xfId="0">
      <alignment vertical="top" wrapText="1"/>
      <protection locked="0" hidden="0"/>
    </xf>
    <xf numFmtId="1" fontId="3" fillId="6" borderId="1" applyAlignment="1" applyProtection="1" pivotButton="0" quotePrefix="0" xfId="0">
      <alignment vertical="top"/>
      <protection locked="0" hidden="0"/>
    </xf>
    <xf numFmtId="3" fontId="3" fillId="0" borderId="1" applyAlignment="1" applyProtection="1" pivotButton="0" quotePrefix="0" xfId="0">
      <alignment vertical="top"/>
      <protection locked="0" hidden="0"/>
    </xf>
    <xf numFmtId="0" fontId="3" fillId="6" borderId="1" applyAlignment="1" applyProtection="1" pivotButton="0" quotePrefix="0" xfId="0">
      <alignment vertical="top"/>
      <protection locked="0" hidden="0"/>
    </xf>
    <xf numFmtId="0" fontId="0" fillId="0" borderId="1" applyProtection="1" pivotButton="0" quotePrefix="0" xfId="0">
      <protection locked="0" hidden="0"/>
    </xf>
    <xf numFmtId="0" fontId="0" fillId="7" borderId="1" applyProtection="1" pivotButton="0" quotePrefix="0" xfId="0">
      <protection locked="0" hidden="0"/>
    </xf>
    <xf numFmtId="0" fontId="3" fillId="6" borderId="1" applyAlignment="1" applyProtection="1" pivotButton="0" quotePrefix="0" xfId="0">
      <alignment vertical="top" wrapText="1"/>
      <protection locked="0" hidden="0"/>
    </xf>
    <xf numFmtId="0" fontId="3" fillId="0" borderId="1" applyAlignment="1" applyProtection="1" pivotButton="0" quotePrefix="0" xfId="0">
      <alignment vertical="top" wrapText="1"/>
      <protection locked="0" hidden="0"/>
    </xf>
    <xf numFmtId="0" fontId="2" fillId="6" borderId="1" applyAlignment="1" pivotButton="0" quotePrefix="0" xfId="0">
      <alignment vertical="top" wrapText="1"/>
    </xf>
    <xf numFmtId="4" fontId="3" fillId="6" borderId="1" applyAlignment="1" pivotButton="0" quotePrefix="0" xfId="0">
      <alignment vertical="top" wrapText="1"/>
    </xf>
    <xf numFmtId="0" fontId="4" fillId="6" borderId="1" applyAlignment="1" pivotButton="0" quotePrefix="0" xfId="0">
      <alignment vertical="top" wrapText="1"/>
    </xf>
    <xf numFmtId="165" fontId="2" fillId="6"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xf numFmtId="4" fontId="3" fillId="0" borderId="1" applyAlignment="1" pivotButton="0" quotePrefix="0" xfId="0">
      <alignment vertical="top" wrapText="1"/>
    </xf>
    <xf numFmtId="0" fontId="4" fillId="0" borderId="1" applyAlignment="1" pivotButton="0" quotePrefix="0" xfId="0">
      <alignment vertical="top" wrapText="1"/>
    </xf>
    <xf numFmtId="165" fontId="2" fillId="0" borderId="1" applyAlignment="1" pivotButton="0" quotePrefix="0" xfId="0">
      <alignment vertical="top" wrapText="1"/>
    </xf>
    <xf numFmtId="0" fontId="3" fillId="6" borderId="1" applyAlignment="1" pivotButton="0" quotePrefix="0" xfId="0">
      <alignment vertical="top" wrapText="1"/>
    </xf>
    <xf numFmtId="0" fontId="5" fillId="0" borderId="0" pivotButton="0" quotePrefix="0" xfId="0"/>
    <xf numFmtId="0" fontId="6" fillId="10" borderId="0" applyAlignment="1" applyProtection="1" pivotButton="0" quotePrefix="0" xfId="0">
      <alignment horizontal="center"/>
      <protection locked="0" hidden="0"/>
    </xf>
    <xf numFmtId="0" fontId="2" fillId="7" borderId="1" applyAlignment="1" pivotButton="0" quotePrefix="0" xfId="0">
      <alignment vertical="top" wrapText="1"/>
    </xf>
    <xf numFmtId="0" fontId="4" fillId="7" borderId="1" applyAlignment="1" pivotButton="0" quotePrefix="0" xfId="0">
      <alignment vertical="top" wrapText="1"/>
    </xf>
    <xf numFmtId="3" fontId="2" fillId="9" borderId="1" applyAlignment="1" applyProtection="1" pivotButton="0" quotePrefix="0" xfId="0">
      <alignment vertical="top" wrapText="1"/>
      <protection locked="0" hidden="0"/>
    </xf>
    <xf numFmtId="165" fontId="2" fillId="9" borderId="1" applyAlignment="1" applyProtection="1" pivotButton="0" quotePrefix="0" xfId="0">
      <alignment vertical="top" wrapText="1"/>
      <protection locked="0" hidden="0"/>
    </xf>
    <xf numFmtId="0" fontId="2" fillId="9" borderId="1" applyAlignment="1" applyProtection="1" pivotButton="0" quotePrefix="0" xfId="0">
      <alignment vertical="top" wrapText="1"/>
      <protection locked="0" hidden="0"/>
    </xf>
  </cellXfs>
  <cellStyles count="1">
    <cellStyle name="Normal" xfId="0" builtinId="0" hidden="0"/>
  </cellStyles>
  <dxfs count="3">
    <dxf>
      <font>
        <color rgb="009C0006"/>
        <sz val="10"/>
      </font>
      <fill>
        <patternFill patternType="solid">
          <bgColor rgb="00F8CBCB"/>
        </patternFill>
      </fill>
    </dxf>
    <dxf>
      <font>
        <color rgb="00006100"/>
        <sz val="10"/>
      </font>
      <fill>
        <patternFill patternType="solid">
          <bgColor rgb="00C6EFCE"/>
        </patternFill>
      </fill>
    </dxf>
    <dxf>
      <font>
        <color rgb="009C6500"/>
        <sz val="10"/>
      </font>
      <fill>
        <patternFill patternType="solid">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jumia.ci/addigoes-brosse-a-dents-electrique-sonique-rechargeable-usb-6-modes-etanche-haute-frequence-4-tetes-de-brosse-nettoyage-dentaire-professionnel-noir-30497266.html" TargetMode="External" Id="rId1" /><Relationship Type="http://schemas.openxmlformats.org/officeDocument/2006/relationships/hyperlink" Target="https://www.jumia.ci/brosse-a-dents-electrique/" TargetMode="External" Id="rId2" /><Relationship Type="http://schemas.openxmlformats.org/officeDocument/2006/relationships/hyperlink" Target="https://www.usmile.com/electrictoothbrush/info.html?id=4" TargetMode="External" Id="rId3" /><Relationship Type="http://schemas.openxmlformats.org/officeDocument/2006/relationships/hyperlink" Target="https://www.ada.org/resources/research/science/ada-seal-of-acceptance/product-search/a065e00000BWImYAAX/usmile-sonic-electric-toothbrush-y1s" TargetMode="External" Id="rId4" /><Relationship Type="http://schemas.openxmlformats.org/officeDocument/2006/relationships/hyperlink" Target="https://www.fairywill.com/products/fairywill-electric-toothbrush-30-days-usage-5-modes-changeable-heads-timer" TargetMode="External" Id="rId5" /><Relationship Type="http://schemas.openxmlformats.org/officeDocument/2006/relationships/hyperlink" Target="https://www.jumia.ma/brosse-a-dents-electrique/fairywill/" TargetMode="External" Id="rId6" /><Relationship Type="http://schemas.openxmlformats.org/officeDocument/2006/relationships/hyperlink" Target="https://www.mi.com/global/product/mi-smart-electric-toothbrush-t500/specs/" TargetMode="External" Id="rId7" /><Relationship Type="http://schemas.openxmlformats.org/officeDocument/2006/relationships/hyperlink" Target="https://www.electricteeth.com/uk/xiaomi-mi-review/" TargetMode="External" Id="rId8" /><Relationship Type="http://schemas.openxmlformats.org/officeDocument/2006/relationships/hyperlink" Target="https://www.fairywill.com/products/fairywill-electric-toothbrush-30-days-usage-5-modes-changeable-heads-timer" TargetMode="External" Id="rId9" /><Relationship Type="http://schemas.openxmlformats.org/officeDocument/2006/relationships/hyperlink" Target="https://www.jumia.ma/brosse-a-dents-electrique/fairywill/" TargetMode="External" Id="rId10" /><Relationship Type="http://schemas.openxmlformats.org/officeDocument/2006/relationships/hyperlink" Target="https://www.usmile.com/electrictoothbrush/info.html?id=4" TargetMode="External" Id="rId11" /><Relationship Type="http://schemas.openxmlformats.org/officeDocument/2006/relationships/hyperlink" Target="https://www.ada.org/resources/research/science/ada-seal-of-acceptance/product-search/a065e00000BWImYAAX/usmile-sonic-electric-toothbrush-y1s" TargetMode="External" Id="rId12" /><Relationship Type="http://schemas.openxmlformats.org/officeDocument/2006/relationships/hyperlink" Target="https://www.usmile.com/electrictoothbrush/info.html?id=4" TargetMode="External" Id="rId13" /><Relationship Type="http://schemas.openxmlformats.org/officeDocument/2006/relationships/hyperlink" Target="https://www.ada.org/resources/research/science/ada-seal-of-acceptance/product-search/a065e00000BWImYAAX/usmile-sonic-electric-toothbrush-y1s" TargetMode="External" Id="rId14" /><Relationship Type="http://schemas.openxmlformats.org/officeDocument/2006/relationships/hyperlink" Target="https://www.amazon.com/Oral-B-Pro-Health-Battery-Toothbrush-featuring/dp/B01AKGRSCG" TargetMode="External" Id="rId15" /><Relationship Type="http://schemas.openxmlformats.org/officeDocument/2006/relationships/hyperlink" Target="https://oralb.com/en-us/products/more-products/kids-products/kids-battery-toothbrush-featuring-disney-princess/" TargetMode="External" Id="rId16" /><Relationship Type="http://schemas.openxmlformats.org/officeDocument/2006/relationships/hyperlink" Target="https://www.colgate.com/en-my/products/toothbrush/colgate-proclinical-150-charcoal-battery-powered-toothbrush" TargetMode="External" Id="rId17" /><Relationship Type="http://schemas.openxmlformats.org/officeDocument/2006/relationships/hyperlink" Target="https://www.colgate.com/en-my/products/toothbrush/colgate-proclinical-150-deepclean-battery-powered-toothbrush" TargetMode="External" Id="rId18" /><Relationship Type="http://schemas.openxmlformats.org/officeDocument/2006/relationships/hyperlink" Target="https://www.usa.philips.com/c-p/HX6321_02/sonicare-for-kids-sonic-electric-toothbrush" TargetMode="External" Id="rId19" /><Relationship Type="http://schemas.openxmlformats.org/officeDocument/2006/relationships/hyperlink" Target="https://www.philips.com/c-dam/b2c/category-pages/personal-care/POHC/resource-library-docs/HX6321-03%20LEAFLET-Sonicare-%20For-Kids-%20Connected-Electric-Toothbrush.pdf" TargetMode="External" Id="rId20" /><Relationship Type="http://schemas.openxmlformats.org/officeDocument/2006/relationships/hyperlink" Target="https://oralb.com/en-us/products/io-series-3-rechargeable-electric-toothbrush-white/" TargetMode="External" Id="rId21" /><Relationship Type="http://schemas.openxmlformats.org/officeDocument/2006/relationships/hyperlink" Target="https://www.jumia.ci/slp/brosse-a-dents-electrique-oral-b-io3" TargetMode="External" Id="rId22" /><Relationship Type="http://schemas.openxmlformats.org/officeDocument/2006/relationships/hyperlink" Target="https://oralb.com/en-us/products/io-series-3-rechargeable-electric-toothbrush-white/" TargetMode="External" Id="rId23" /><Relationship Type="http://schemas.openxmlformats.org/officeDocument/2006/relationships/hyperlink" Target="https://www.jumia.ci/slp/brosse-a-dents-electrique-oral-b-io3" TargetMode="External" Id="rId24" /><Relationship Type="http://schemas.openxmlformats.org/officeDocument/2006/relationships/hyperlink" Target="https://www.electricteeth.com/oclean-x-pro-elite-review/" TargetMode="External" Id="rId25" /><Relationship Type="http://schemas.openxmlformats.org/officeDocument/2006/relationships/hyperlink" Target="https://www.techradar.com/reviews/oclean-x-pro-elite" TargetMode="External" Id="rId26" /><Relationship Type="http://schemas.openxmlformats.org/officeDocument/2006/relationships/hyperlink" Target="https://www.electricteeth.com/oclean-x-pro-elite-review/" TargetMode="External" Id="rId27" /><Relationship Type="http://schemas.openxmlformats.org/officeDocument/2006/relationships/hyperlink" Target="https://www.techradar.com/reviews/oclean-x-pro-elite" TargetMode="External" Id="rId28" /><Relationship Type="http://schemas.openxmlformats.org/officeDocument/2006/relationships/hyperlink" Target="https://www.electricteeth.com/oclean-x-pro-elite-review/" TargetMode="External" Id="rId29" /><Relationship Type="http://schemas.openxmlformats.org/officeDocument/2006/relationships/hyperlink" Target="https://www.techradar.com/reviews/oclean-x-pro-elite" TargetMode="External" Id="rId30" /><Relationship Type="http://schemas.openxmlformats.org/officeDocument/2006/relationships/hyperlink" Target="https://www.electricteeth.com/oclean-x-pro-elite-review/" TargetMode="External" Id="rId31" /><Relationship Type="http://schemas.openxmlformats.org/officeDocument/2006/relationships/hyperlink" Target="https://www.techradar.com/reviews/oclean-x-pro-elite" TargetMode="External" Id="rId32" /><Relationship Type="http://schemas.openxmlformats.org/officeDocument/2006/relationships/hyperlink" Target="https://www.electricteeth.com/oclean-x-pro-elite-review/" TargetMode="External" Id="rId33" /><Relationship Type="http://schemas.openxmlformats.org/officeDocument/2006/relationships/hyperlink" Target="https://www.techradar.com/reviews/oclean-x-pro-elite" TargetMode="External" Id="rId34" /><Relationship Type="http://schemas.openxmlformats.org/officeDocument/2006/relationships/hyperlink" Target="https://www.usa.philips.com/c-p/HX6817_01/sonicare-protectiveclean-4100-sonic-electric-toothbrush" TargetMode="External" Id="rId35" /><Relationship Type="http://schemas.openxmlformats.org/officeDocument/2006/relationships/hyperlink" Target="https://www.noon.com/uae-en/beauty/personal-care-16343/oral-hygiene/power-toothbrushes/philips_sonicare/" TargetMode="External" Id="rId36" /><Relationship Type="http://schemas.openxmlformats.org/officeDocument/2006/relationships/hyperlink" Target="https://www.jumia.ci/addigoes-brosse-a-dents-electrique-sonique-rechargeable-usb-6-modes-etanche-haute-frequence-4-tetes-de-brosse-nettoyage-dentaire-professionnel-noir-30497266.html" TargetMode="External" Id="rId37" /><Relationship Type="http://schemas.openxmlformats.org/officeDocument/2006/relationships/hyperlink" Target="https://www.jumia.ci/brosse-a-dents-electrique/" TargetMode="External" Id="rId38" /><Relationship Type="http://schemas.openxmlformats.org/officeDocument/2006/relationships/hyperlink" Target="https://www.jumia.ci/addigoes-brosse-a-dents-electrique-sonique-rechargeable-usb-6-modes-etanche-haute-frequence-4-tetes-de-brosse-nettoyage-dentaire-professionnel-noir-30497266.html" TargetMode="External" Id="rId39" /><Relationship Type="http://schemas.openxmlformats.org/officeDocument/2006/relationships/hyperlink" Target="https://www.jumia.ci/brosse-a-dents-electrique/" TargetMode="External" Id="rId40" /><Relationship Type="http://schemas.openxmlformats.org/officeDocument/2006/relationships/hyperlink" Target="https://www.jumia.ci/addigoes-brosse-a-dents-electrique-sonique-rechargeable-usb-6-modes-etanche-haute-frequence-4-tetes-de-brosse-nettoyage-dentaire-professionnel-noir-30497266.html" TargetMode="External" Id="rId41" /><Relationship Type="http://schemas.openxmlformats.org/officeDocument/2006/relationships/hyperlink" Target="https://www.jumia.ci/brosse-a-dents-electrique/" TargetMode="External" Id="rId42" /><Relationship Type="http://schemas.openxmlformats.org/officeDocument/2006/relationships/hyperlink" Target="https://www.usa.philips.com/c-p/HX6817_01/sonicare-protectiveclean-4100-sonic-electric-toothbrush" TargetMode="External" Id="rId43" /><Relationship Type="http://schemas.openxmlformats.org/officeDocument/2006/relationships/hyperlink" Target="https://www.noon.com/uae-en/beauty/personal-care-16343/oral-hygiene/power-toothbrushes/philips_sonicare/" TargetMode="External" Id="rId44" /><Relationship Type="http://schemas.openxmlformats.org/officeDocument/2006/relationships/hyperlink" Target="https://www.jumia.ci/addigoes-brosse-a-dents-electrique-sonique-rechargeable-usb-6-modes-etanche-haute-frequence-4-tetes-de-brosse-nettoyage-dentaire-professionnel-noir-30497266.html" TargetMode="External" Id="rId45" /><Relationship Type="http://schemas.openxmlformats.org/officeDocument/2006/relationships/hyperlink" Target="https://www.jumia.ci/brosse-a-dents-electrique/" TargetMode="External" Id="rId46" /><Relationship Type="http://schemas.openxmlformats.org/officeDocument/2006/relationships/hyperlink" Target="https://www.jumia.ci/addigoes-brosse-a-dents-electrique-sonique-rechargeable-usb-6-modes-etanche-haute-frequence-4-tetes-de-brosse-nettoyage-dentaire-professionnel-noir-30497266.html" TargetMode="External" Id="rId47" /><Relationship Type="http://schemas.openxmlformats.org/officeDocument/2006/relationships/hyperlink" Target="https://www.jumia.ci/brosse-a-dents-electrique/" TargetMode="External" Id="rId48" /><Relationship Type="http://schemas.openxmlformats.org/officeDocument/2006/relationships/hyperlink" Target="https://www.jumia.ci/addigoes-brosse-a-dents-electrique-sonique-rechargeable-usb-6-modes-etanche-haute-frequence-4-tetes-de-brosse-nettoyage-dentaire-professionnel-noir-30497266.html" TargetMode="External" Id="rId49" /><Relationship Type="http://schemas.openxmlformats.org/officeDocument/2006/relationships/hyperlink" Target="https://www.jumia.ci/brosse-a-dents-electrique/" TargetMode="External" Id="rId50" /><Relationship Type="http://schemas.openxmlformats.org/officeDocument/2006/relationships/hyperlink" Target="https://www.electricteeth.com/oclean-x-pro-elite-review/" TargetMode="External" Id="rId51" /><Relationship Type="http://schemas.openxmlformats.org/officeDocument/2006/relationships/hyperlink" Target="https://www.techradar.com/reviews/oclean-x-pro-elite" TargetMode="External" Id="rId52" /><Relationship Type="http://schemas.openxmlformats.org/officeDocument/2006/relationships/hyperlink" Target="https://www.electricteeth.com/oclean-x-pro-elite-review/" TargetMode="External" Id="rId53" /><Relationship Type="http://schemas.openxmlformats.org/officeDocument/2006/relationships/hyperlink" Target="https://www.techradar.com/reviews/oclean-x-pro-elite" TargetMode="External" Id="rId54" /><Relationship Type="http://schemas.openxmlformats.org/officeDocument/2006/relationships/hyperlink" Target="https://www.usa.philips.com/c-p/HX6817_01/sonicare-protectiveclean-4100-sonic-electric-toothbrush" TargetMode="External" Id="rId55" /><Relationship Type="http://schemas.openxmlformats.org/officeDocument/2006/relationships/hyperlink" Target="https://www.noon.com/uae-en/beauty/personal-care-16343/oral-hygiene/power-toothbrushes/philips_sonicare/" TargetMode="External" Id="rId56" /><Relationship Type="http://schemas.openxmlformats.org/officeDocument/2006/relationships/hyperlink" Target="https://www.usa.philips.com/c-p/HX6817_01/sonicare-protectiveclean-4100-sonic-electric-toothbrush" TargetMode="External" Id="rId57" /><Relationship Type="http://schemas.openxmlformats.org/officeDocument/2006/relationships/hyperlink" Target="https://www.noon.com/uae-en/beauty/personal-care-16343/oral-hygiene/power-toothbrushes/philips_sonicare/" TargetMode="External" Id="rId58" /><Relationship Type="http://schemas.openxmlformats.org/officeDocument/2006/relationships/hyperlink" Target="https://www.usa.philips.com/c-p/HX6817_01/sonicare-protectiveclean-4100-sonic-electric-toothbrush" TargetMode="External" Id="rId59" /><Relationship Type="http://schemas.openxmlformats.org/officeDocument/2006/relationships/hyperlink" Target="https://www.noon.com/uae-en/beauty/personal-care-16343/oral-hygiene/power-toothbrushes/philips_sonicare/" TargetMode="External" Id="rId60" /><Relationship Type="http://schemas.openxmlformats.org/officeDocument/2006/relationships/hyperlink" Target="https://www.usa.philips.com/c-p/HX6817_01/sonicare-protectiveclean-4100-sonic-electric-toothbrush" TargetMode="External" Id="rId61" /><Relationship Type="http://schemas.openxmlformats.org/officeDocument/2006/relationships/hyperlink" Target="https://www.noon.com/uae-en/beauty/personal-care-16343/oral-hygiene/power-toothbrushes/philips_sonicare/" TargetMode="External" Id="rId62" /><Relationship Type="http://schemas.openxmlformats.org/officeDocument/2006/relationships/hyperlink" Target="https://www.usa.philips.com/c-p/HX6817_01/sonicare-protectiveclean-4100-sonic-electric-toothbrush" TargetMode="External" Id="rId63" /><Relationship Type="http://schemas.openxmlformats.org/officeDocument/2006/relationships/hyperlink" Target="https://www.noon.com/uae-en/beauty/personal-care-16343/oral-hygiene/power-toothbrushes/philips_sonicare/" TargetMode="External" Id="rId64" /><Relationship Type="http://schemas.openxmlformats.org/officeDocument/2006/relationships/hyperlink" Target="https://www.jumia.ci/addigoes-brosse-a-dents-electrique-sonique-rechargeable-usb-6-modes-etanche-haute-frequence-4-tetes-de-brosse-nettoyage-dentaire-professionnel-noir-30497266.html" TargetMode="External" Id="rId65" /><Relationship Type="http://schemas.openxmlformats.org/officeDocument/2006/relationships/hyperlink" Target="https://www.jumia.ci/brosse-a-dents-electrique/" TargetMode="External" Id="rId66" /><Relationship Type="http://schemas.openxmlformats.org/officeDocument/2006/relationships/hyperlink" Target="https://www.usa.philips.com/c-p/HX6817_01/sonicare-protectiveclean-4100-sonic-electric-toothbrush" TargetMode="External" Id="rId67" /><Relationship Type="http://schemas.openxmlformats.org/officeDocument/2006/relationships/hyperlink" Target="https://www.noon.com/uae-en/beauty/personal-care-16343/oral-hygiene/power-toothbrushes/philips_sonicare/" TargetMode="External" Id="rId68" /><Relationship Type="http://schemas.openxmlformats.org/officeDocument/2006/relationships/hyperlink" Target="https://www.jumia.ci/slp/brosse-a-dents-electrique-durable-suri" TargetMode="External" Id="rId69" /><Relationship Type="http://schemas.openxmlformats.org/officeDocument/2006/relationships/hyperlink" Target="https://www.jumia.ci/brosse-a-dents-electrique/" TargetMode="External" Id="rId70" /><Relationship Type="http://schemas.openxmlformats.org/officeDocument/2006/relationships/hyperlink" Target="https://www.usa.philips.com/c-p/HX6817_01/sonicare-protectiveclean-4100-sonic-electric-toothbrush" TargetMode="External" Id="rId71" /><Relationship Type="http://schemas.openxmlformats.org/officeDocument/2006/relationships/hyperlink" Target="https://www.noon.com/uae-en/beauty/personal-care-16343/oral-hygiene/power-toothbrushes/philips_sonicare/" TargetMode="External" Id="rId72" /><Relationship Type="http://schemas.openxmlformats.org/officeDocument/2006/relationships/hyperlink" Target="https://www.usa.philips.com/c-p/HX6817_01/sonicare-protectiveclean-4100-sonic-electric-toothbrush" TargetMode="External" Id="rId73" /><Relationship Type="http://schemas.openxmlformats.org/officeDocument/2006/relationships/hyperlink" Target="https://www.noon.com/uae-en/beauty/personal-care-16343/oral-hygiene/power-toothbrushes/philips_sonicare/" TargetMode="External" Id="rId74" /><Relationship Type="http://schemas.openxmlformats.org/officeDocument/2006/relationships/hyperlink" Target="https://www.jumia.ci/slp/brosse-a-dents-electrique-durable-suri" TargetMode="External" Id="rId75" /><Relationship Type="http://schemas.openxmlformats.org/officeDocument/2006/relationships/hyperlink" Target="https://www.jumia.ci/brosse-a-dents-electrique/" TargetMode="External" Id="rId76" /><Relationship Type="http://schemas.openxmlformats.org/officeDocument/2006/relationships/hyperlink" Target="https://www.usmile.com/electrictoothbrush/info.html?id=4" TargetMode="External" Id="rId77" /><Relationship Type="http://schemas.openxmlformats.org/officeDocument/2006/relationships/hyperlink" Target="https://www.ada.org/resources/research/science/ada-seal-of-acceptance/product-search/a065e00000BWImYAAX/usmile-sonic-electric-toothbrush-y1s" TargetMode="External" Id="rId78" /><Relationship Type="http://schemas.openxmlformats.org/officeDocument/2006/relationships/hyperlink" Target="https://www.colgate.com/en-my/products/toothbrush/colgate-proclinical-150-charcoal-battery-powered-toothbrush" TargetMode="External" Id="rId79" /><Relationship Type="http://schemas.openxmlformats.org/officeDocument/2006/relationships/hyperlink" Target="https://www.colgate.com/en-my/products/toothbrush/colgate-proclinical-150-deepclean-battery-powered-toothbrush" TargetMode="External" Id="rId80" /><Relationship Type="http://schemas.openxmlformats.org/officeDocument/2006/relationships/hyperlink" Target="https://www.colgate.com/en-my/products/toothbrush/colgate-proclinical-150-charcoal-battery-powered-toothbrush" TargetMode="External" Id="rId81" /><Relationship Type="http://schemas.openxmlformats.org/officeDocument/2006/relationships/hyperlink" Target="https://www.colgate.com/en-my/products/toothbrush/colgate-proclinical-150-deepclean-battery-powered-toothbrush" TargetMode="External" Id="rId82" /><Relationship Type="http://schemas.openxmlformats.org/officeDocument/2006/relationships/hyperlink" Target="https://www.jumia.ci/slp/brosse-a-dents-electrique-durable-suri" TargetMode="External" Id="rId83" /><Relationship Type="http://schemas.openxmlformats.org/officeDocument/2006/relationships/hyperlink" Target="https://www.jumia.ci/brosse-a-dents-electrique/" TargetMode="External" Id="rId84" /><Relationship Type="http://schemas.openxmlformats.org/officeDocument/2006/relationships/hyperlink" Target="https://www.jumia.ci/addigoes-brosse-a-dents-electrique-sonique-rechargeable-usb-6-modes-etanche-haute-frequence-4-tetes-de-brosse-nettoyage-dentaire-professionnel-noir-30497266.html" TargetMode="External" Id="rId85" /><Relationship Type="http://schemas.openxmlformats.org/officeDocument/2006/relationships/hyperlink" Target="https://www.jumia.ci/brosse-a-dents-electrique/" TargetMode="External" Id="rId86" /><Relationship Type="http://schemas.openxmlformats.org/officeDocument/2006/relationships/hyperlink" Target="https://www.jumia.ci/addigoes-brosse-a-dents-electrique-sonique-rechargeable-usb-6-modes-etanche-haute-frequence-4-tetes-de-brosse-nettoyage-dentaire-professionnel-noir-30497266.html" TargetMode="External" Id="rId87" /><Relationship Type="http://schemas.openxmlformats.org/officeDocument/2006/relationships/hyperlink" Target="https://www.jumia.ci/brosse-a-dents-electrique/" TargetMode="External" Id="rId88" /><Relationship Type="http://schemas.openxmlformats.org/officeDocument/2006/relationships/hyperlink" Target="https://www.usmile.com/electrictoothbrush/info.html?id=4" TargetMode="External" Id="rId89" /><Relationship Type="http://schemas.openxmlformats.org/officeDocument/2006/relationships/hyperlink" Target="https://www.ada.org/resources/research/science/ada-seal-of-acceptance/product-search/a065e00000BWImYAAX/usmile-sonic-electric-toothbrush-y1s" TargetMode="External" Id="rId90" /><Relationship Type="http://schemas.openxmlformats.org/officeDocument/2006/relationships/hyperlink" Target="https://www.jumia.ci/addigoes-brosse-a-dents-electrique-sonique-rechargeable-usb-6-modes-etanche-haute-frequence-4-tetes-de-brosse-nettoyage-dentaire-professionnel-noir-30497266.html" TargetMode="External" Id="rId91" /><Relationship Type="http://schemas.openxmlformats.org/officeDocument/2006/relationships/hyperlink" Target="https://www.jumia.ci/brosse-a-dents-electrique/" TargetMode="External" Id="rId92" /><Relationship Type="http://schemas.openxmlformats.org/officeDocument/2006/relationships/hyperlink" Target="https://www.jumia.ci/addigoes-brosse-a-dents-electrique-sonique-rechargeable-usb-6-modes-etanche-haute-frequence-4-tetes-de-brosse-nettoyage-dentaire-professionnel-noir-30497266.html" TargetMode="External" Id="rId93" /><Relationship Type="http://schemas.openxmlformats.org/officeDocument/2006/relationships/hyperlink" Target="https://www.jumia.ci/brosse-a-dents-electrique/" TargetMode="External" Id="rId94" /><Relationship Type="http://schemas.openxmlformats.org/officeDocument/2006/relationships/hyperlink" Target="https://www.jumia.ci/addigoes-brosse-a-dents-electrique-sonique-rechargeable-usb-6-modes-etanche-haute-frequence-4-tetes-de-brosse-nettoyage-dentaire-professionnel-noir-30497266.html" TargetMode="External" Id="rId95" /><Relationship Type="http://schemas.openxmlformats.org/officeDocument/2006/relationships/hyperlink" Target="https://www.jumia.ci/brosse-a-dents-electrique/" TargetMode="External" Id="rId96" /><Relationship Type="http://schemas.openxmlformats.org/officeDocument/2006/relationships/hyperlink" Target="https://www.fairywill.com/products/fairywill-electric-toothbrush-30-days-usage-5-modes-changeable-heads-timer" TargetMode="External" Id="rId97" /><Relationship Type="http://schemas.openxmlformats.org/officeDocument/2006/relationships/hyperlink" Target="https://www.jumia.ma/brosse-a-dents-electrique/fairywill/" TargetMode="External" Id="rId98" /><Relationship Type="http://schemas.openxmlformats.org/officeDocument/2006/relationships/hyperlink" Target="https://www.jumia.ci/slp/brosse-a-dents-electrique-durable-suri" TargetMode="External" Id="rId99" /><Relationship Type="http://schemas.openxmlformats.org/officeDocument/2006/relationships/hyperlink" Target="https://www.jumia.ci/brosse-a-dents-electrique/" TargetMode="External" Id="rId100" /><Relationship Type="http://schemas.openxmlformats.org/officeDocument/2006/relationships/hyperlink" Target="https://www.jumia.ci/slp/brosse-a-dents-electrique-durable-suri" TargetMode="External" Id="rId101" /><Relationship Type="http://schemas.openxmlformats.org/officeDocument/2006/relationships/hyperlink" Target="https://www.jumia.ci/brosse-a-dents-electrique/" TargetMode="External" Id="rId102" /><Relationship Type="http://schemas.openxmlformats.org/officeDocument/2006/relationships/hyperlink" Target="https://www.fairywill.com/products/fairywill-electric-toothbrush-30-days-usage-5-modes-changeable-heads-timer" TargetMode="External" Id="rId103" /><Relationship Type="http://schemas.openxmlformats.org/officeDocument/2006/relationships/hyperlink" Target="https://www.jumia.ma/brosse-a-dents-electrique/fairywill/" TargetMode="External" Id="rId104" /><Relationship Type="http://schemas.openxmlformats.org/officeDocument/2006/relationships/hyperlink" Target="https://www.jumia.ci/slp/brosse-a-dents-electrique-durable-suri" TargetMode="External" Id="rId105" /><Relationship Type="http://schemas.openxmlformats.org/officeDocument/2006/relationships/hyperlink" Target="https://www.jumia.ci/brosse-a-dents-electrique/" TargetMode="External" Id="rId106" /><Relationship Type="http://schemas.openxmlformats.org/officeDocument/2006/relationships/hyperlink" Target="https://www.colgate.com/en-my/products/toothbrush/colgate-proclinical-150-charcoal-battery-powered-toothbrush" TargetMode="External" Id="rId107" /><Relationship Type="http://schemas.openxmlformats.org/officeDocument/2006/relationships/hyperlink" Target="https://www.colgate.com/en-my/products/toothbrush/colgate-proclinical-150-deepclean-battery-powered-toothbrush" TargetMode="External" Id="rId108" /><Relationship Type="http://schemas.openxmlformats.org/officeDocument/2006/relationships/hyperlink" Target="https://www.colgate.com/en-my/products/toothbrush/colgate-proclinical-150-charcoal-battery-powered-toothbrush" TargetMode="External" Id="rId109" /><Relationship Type="http://schemas.openxmlformats.org/officeDocument/2006/relationships/hyperlink" Target="https://www.colgate.com/en-my/products/toothbrush/colgate-proclinical-150-deepclean-battery-powered-toothbrush" TargetMode="External" Id="rId110" /><Relationship Type="http://schemas.openxmlformats.org/officeDocument/2006/relationships/hyperlink" Target="https://www.colgate.com/en-my/products/toothbrush/colgate-proclinical-150-charcoal-battery-powered-toothbrush" TargetMode="External" Id="rId111" /><Relationship Type="http://schemas.openxmlformats.org/officeDocument/2006/relationships/hyperlink" Target="https://www.colgate.com/en-my/products/toothbrush/colgate-proclinical-150-deepclean-battery-powered-toothbrush" TargetMode="External" Id="rId112" /><Relationship Type="http://schemas.openxmlformats.org/officeDocument/2006/relationships/hyperlink" Target="https://www.colgate.com/en-my/products/toothbrush/colgate-proclinical-150-charcoal-battery-powered-toothbrush" TargetMode="External" Id="rId113" /><Relationship Type="http://schemas.openxmlformats.org/officeDocument/2006/relationships/hyperlink" Target="https://www.colgate.com/en-my/products/toothbrush/colgate-proclinical-150-deepclean-battery-powered-toothbrush" TargetMode="External" Id="rId114" /><Relationship Type="http://schemas.openxmlformats.org/officeDocument/2006/relationships/hyperlink" Target="https://www.colgate.com/en-my/products/toothbrush/colgate-proclinical-150-charcoal-battery-powered-toothbrush" TargetMode="External" Id="rId115" /><Relationship Type="http://schemas.openxmlformats.org/officeDocument/2006/relationships/hyperlink" Target="https://www.colgate.com/en-my/products/toothbrush/colgate-proclinical-150-deepclean-battery-powered-toothbrush" TargetMode="External" Id="rId116" /><Relationship Type="http://schemas.openxmlformats.org/officeDocument/2006/relationships/hyperlink" Target="https://www.colgate.com/en-my/products/toothbrush/colgate-proclinical-150-charcoal-battery-powered-toothbrush" TargetMode="External" Id="rId117" /><Relationship Type="http://schemas.openxmlformats.org/officeDocument/2006/relationships/hyperlink" Target="https://www.colgate.com/en-my/products/toothbrush/colgate-proclinical-150-deepclean-battery-powered-toothbrush" TargetMode="External" Id="rId118" /><Relationship Type="http://schemas.openxmlformats.org/officeDocument/2006/relationships/hyperlink" Target="https://www.colgate.com/en-my/products/toothbrush/colgate-proclinical-150-charcoal-battery-powered-toothbrush" TargetMode="External" Id="rId119" /><Relationship Type="http://schemas.openxmlformats.org/officeDocument/2006/relationships/hyperlink" Target="https://www.colgate.com/en-my/products/toothbrush/colgate-proclinical-150-deepclean-battery-powered-toothbrush" TargetMode="External" Id="rId120" /><Relationship Type="http://schemas.openxmlformats.org/officeDocument/2006/relationships/hyperlink" Target="https://www.colgate.com/en-my/products/toothbrush/colgate-proclinical-150-charcoal-battery-powered-toothbrush" TargetMode="External" Id="rId121" /><Relationship Type="http://schemas.openxmlformats.org/officeDocument/2006/relationships/hyperlink" Target="https://www.colgate.com/en-my/products/toothbrush/colgate-proclinical-150-deepclean-battery-powered-toothbrush" TargetMode="External" Id="rId122" /><Relationship Type="http://schemas.openxmlformats.org/officeDocument/2006/relationships/hyperlink" Target="https://www.usa.philips.com/c-p/HX6817_01/sonicare-protectiveclean-4100-sonic-electric-toothbrush" TargetMode="External" Id="rId123" /><Relationship Type="http://schemas.openxmlformats.org/officeDocument/2006/relationships/hyperlink" Target="https://www.noon.com/uae-en/beauty/personal-care-16343/oral-hygiene/power-toothbrushes/philips_sonicare/" TargetMode="External" Id="rId124" /><Relationship Type="http://schemas.openxmlformats.org/officeDocument/2006/relationships/hyperlink" Target="https://www.colgate.com/en-my/products/toothbrush/colgate-proclinical-150-charcoal-battery-powered-toothbrush" TargetMode="External" Id="rId125" /><Relationship Type="http://schemas.openxmlformats.org/officeDocument/2006/relationships/hyperlink" Target="https://www.colgate.com/en-my/products/toothbrush/colgate-proclinical-150-deepclean-battery-powered-toothbrush" TargetMode="External" Id="rId126" /><Relationship Type="http://schemas.openxmlformats.org/officeDocument/2006/relationships/hyperlink" Target="https://www.colgate.com/en-my/products/toothbrush/colgate-proclinical-150-charcoal-battery-powered-toothbrush" TargetMode="External" Id="rId127" /><Relationship Type="http://schemas.openxmlformats.org/officeDocument/2006/relationships/hyperlink" Target="https://www.colgate.com/en-my/products/toothbrush/colgate-proclinical-150-deepclean-battery-powered-toothbrush" TargetMode="External" Id="rId128" /><Relationship Type="http://schemas.openxmlformats.org/officeDocument/2006/relationships/hyperlink" Target="https://www.colgate.com/en-my/products/toothbrush/colgate-proclinical-150-charcoal-battery-powered-toothbrush" TargetMode="External" Id="rId129" /><Relationship Type="http://schemas.openxmlformats.org/officeDocument/2006/relationships/hyperlink" Target="https://www.colgate.com/en-my/products/toothbrush/colgate-proclinical-150-deepclean-battery-powered-toothbrush" TargetMode="External" Id="rId130" /><Relationship Type="http://schemas.openxmlformats.org/officeDocument/2006/relationships/hyperlink" Target="https://www.colgate.com/en-my/products/toothbrush/colgate-proclinical-150-charcoal-battery-powered-toothbrush" TargetMode="External" Id="rId131" /><Relationship Type="http://schemas.openxmlformats.org/officeDocument/2006/relationships/hyperlink" Target="https://www.colgate.com/en-my/products/toothbrush/colgate-proclinical-150-deepclean-battery-powered-toothbrush" TargetMode="External" Id="rId132" /><Relationship Type="http://schemas.openxmlformats.org/officeDocument/2006/relationships/hyperlink" Target="https://www.colgate.com/en-my/products/toothbrush/colgate-proclinical-150-charcoal-battery-powered-toothbrush" TargetMode="External" Id="rId133" /><Relationship Type="http://schemas.openxmlformats.org/officeDocument/2006/relationships/hyperlink" Target="https://www.colgate.com/en-my/products/toothbrush/colgate-proclinical-150-deepclean-battery-powered-toothbrush" TargetMode="External" Id="rId134" /><Relationship Type="http://schemas.openxmlformats.org/officeDocument/2006/relationships/hyperlink" Target="https://www.colgate.com/en-my/products/toothbrush/colgate-proclinical-150-charcoal-battery-powered-toothbrush" TargetMode="External" Id="rId135" /><Relationship Type="http://schemas.openxmlformats.org/officeDocument/2006/relationships/hyperlink" Target="https://www.colgate.com/en-my/products/toothbrush/colgate-proclinical-150-deepclean-battery-powered-toothbrush" TargetMode="External" Id="rId136" /><Relationship Type="http://schemas.openxmlformats.org/officeDocument/2006/relationships/hyperlink" Target="https://www.colgate.com/en-my/products/toothbrush/colgate-proclinical-150-charcoal-battery-powered-toothbrush" TargetMode="External" Id="rId137" /><Relationship Type="http://schemas.openxmlformats.org/officeDocument/2006/relationships/hyperlink" Target="https://www.colgate.com/en-my/products/toothbrush/colgate-proclinical-150-deepclean-battery-powered-toothbrush" TargetMode="External" Id="rId138" /><Relationship Type="http://schemas.openxmlformats.org/officeDocument/2006/relationships/hyperlink" Target="https://www.colgate.com/en-my/products/toothbrush/colgate-proclinical-150-charcoal-battery-powered-toothbrush" TargetMode="External" Id="rId139" /><Relationship Type="http://schemas.openxmlformats.org/officeDocument/2006/relationships/hyperlink" Target="https://www.colgate.com/en-my/products/toothbrush/colgate-proclinical-150-deepclean-battery-powered-toothbrush" TargetMode="External" Id="rId140" /><Relationship Type="http://schemas.openxmlformats.org/officeDocument/2006/relationships/hyperlink" Target="https://www.colgate.com/en-my/products/toothbrush/colgate-proclinical-150-charcoal-battery-powered-toothbrush" TargetMode="External" Id="rId141" /><Relationship Type="http://schemas.openxmlformats.org/officeDocument/2006/relationships/hyperlink" Target="https://www.colgate.com/en-my/products/toothbrush/colgate-proclinical-150-deepclean-battery-powered-toothbrush" TargetMode="External" Id="rId142" /><Relationship Type="http://schemas.openxmlformats.org/officeDocument/2006/relationships/hyperlink" Target="https://www.colgate.com/en-my/products/toothbrush/colgate-proclinical-150-charcoal-battery-powered-toothbrush" TargetMode="External" Id="rId143" /><Relationship Type="http://schemas.openxmlformats.org/officeDocument/2006/relationships/hyperlink" Target="https://www.colgate.com/en-my/products/toothbrush/colgate-proclinical-150-deepclean-battery-powered-toothbrush" TargetMode="External" Id="rId144" /><Relationship Type="http://schemas.openxmlformats.org/officeDocument/2006/relationships/hyperlink" Target="https://www.colgate.com/en-my/products/toothbrush/colgate-proclinical-150-charcoal-battery-powered-toothbrush" TargetMode="External" Id="rId145" /><Relationship Type="http://schemas.openxmlformats.org/officeDocument/2006/relationships/hyperlink" Target="https://www.colgate.com/en-my/products/toothbrush/colgate-proclinical-150-deepclean-battery-powered-toothbrush" TargetMode="External" Id="rId146" /><Relationship Type="http://schemas.openxmlformats.org/officeDocument/2006/relationships/hyperlink" Target="https://www.colgate.com/en-my/products/toothbrush/colgate-proclinical-150-charcoal-battery-powered-toothbrush" TargetMode="External" Id="rId147" /><Relationship Type="http://schemas.openxmlformats.org/officeDocument/2006/relationships/hyperlink" Target="https://www.colgate.com/en-my/products/toothbrush/colgate-proclinical-150-deepclean-battery-powered-toothbrush" TargetMode="External" Id="rId148" /><Relationship Type="http://schemas.openxmlformats.org/officeDocument/2006/relationships/hyperlink" Target="https://www.colgate.com/en-my/products/toothbrush/colgate-proclinical-150-charcoal-battery-powered-toothbrush" TargetMode="External" Id="rId149" /><Relationship Type="http://schemas.openxmlformats.org/officeDocument/2006/relationships/hyperlink" Target="https://www.colgate.com/en-my/products/toothbrush/colgate-proclinical-150-deepclean-battery-powered-toothbrush" TargetMode="External" Id="rId150" /><Relationship Type="http://schemas.openxmlformats.org/officeDocument/2006/relationships/hyperlink" Target="https://www.colgate.com/en-my/products/toothbrush/colgate-proclinical-150-charcoal-battery-powered-toothbrush" TargetMode="External" Id="rId151" /><Relationship Type="http://schemas.openxmlformats.org/officeDocument/2006/relationships/hyperlink" Target="https://www.colgate.com/en-my/products/toothbrush/colgate-proclinical-150-deepclean-battery-powered-toothbrush" TargetMode="External" Id="rId152" /><Relationship Type="http://schemas.openxmlformats.org/officeDocument/2006/relationships/hyperlink" Target="https://www.colgate.com/en-my/products/toothbrush/colgate-proclinical-150-charcoal-battery-powered-toothbrush" TargetMode="External" Id="rId153" /><Relationship Type="http://schemas.openxmlformats.org/officeDocument/2006/relationships/hyperlink" Target="https://www.colgate.com/en-my/products/toothbrush/colgate-proclinical-150-deepclean-battery-powered-toothbrush" TargetMode="External" Id="rId154" /><Relationship Type="http://schemas.openxmlformats.org/officeDocument/2006/relationships/hyperlink" Target="https://www.colgate.com/en-my/products/toothbrush/colgate-proclinical-150-charcoal-battery-powered-toothbrush" TargetMode="External" Id="rId155" /><Relationship Type="http://schemas.openxmlformats.org/officeDocument/2006/relationships/hyperlink" Target="https://www.colgate.com/en-my/products/toothbrush/colgate-proclinical-150-deepclean-battery-powered-toothbrush" TargetMode="External" Id="rId156" /><Relationship Type="http://schemas.openxmlformats.org/officeDocument/2006/relationships/hyperlink" Target="https://www.colgate.com/en-my/products/toothbrush/colgate-proclinical-150-charcoal-battery-powered-toothbrush" TargetMode="External" Id="rId157" /><Relationship Type="http://schemas.openxmlformats.org/officeDocument/2006/relationships/hyperlink" Target="https://www.colgate.com/en-my/products/toothbrush/colgate-proclinical-150-deepclean-battery-powered-toothbrush" TargetMode="External" Id="rId158" /><Relationship Type="http://schemas.openxmlformats.org/officeDocument/2006/relationships/hyperlink" Target="https://www.colgate.com/en-my/products/toothbrush/colgate-proclinical-150-charcoal-battery-powered-toothbrush" TargetMode="External" Id="rId159" /><Relationship Type="http://schemas.openxmlformats.org/officeDocument/2006/relationships/hyperlink" Target="https://www.colgate.com/en-my/products/toothbrush/colgate-proclinical-150-deepclean-battery-powered-toothbrush" TargetMode="External" Id="rId160" /><Relationship Type="http://schemas.openxmlformats.org/officeDocument/2006/relationships/hyperlink" Target="https://www.colgate.com/en-my/products/toothbrush/colgate-proclinical-150-charcoal-battery-powered-toothbrush" TargetMode="External" Id="rId161" /><Relationship Type="http://schemas.openxmlformats.org/officeDocument/2006/relationships/hyperlink" Target="https://www.colgate.com/en-my/products/toothbrush/colgate-proclinical-150-deepclean-battery-powered-toothbrush" TargetMode="External" Id="rId162" /><Relationship Type="http://schemas.openxmlformats.org/officeDocument/2006/relationships/hyperlink" Target="https://www.colgate.com/en-my/products/toothbrush/colgate-proclinical-150-charcoal-battery-powered-toothbrush" TargetMode="External" Id="rId163" /><Relationship Type="http://schemas.openxmlformats.org/officeDocument/2006/relationships/hyperlink" Target="https://www.colgate.com/en-my/products/toothbrush/colgate-proclinical-150-deepclean-battery-powered-toothbrush" TargetMode="External" Id="rId164" /><Relationship Type="http://schemas.openxmlformats.org/officeDocument/2006/relationships/hyperlink" Target="https://www.colgate.com/en-my/products/toothbrush/colgate-proclinical-150-charcoal-battery-powered-toothbrush" TargetMode="External" Id="rId165" /><Relationship Type="http://schemas.openxmlformats.org/officeDocument/2006/relationships/hyperlink" Target="https://www.colgate.com/en-my/products/toothbrush/colgate-proclinical-150-deepclean-battery-powered-toothbrush" TargetMode="External" Id="rId166" /><Relationship Type="http://schemas.openxmlformats.org/officeDocument/2006/relationships/hyperlink" Target="https://www.colgate.com/en-my/products/toothbrush/colgate-proclinical-150-charcoal-battery-powered-toothbrush" TargetMode="External" Id="rId167" /><Relationship Type="http://schemas.openxmlformats.org/officeDocument/2006/relationships/hyperlink" Target="https://www.colgate.com/en-my/products/toothbrush/colgate-proclinical-150-deepclean-battery-powered-toothbrush" TargetMode="External" Id="rId168" /><Relationship Type="http://schemas.openxmlformats.org/officeDocument/2006/relationships/hyperlink" Target="https://www.jumia.ci/slp/brosse-a-dents-electrique-durable-suri" TargetMode="External" Id="rId169" /><Relationship Type="http://schemas.openxmlformats.org/officeDocument/2006/relationships/hyperlink" Target="https://www.jumia.ci/brosse-a-dents-electrique/" TargetMode="External" Id="rId170" /><Relationship Type="http://schemas.openxmlformats.org/officeDocument/2006/relationships/hyperlink" Target="https://www.jumia.ci/slp/brosse-a-dents-electrique-durable-suri" TargetMode="External" Id="rId171" /><Relationship Type="http://schemas.openxmlformats.org/officeDocument/2006/relationships/hyperlink" Target="https://www.jumia.ci/brosse-a-dents-electrique/" TargetMode="External" Id="rId172" /><Relationship Type="http://schemas.openxmlformats.org/officeDocument/2006/relationships/hyperlink" Target="https://www.usa.philips.com/c-p/HX6321_02/sonicare-for-kids-sonic-electric-toothbrush" TargetMode="External" Id="rId173" /><Relationship Type="http://schemas.openxmlformats.org/officeDocument/2006/relationships/hyperlink" Target="https://www.philips.com/c-dam/b2c/category-pages/personal-care/POHC/resource-library-docs/HX6321-03%20LEAFLET-Sonicare-%20For-Kids-%20Connected-Electric-Toothbrush.pdf" TargetMode="External" Id="rId174" /><Relationship Type="http://schemas.openxmlformats.org/officeDocument/2006/relationships/hyperlink" Target="https://www.usa.philips.com/c-p/HX6321_02/sonicare-for-kids-sonic-electric-toothbrush" TargetMode="External" Id="rId175" /><Relationship Type="http://schemas.openxmlformats.org/officeDocument/2006/relationships/hyperlink" Target="https://www.philips.com/c-dam/b2c/category-pages/personal-care/POHC/resource-library-docs/HX6321-03%20LEAFLET-Sonicare-%20For-Kids-%20Connected-Electric-Toothbrush.pdf" TargetMode="External" Id="rId176" /><Relationship Type="http://schemas.openxmlformats.org/officeDocument/2006/relationships/hyperlink" Target="https://www.usa.philips.com/c-p/HX6321_02/sonicare-for-kids-sonic-electric-toothbrush" TargetMode="External" Id="rId177" /><Relationship Type="http://schemas.openxmlformats.org/officeDocument/2006/relationships/hyperlink" Target="https://www.philips.com/c-dam/b2c/category-pages/personal-care/POHC/resource-library-docs/HX6321-03%20LEAFLET-Sonicare-%20For-Kids-%20Connected-Electric-Toothbrush.pdf" TargetMode="External" Id="rId178" /><Relationship Type="http://schemas.openxmlformats.org/officeDocument/2006/relationships/hyperlink" Target="https://www.usa.philips.com/c-p/HX6321_02/sonicare-for-kids-sonic-electric-toothbrush" TargetMode="External" Id="rId179" /><Relationship Type="http://schemas.openxmlformats.org/officeDocument/2006/relationships/hyperlink" Target="https://www.philips.com/c-dam/b2c/category-pages/personal-care/POHC/resource-library-docs/HX6321-03%20LEAFLET-Sonicare-%20For-Kids-%20Connected-Electric-Toothbrush.pdf" TargetMode="External" Id="rId180" /><Relationship Type="http://schemas.openxmlformats.org/officeDocument/2006/relationships/hyperlink" Target="https://www.usa.philips.com/c-p/HX6321_02/sonicare-for-kids-sonic-electric-toothbrush" TargetMode="External" Id="rId181" /><Relationship Type="http://schemas.openxmlformats.org/officeDocument/2006/relationships/hyperlink" Target="https://www.philips.com/c-dam/b2c/category-pages/personal-care/POHC/resource-library-docs/HX6321-03%20LEAFLET-Sonicare-%20For-Kids-%20Connected-Electric-Toothbrush.pdf" TargetMode="External" Id="rId182" /><Relationship Type="http://schemas.openxmlformats.org/officeDocument/2006/relationships/hyperlink" Target="https://www.usa.philips.com/c-p/HX6321_02/sonicare-for-kids-sonic-electric-toothbrush" TargetMode="External" Id="rId183" /><Relationship Type="http://schemas.openxmlformats.org/officeDocument/2006/relationships/hyperlink" Target="https://www.philips.com/c-dam/b2c/category-pages/personal-care/POHC/resource-library-docs/HX6321-03%20LEAFLET-Sonicare-%20For-Kids-%20Connected-Electric-Toothbrush.pdf" TargetMode="External" Id="rId184" /><Relationship Type="http://schemas.openxmlformats.org/officeDocument/2006/relationships/hyperlink" Target="https://www.amazon.com/Oral-B-Pro-Health-Battery-Toothbrush-featuring/dp/B01AKGRSCG" TargetMode="External" Id="rId185" /><Relationship Type="http://schemas.openxmlformats.org/officeDocument/2006/relationships/hyperlink" Target="https://oralb.com/en-us/products/more-products/kids-products/kids-battery-toothbrush-featuring-disney-princess/" TargetMode="External" Id="rId186" /><Relationship Type="http://schemas.openxmlformats.org/officeDocument/2006/relationships/hyperlink" Target="https://www.amazon.com/Oral-B-Pro-Health-Battery-Toothbrush-featuring/dp/B01AKGRSCG" TargetMode="External" Id="rId187" /><Relationship Type="http://schemas.openxmlformats.org/officeDocument/2006/relationships/hyperlink" Target="https://oralb.com/en-us/products/more-products/kids-products/kids-battery-toothbrush-featuring-disney-princess/" TargetMode="External" Id="rId188" /><Relationship Type="http://schemas.openxmlformats.org/officeDocument/2006/relationships/hyperlink" Target="https://www.amazon.com/Oral-B-Pro-Health-Battery-Toothbrush-featuring/dp/B01AKGRSCG" TargetMode="External" Id="rId189" /><Relationship Type="http://schemas.openxmlformats.org/officeDocument/2006/relationships/hyperlink" Target="https://oralb.com/en-us/products/more-products/kids-products/kids-battery-toothbrush-featuring-disney-princess/" TargetMode="External" Id="rId190" /><Relationship Type="http://schemas.openxmlformats.org/officeDocument/2006/relationships/hyperlink" Target="https://www.amazon.com/Oral-B-Pro-Health-Battery-Toothbrush-featuring/dp/B01AKGRSCG" TargetMode="External" Id="rId191" /><Relationship Type="http://schemas.openxmlformats.org/officeDocument/2006/relationships/hyperlink" Target="https://oralb.com/en-us/products/more-products/kids-products/kids-battery-toothbrush-featuring-disney-princess/" TargetMode="External" Id="rId192" /><Relationship Type="http://schemas.openxmlformats.org/officeDocument/2006/relationships/hyperlink" Target="https://www.amazon.com/Oral-B-Pro-Health-Battery-Toothbrush-featuring/dp/B01AKGRSCG" TargetMode="External" Id="rId193" /><Relationship Type="http://schemas.openxmlformats.org/officeDocument/2006/relationships/hyperlink" Target="https://oralb.com/en-us/products/more-products/kids-products/kids-battery-toothbrush-featuring-disney-princess/" TargetMode="External" Id="rId194" /><Relationship Type="http://schemas.openxmlformats.org/officeDocument/2006/relationships/hyperlink" Target="https://www.amazon.com/Oral-B-Pro-Health-Battery-Toothbrush-featuring/dp/B01AKGRSCG" TargetMode="External" Id="rId195" /><Relationship Type="http://schemas.openxmlformats.org/officeDocument/2006/relationships/hyperlink" Target="https://oralb.com/en-us/products/more-products/kids-products/kids-battery-toothbrush-featuring-disney-princess/" TargetMode="External" Id="rId196" /><Relationship Type="http://schemas.openxmlformats.org/officeDocument/2006/relationships/hyperlink" Target="https://www.amazon.com/Oral-B-Pro-Health-Battery-Toothbrush-featuring/dp/B01AKGRSCG" TargetMode="External" Id="rId197" /><Relationship Type="http://schemas.openxmlformats.org/officeDocument/2006/relationships/hyperlink" Target="https://oralb.com/en-us/products/more-products/kids-products/kids-battery-toothbrush-featuring-disney-princess/" TargetMode="External" Id="rId198" /><Relationship Type="http://schemas.openxmlformats.org/officeDocument/2006/relationships/hyperlink" Target="https://www.amazon.com/Oral-B-Pro-Health-Battery-Toothbrush-featuring/dp/B01AKGRSCG" TargetMode="External" Id="rId199" /><Relationship Type="http://schemas.openxmlformats.org/officeDocument/2006/relationships/hyperlink" Target="https://oralb.com/en-us/products/more-products/kids-products/kids-battery-toothbrush-featuring-disney-princess/" TargetMode="External" Id="rId200" /><Relationship Type="http://schemas.openxmlformats.org/officeDocument/2006/relationships/hyperlink" Target="https://www.amazon.com/Oral-B-Pro-Health-Battery-Toothbrush-featuring/dp/B01AKGRSCG" TargetMode="External" Id="rId201" /><Relationship Type="http://schemas.openxmlformats.org/officeDocument/2006/relationships/hyperlink" Target="https://oralb.com/en-us/products/more-products/kids-products/kids-battery-toothbrush-featuring-disney-princess/" TargetMode="External" Id="rId202" /><Relationship Type="http://schemas.openxmlformats.org/officeDocument/2006/relationships/hyperlink" Target="https://www.amazon.com/Oral-B-Pro-Health-Battery-Toothbrush-featuring/dp/B01AKGRSCG" TargetMode="External" Id="rId203" /><Relationship Type="http://schemas.openxmlformats.org/officeDocument/2006/relationships/hyperlink" Target="https://oralb.com/en-us/products/more-products/kids-products/kids-battery-toothbrush-featuring-disney-princess/" TargetMode="External" Id="rId204" /><Relationship Type="http://schemas.openxmlformats.org/officeDocument/2006/relationships/hyperlink" Target="https://www.usa.philips.com/c-p/HX6321_02/sonicare-for-kids-sonic-electric-toothbrush" TargetMode="External" Id="rId205" /><Relationship Type="http://schemas.openxmlformats.org/officeDocument/2006/relationships/hyperlink" Target="https://www.philips.com/c-dam/b2c/category-pages/personal-care/POHC/resource-library-docs/HX6321-03%20LEAFLET-Sonicare-%20For-Kids-%20Connected-Electric-Toothbrush.pdf" TargetMode="External" Id="rId206" /><Relationship Type="http://schemas.openxmlformats.org/officeDocument/2006/relationships/hyperlink" Target="https://www.usa.philips.com/c-p/HX6321_02/sonicare-for-kids-sonic-electric-toothbrush" TargetMode="External" Id="rId207" /><Relationship Type="http://schemas.openxmlformats.org/officeDocument/2006/relationships/hyperlink" Target="https://www.philips.com/c-dam/b2c/category-pages/personal-care/POHC/resource-library-docs/HX6321-03%20LEAFLET-Sonicare-%20For-Kids-%20Connected-Electric-Toothbrush.pdf" TargetMode="External" Id="rId208" /><Relationship Type="http://schemas.openxmlformats.org/officeDocument/2006/relationships/hyperlink" Target="https://www.usa.philips.com/c-p/HX6321_02/sonicare-for-kids-sonic-electric-toothbrush" TargetMode="External" Id="rId209" /><Relationship Type="http://schemas.openxmlformats.org/officeDocument/2006/relationships/hyperlink" Target="https://www.philips.com/c-dam/b2c/category-pages/personal-care/POHC/resource-library-docs/HX6321-03%20LEAFLET-Sonicare-%20For-Kids-%20Connected-Electric-Toothbrush.pdf" TargetMode="External" Id="rId210" /><Relationship Type="http://schemas.openxmlformats.org/officeDocument/2006/relationships/hyperlink" Target="https://www.usa.philips.com/c-p/HX6321_02/sonicare-for-kids-sonic-electric-toothbrush" TargetMode="External" Id="rId211" /><Relationship Type="http://schemas.openxmlformats.org/officeDocument/2006/relationships/hyperlink" Target="https://www.philips.com/c-dam/b2c/category-pages/personal-care/POHC/resource-library-docs/HX6321-03%20LEAFLET-Sonicare-%20For-Kids-%20Connected-Electric-Toothbrush.pdf" TargetMode="External" Id="rId212" /><Relationship Type="http://schemas.openxmlformats.org/officeDocument/2006/relationships/hyperlink" Target="https://oralb.com/en-us/products/io-series-3-rechargeable-electric-toothbrush-white/" TargetMode="External" Id="rId213" /><Relationship Type="http://schemas.openxmlformats.org/officeDocument/2006/relationships/hyperlink" Target="https://www.jumia.ci/slp/brosse-a-dents-electrique-oral-b-io3" TargetMode="External" Id="rId214" /><Relationship Type="http://schemas.openxmlformats.org/officeDocument/2006/relationships/hyperlink" Target="https://www.oral-b.co.in/en-in/products/electric-toothbrushes/or/vitality-cross-action" TargetMode="External" Id="rId215" /><Relationship Type="http://schemas.openxmlformats.org/officeDocument/2006/relationships/hyperlink" Target="https://www.jumia.ci/mlp-oral-b-brosse-a-dent/" TargetMode="External" Id="rId216" /><Relationship Type="http://schemas.openxmlformats.org/officeDocument/2006/relationships/hyperlink" Target="https://www.amazon.co.uk/Oral-B-CrossAction-Electric-Toothbrush-Rechargeable/dp/B072DTPBHF" TargetMode="External" Id="rId217" /><Relationship Type="http://schemas.openxmlformats.org/officeDocument/2006/relationships/hyperlink" Target="https://www.electricteeth.com/uk/oral-b-pro-3-3000-review/" TargetMode="External" Id="rId218" /><Relationship Type="http://schemas.openxmlformats.org/officeDocument/2006/relationships/hyperlink" Target="https://www.amazon.com/Oral-B-Pro-Health-Battery-Toothbrush-featuring/dp/B01AKGRSCG" TargetMode="External" Id="rId219" /><Relationship Type="http://schemas.openxmlformats.org/officeDocument/2006/relationships/hyperlink" Target="https://oralb.com/en-us/products/more-products/kids-products/kids-battery-toothbrush-featuring-disney-princess/" TargetMode="External" Id="rId220" /><Relationship Type="http://schemas.openxmlformats.org/officeDocument/2006/relationships/hyperlink" Target="https://www.oral-b.co.in/en-in/products/electric-toothbrushes/or/vitality-cross-action" TargetMode="External" Id="rId221" /><Relationship Type="http://schemas.openxmlformats.org/officeDocument/2006/relationships/hyperlink" Target="https://www.jumia.ci/mlp-oral-b-brosse-a-dent/" TargetMode="External" Id="rId222" /><Relationship Type="http://schemas.openxmlformats.org/officeDocument/2006/relationships/hyperlink" Target="https://www.amazon.com/Oral-B-Pro-Health-Battery-Toothbrush-featuring/dp/B01AKGRSCG" TargetMode="External" Id="rId223" /><Relationship Type="http://schemas.openxmlformats.org/officeDocument/2006/relationships/hyperlink" Target="https://oralb.com/en-us/products/more-products/kids-products/kids-battery-toothbrush-featuring-disney-princess/" TargetMode="External" Id="rId224" /><Relationship Type="http://schemas.openxmlformats.org/officeDocument/2006/relationships/hyperlink" Target="https://www.amazon.com/Oral-B-Pro-Health-Battery-Toothbrush-featuring/dp/B01AKGRSCG" TargetMode="External" Id="rId225" /><Relationship Type="http://schemas.openxmlformats.org/officeDocument/2006/relationships/hyperlink" Target="https://oralb.com/en-us/products/more-products/kids-products/kids-battery-toothbrush-featuring-disney-princess/" TargetMode="External" Id="rId226" /><Relationship Type="http://schemas.openxmlformats.org/officeDocument/2006/relationships/hyperlink" Target="https://www.oral-b.co.in/en-in/products/electric-toothbrushes/or/vitality-cross-action" TargetMode="External" Id="rId227" /><Relationship Type="http://schemas.openxmlformats.org/officeDocument/2006/relationships/hyperlink" Target="https://www.jumia.ci/mlp-oral-b-brosse-a-dent/" TargetMode="External" Id="rId228" /><Relationship Type="http://schemas.openxmlformats.org/officeDocument/2006/relationships/hyperlink" Target="https://www.amazon.co.uk/Oral-B-CrossAction-Electric-Toothbrush-Rechargeable/dp/B072DTPBHF" TargetMode="External" Id="rId229" /><Relationship Type="http://schemas.openxmlformats.org/officeDocument/2006/relationships/hyperlink" Target="https://www.electricteeth.com/uk/oral-b-pro-3-3000-review/" TargetMode="External" Id="rId230" /><Relationship Type="http://schemas.openxmlformats.org/officeDocument/2006/relationships/hyperlink" Target="https://www.amazon.co.uk/Oral-B-CrossAction-Electric-Toothbrush-Rechargeable/dp/B072DTPBHF" TargetMode="External" Id="rId231" /><Relationship Type="http://schemas.openxmlformats.org/officeDocument/2006/relationships/hyperlink" Target="https://www.electricteeth.com/uk/oral-b-pro-3-3000-review/" TargetMode="External" Id="rId232" /></Relationships>
</file>

<file path=xl/worksheets/_rels/sheet3.xml.rels><Relationships xmlns="http://schemas.openxmlformats.org/package/2006/relationships"><Relationship Type="http://schemas.openxmlformats.org/officeDocument/2006/relationships/hyperlink" Target="https://www.waterpik.ch/en/oral-health/products/dental-water-flosser/WP-560/" TargetMode="External" Id="rId1" /><Relationship Type="http://schemas.openxmlformats.org/officeDocument/2006/relationships/hyperlink" Target="https://www.electricteeth.com/waterpik-cordless-advanced-wp560-review/" TargetMode="External" Id="rId2" /><Relationship Type="http://schemas.openxmlformats.org/officeDocument/2006/relationships/hyperlink" Target="https://www.waterpik.ch/en/oral-health/products/dental-water-flosser/WP-560/" TargetMode="External" Id="rId3" /><Relationship Type="http://schemas.openxmlformats.org/officeDocument/2006/relationships/hyperlink" Target="https://www.electricteeth.com/waterpik-cordless-advanced-wp560-review/" TargetMode="External" Id="rId4" /><Relationship Type="http://schemas.openxmlformats.org/officeDocument/2006/relationships/hyperlink" Target="https://www.waterpik.ch/en/oral-health/products/dental-water-flosser/WP-560/" TargetMode="External" Id="rId5" /><Relationship Type="http://schemas.openxmlformats.org/officeDocument/2006/relationships/hyperlink" Target="https://www.electricteeth.com/waterpik-cordless-advanced-wp560-review/" TargetMode="External" Id="rId6" /><Relationship Type="http://schemas.openxmlformats.org/officeDocument/2006/relationships/hyperlink" Target="https://www.panasonic.com/uk/support/discontinued-products/personal-care/ew-dj10.specs.html" TargetMode="External" Id="rId7" /><Relationship Type="http://schemas.openxmlformats.org/officeDocument/2006/relationships/hyperlink" Target="https://www.amazon.com/Panasonic-EW-DJ10-A-Portable-Oral-Irrigator/dp/B00H2H9J4C" TargetMode="External" Id="rId8" /><Relationship Type="http://schemas.openxmlformats.org/officeDocument/2006/relationships/hyperlink" Target="https://www.waterpik.ch/en/oral-health/products/dental-water-flosser/WP-560/" TargetMode="External" Id="rId9" /><Relationship Type="http://schemas.openxmlformats.org/officeDocument/2006/relationships/hyperlink" Target="https://www.electricteeth.com/waterpik-cordless-advanced-wp560-review/" TargetMode="External" Id="rId10" /><Relationship Type="http://schemas.openxmlformats.org/officeDocument/2006/relationships/hyperlink" Target="https://www.waterpik.ch/en/oral-health/products/dental-water-flosser/WP-560/" TargetMode="External" Id="rId11" /><Relationship Type="http://schemas.openxmlformats.org/officeDocument/2006/relationships/hyperlink" Target="https://www.electricteeth.com/waterpik-cordless-advanced-wp560-review/" TargetMode="External" Id="rId12" /><Relationship Type="http://schemas.openxmlformats.org/officeDocument/2006/relationships/hyperlink" Target="https://www.amazon.com/Waterpik-Ultra-Cordless-Water-Flosser/dp/B000UWAWQU" TargetMode="External" Id="rId13" /><Relationship Type="http://schemas.openxmlformats.org/officeDocument/2006/relationships/hyperlink" Target="https://www.bestbuy.com/site/waterpik-cordless-plus-water-flosser-white/9984479.p?skuId=9984479" TargetMode="External" Id="rId14" /><Relationship Type="http://schemas.openxmlformats.org/officeDocument/2006/relationships/hyperlink" Target="https://www.amazon.com/Waterpik-Ultra-Cordless-Water-Flosser/dp/B000UWAWQU" TargetMode="External" Id="rId15" /><Relationship Type="http://schemas.openxmlformats.org/officeDocument/2006/relationships/hyperlink" Target="https://www.bestbuy.com/site/waterpik-cordless-plus-water-flosser-white/9984479.p?skuId=9984479" TargetMode="External" Id="rId16" /><Relationship Type="http://schemas.openxmlformats.org/officeDocument/2006/relationships/hyperlink" Target="https://www.panasonic.com/uk/support/discontinued-products/personal-care/ew-dj10.specs.html" TargetMode="External" Id="rId17" /><Relationship Type="http://schemas.openxmlformats.org/officeDocument/2006/relationships/hyperlink" Target="https://www.amazon.com/Panasonic-EW-DJ10-A-Portable-Oral-Irrigator/dp/B00H2H9J4C" TargetMode="External" Id="rId18" /><Relationship Type="http://schemas.openxmlformats.org/officeDocument/2006/relationships/hyperlink" Target="https://www.panasonic.com/uk/support/discontinued-products/personal-care/ew-dj10.specs.html" TargetMode="External" Id="rId19" /><Relationship Type="http://schemas.openxmlformats.org/officeDocument/2006/relationships/hyperlink" Target="https://www.amazon.com/Panasonic-EW-DJ10-A-Portable-Oral-Irrigator/dp/B00H2H9J4C" TargetMode="External" Id="rId20" /><Relationship Type="http://schemas.openxmlformats.org/officeDocument/2006/relationships/hyperlink" Target="https://www.waterpik.ch/en/oral-health/products/dental-water-flosser/WP-560/" TargetMode="External" Id="rId21" /><Relationship Type="http://schemas.openxmlformats.org/officeDocument/2006/relationships/hyperlink" Target="https://www.electricteeth.com/waterpik-cordless-advanced-wp560-review/" TargetMode="External" Id="rId22" /></Relationships>
</file>

<file path=xl/worksheets/_rels/sheet4.xml.rels><Relationships xmlns="http://schemas.openxmlformats.org/package/2006/relationships"><Relationship Type="http://schemas.openxmlformats.org/officeDocument/2006/relationships/hyperlink" Target="https://www.usa.philips.com/c-p/HX6810_50/sonicare-protectiveclean-4100-sonic-electric-toothbrush/partsandaccessories" TargetMode="External" Id="rId1" /><Relationship Type="http://schemas.openxmlformats.org/officeDocument/2006/relationships/hyperlink" Target="https://www.ebay.com/itm/277611730525" TargetMode="External" Id="rId2" /><Relationship Type="http://schemas.openxmlformats.org/officeDocument/2006/relationships/hyperlink" Target="https://www.usa.philips.com/c-p/HX6810_50/sonicare-protectiveclean-4100-sonic-electric-toothbrush/partsandaccessories" TargetMode="External" Id="rId3" /><Relationship Type="http://schemas.openxmlformats.org/officeDocument/2006/relationships/hyperlink" Target="https://www.ebay.com/itm/277611730525" TargetMode="External" Id="rId4" /><Relationship Type="http://schemas.openxmlformats.org/officeDocument/2006/relationships/hyperlink" Target="https://www.usa.philips.com/c-p/HX6810_50/sonicare-protectiveclean-4100-sonic-electric-toothbrush/partsandaccessories" TargetMode="External" Id="rId5" /><Relationship Type="http://schemas.openxmlformats.org/officeDocument/2006/relationships/hyperlink" Target="https://www.ebay.com/itm/277611730525" TargetMode="External" Id="rId6" /><Relationship Type="http://schemas.openxmlformats.org/officeDocument/2006/relationships/hyperlink" Target="https://www.usa.philips.com/c-p/HX6810_50/sonicare-protectiveclean-4100-sonic-electric-toothbrush/partsandaccessories" TargetMode="External" Id="rId7" /><Relationship Type="http://schemas.openxmlformats.org/officeDocument/2006/relationships/hyperlink" Target="https://www.ebay.com/itm/277611730525" TargetMode="External" Id="rId8" /><Relationship Type="http://schemas.openxmlformats.org/officeDocument/2006/relationships/hyperlink" Target="https://www.amazon.com/usmile-Replacement-Toothbrush-Electric-Reminder/dp/B09D3SHP7K" TargetMode="External" Id="rId9" /><Relationship Type="http://schemas.openxmlformats.org/officeDocument/2006/relationships/hyperlink" Target="https://usmile.us/products/usmile-whitening-brush-head-2-packs" TargetMode="External" Id="rId10" /><Relationship Type="http://schemas.openxmlformats.org/officeDocument/2006/relationships/hyperlink" Target="https://www.usa.philips.com/c-p/HX6810_50/sonicare-protectiveclean-4100-sonic-electric-toothbrush/partsandaccessories" TargetMode="External" Id="rId11" /><Relationship Type="http://schemas.openxmlformats.org/officeDocument/2006/relationships/hyperlink" Target="https://www.ebay.com/itm/277611730525" TargetMode="External" Id="rId12" /><Relationship Type="http://schemas.openxmlformats.org/officeDocument/2006/relationships/hyperlink" Target="https://www.usa.philips.com/c-p/HX6810_50/sonicare-protectiveclean-4100-sonic-electric-toothbrush/partsandaccessories" TargetMode="External" Id="rId13" /><Relationship Type="http://schemas.openxmlformats.org/officeDocument/2006/relationships/hyperlink" Target="https://www.ebay.com/itm/277611730525" TargetMode="External" Id="rId14" /><Relationship Type="http://schemas.openxmlformats.org/officeDocument/2006/relationships/hyperlink" Target="https://www.usa.philips.com/c-p/HX6810_50/sonicare-protectiveclean-4100-sonic-electric-toothbrush/partsandaccessories" TargetMode="External" Id="rId15" /><Relationship Type="http://schemas.openxmlformats.org/officeDocument/2006/relationships/hyperlink" Target="https://www.ebay.com/itm/277611730525" TargetMode="External" Id="rId16" /><Relationship Type="http://schemas.openxmlformats.org/officeDocument/2006/relationships/hyperlink" Target="https://www.amazon.com/usmile-Replacement-Toothbrush-Electric-Reminder/dp/B09D3SHP7K" TargetMode="External" Id="rId17" /><Relationship Type="http://schemas.openxmlformats.org/officeDocument/2006/relationships/hyperlink" Target="https://usmile.us/products/usmile-whitening-brush-head-2-packs" TargetMode="External" Id="rId18" /><Relationship Type="http://schemas.openxmlformats.org/officeDocument/2006/relationships/hyperlink" Target="https://www.amazon.com/usmile-Replacement-Toothbrush-Electric-Reminder/dp/B09D3SHP7K" TargetMode="External" Id="rId19" /><Relationship Type="http://schemas.openxmlformats.org/officeDocument/2006/relationships/hyperlink" Target="https://usmile.us/products/usmile-whitening-brush-head-2-packs" TargetMode="External" Id="rId20" /><Relationship Type="http://schemas.openxmlformats.org/officeDocument/2006/relationships/hyperlink" Target="https://www.amazon.com/usmile-Replacement-Toothbrush-Electric-Reminder/dp/B09D3SHP7K" TargetMode="External" Id="rId21" /><Relationship Type="http://schemas.openxmlformats.org/officeDocument/2006/relationships/hyperlink" Target="https://usmile.us/products/usmile-whitening-brush-head-2-packs" TargetMode="External" Id="rId22" /><Relationship Type="http://schemas.openxmlformats.org/officeDocument/2006/relationships/hyperlink" Target="https://www.usa.philips.com/c-p/HX6810_50/sonicare-protectiveclean-4100-sonic-electric-toothbrush/partsandaccessories" TargetMode="External" Id="rId23" /><Relationship Type="http://schemas.openxmlformats.org/officeDocument/2006/relationships/hyperlink" Target="https://www.ebay.com/itm/277611730525" TargetMode="External" Id="rId24" /><Relationship Type="http://schemas.openxmlformats.org/officeDocument/2006/relationships/hyperlink" Target="https://www.amazon.com/usmile-Replacement-Toothbrush-Electric-Reminder/dp/B09D3SHP7K" TargetMode="External" Id="rId25" /><Relationship Type="http://schemas.openxmlformats.org/officeDocument/2006/relationships/hyperlink" Target="https://usmile.us/products/usmile-whitening-brush-head-2-packs" TargetMode="External" Id="rId26" /><Relationship Type="http://schemas.openxmlformats.org/officeDocument/2006/relationships/hyperlink" Target="https://www.amazon.com/usmile-Replacement-Toothbrush-Electric-Reminder/dp/B09D3SHP7K" TargetMode="External" Id="rId27" /><Relationship Type="http://schemas.openxmlformats.org/officeDocument/2006/relationships/hyperlink" Target="https://usmile.us/products/usmile-whitening-brush-head-2-packs" TargetMode="External" Id="rId28" /><Relationship Type="http://schemas.openxmlformats.org/officeDocument/2006/relationships/hyperlink" Target="https://www.usa.philips.com/c-p/HX6810_50/sonicare-protectiveclean-4100-sonic-electric-toothbrush/partsandaccessories" TargetMode="External" Id="rId29" /><Relationship Type="http://schemas.openxmlformats.org/officeDocument/2006/relationships/hyperlink" Target="https://www.ebay.com/itm/277611730525" TargetMode="External" Id="rId30" /><Relationship Type="http://schemas.openxmlformats.org/officeDocument/2006/relationships/hyperlink" Target="https://www.amazon.com/usmile-Replacement-Toothbrush-Electric-Reminder/dp/B09D3SHP7K" TargetMode="External" Id="rId31" /><Relationship Type="http://schemas.openxmlformats.org/officeDocument/2006/relationships/hyperlink" Target="https://usmile.us/products/usmile-whitening-brush-head-2-packs" TargetMode="External" Id="rId32" /><Relationship Type="http://schemas.openxmlformats.org/officeDocument/2006/relationships/hyperlink" Target="https://www.usa.philips.com/c-p/HX6810_50/sonicare-protectiveclean-4100-sonic-electric-toothbrush/partsandaccessories" TargetMode="External" Id="rId33" /><Relationship Type="http://schemas.openxmlformats.org/officeDocument/2006/relationships/hyperlink" Target="https://www.ebay.com/itm/277611730525" TargetMode="External" Id="rId34" /><Relationship Type="http://schemas.openxmlformats.org/officeDocument/2006/relationships/hyperlink" Target="https://www.usa.philips.com/c-p/HX6810_50/sonicare-protectiveclean-4100-sonic-electric-toothbrush/partsandaccessories" TargetMode="External" Id="rId35" /><Relationship Type="http://schemas.openxmlformats.org/officeDocument/2006/relationships/hyperlink" Target="https://www.ebay.com/itm/277611730525" TargetMode="External" Id="rId36" /><Relationship Type="http://schemas.openxmlformats.org/officeDocument/2006/relationships/hyperlink" Target="https://www.usa.philips.com/c-p/HX6810_50/sonicare-protectiveclean-4100-sonic-electric-toothbrush/partsandaccessories" TargetMode="External" Id="rId37" /><Relationship Type="http://schemas.openxmlformats.org/officeDocument/2006/relationships/hyperlink" Target="https://www.ebay.com/itm/277611730525" TargetMode="External" Id="rId38" /><Relationship Type="http://schemas.openxmlformats.org/officeDocument/2006/relationships/hyperlink" Target="https://www.usa.philips.com/c-p/HX6810_50/sonicare-protectiveclean-4100-sonic-electric-toothbrush/partsandaccessories" TargetMode="External" Id="rId39" /><Relationship Type="http://schemas.openxmlformats.org/officeDocument/2006/relationships/hyperlink" Target="https://www.ebay.com/itm/277611730525" TargetMode="External" Id="rId40" /><Relationship Type="http://schemas.openxmlformats.org/officeDocument/2006/relationships/hyperlink" Target="https://www.usa.philips.com/c-p/HX6810_50/sonicare-protectiveclean-4100-sonic-electric-toothbrush/partsandaccessories" TargetMode="External" Id="rId41" /><Relationship Type="http://schemas.openxmlformats.org/officeDocument/2006/relationships/hyperlink" Target="https://www.ebay.com/itm/277611730525" TargetMode="External" Id="rId42" /><Relationship Type="http://schemas.openxmlformats.org/officeDocument/2006/relationships/hyperlink" Target="https://www.usa.philips.com/c-p/HX6810_50/sonicare-protectiveclean-4100-sonic-electric-toothbrush/partsandaccessories" TargetMode="External" Id="rId43" /><Relationship Type="http://schemas.openxmlformats.org/officeDocument/2006/relationships/hyperlink" Target="https://www.ebay.com/itm/277611730525" TargetMode="External" Id="rId44" /><Relationship Type="http://schemas.openxmlformats.org/officeDocument/2006/relationships/hyperlink" Target="https://www.colgate.com/en-my/products/toothbrush/colgate-proclinical-150-deepclean-battery-powered-toothbrush" TargetMode="External" Id="rId45" /><Relationship Type="http://schemas.openxmlformats.org/officeDocument/2006/relationships/hyperlink" Target="https://www.colgate.com/en-my/products/toothbrush/colgate-proclinical-150-charcoal-battery-powered-toothbrush" TargetMode="External" Id="rId46" /><Relationship Type="http://schemas.openxmlformats.org/officeDocument/2006/relationships/hyperlink" Target="https://www.colgate.com/en-my/products/toothbrush/colgate-proclinical-150-deepclean-battery-powered-toothbrush" TargetMode="External" Id="rId47" /><Relationship Type="http://schemas.openxmlformats.org/officeDocument/2006/relationships/hyperlink" Target="https://www.colgate.com/en-my/products/toothbrush/colgate-proclinical-150-charcoal-battery-powered-toothbrush" TargetMode="External" Id="rId48" /><Relationship Type="http://schemas.openxmlformats.org/officeDocument/2006/relationships/hyperlink" Target="https://www.colgate.com/en-my/products/toothbrush/colgate-proclinical-150-deepclean-battery-powered-toothbrush" TargetMode="External" Id="rId49" /><Relationship Type="http://schemas.openxmlformats.org/officeDocument/2006/relationships/hyperlink" Target="https://www.colgate.com/en-my/products/toothbrush/colgate-proclinical-150-charcoal-battery-powered-toothbrush" TargetMode="External" Id="rId50" /><Relationship Type="http://schemas.openxmlformats.org/officeDocument/2006/relationships/hyperlink" Target="https://www.colgate.com/en-my/products/toothbrush/colgate-proclinical-150-deepclean-battery-powered-toothbrush" TargetMode="External" Id="rId51" /><Relationship Type="http://schemas.openxmlformats.org/officeDocument/2006/relationships/hyperlink" Target="https://www.colgate.com/en-my/products/toothbrush/colgate-proclinical-150-charcoal-battery-powered-toothbrush" TargetMode="External" Id="rId52" /><Relationship Type="http://schemas.openxmlformats.org/officeDocument/2006/relationships/hyperlink" Target="https://www.colgate.com/en-my/products/toothbrush/colgate-proclinical-150-deepclean-battery-powered-toothbrush" TargetMode="External" Id="rId53" /><Relationship Type="http://schemas.openxmlformats.org/officeDocument/2006/relationships/hyperlink" Target="https://www.colgate.com/en-my/products/toothbrush/colgate-proclinical-150-charcoal-battery-powered-toothbrush" TargetMode="External" Id="rId54" /><Relationship Type="http://schemas.openxmlformats.org/officeDocument/2006/relationships/hyperlink" Target="https://www.colgate.com/en-my/products/toothbrush/colgate-proclinical-150-deepclean-battery-powered-toothbrush" TargetMode="External" Id="rId55" /><Relationship Type="http://schemas.openxmlformats.org/officeDocument/2006/relationships/hyperlink" Target="https://www.colgate.com/en-my/products/toothbrush/colgate-proclinical-150-charcoal-battery-powered-toothbrush" TargetMode="External" Id="rId56" /><Relationship Type="http://schemas.openxmlformats.org/officeDocument/2006/relationships/hyperlink" Target="https://www.colgate.com/en-my/products/toothbrush/colgate-proclinical-150-deepclean-battery-powered-toothbrush" TargetMode="External" Id="rId57" /><Relationship Type="http://schemas.openxmlformats.org/officeDocument/2006/relationships/hyperlink" Target="https://www.colgate.com/en-my/products/toothbrush/colgate-proclinical-150-charcoal-battery-powered-toothbrush" TargetMode="External" Id="rId58" /><Relationship Type="http://schemas.openxmlformats.org/officeDocument/2006/relationships/hyperlink" Target="https://www.colgate.com/en-my/products/toothbrush/colgate-proclinical-150-deepclean-battery-powered-toothbrush" TargetMode="External" Id="rId59" /><Relationship Type="http://schemas.openxmlformats.org/officeDocument/2006/relationships/hyperlink" Target="https://www.colgate.com/en-my/products/toothbrush/colgate-proclinical-150-charcoal-battery-powered-toothbrush" TargetMode="External" Id="rId60" /><Relationship Type="http://schemas.openxmlformats.org/officeDocument/2006/relationships/hyperlink" Target="https://www.colgate.com/en-my/products/toothbrush/colgate-proclinical-150-deepclean-battery-powered-toothbrush" TargetMode="External" Id="rId61" /><Relationship Type="http://schemas.openxmlformats.org/officeDocument/2006/relationships/hyperlink" Target="https://www.colgate.com/en-my/products/toothbrush/colgate-proclinical-150-charcoal-battery-powered-toothbrush" TargetMode="External" Id="rId62" /><Relationship Type="http://schemas.openxmlformats.org/officeDocument/2006/relationships/hyperlink" Target="https://www.colgate.com/en-my/products/toothbrush/colgate-proclinical-150-deepclean-battery-powered-toothbrush" TargetMode="External" Id="rId63" /><Relationship Type="http://schemas.openxmlformats.org/officeDocument/2006/relationships/hyperlink" Target="https://www.colgate.com/en-my/products/toothbrush/colgate-proclinical-150-charcoal-battery-powered-toothbrush" TargetMode="External" Id="rId64" /><Relationship Type="http://schemas.openxmlformats.org/officeDocument/2006/relationships/hyperlink" Target="https://www.colgate.com/en-my/products/toothbrush/colgate-proclinical-150-deepclean-battery-powered-toothbrush" TargetMode="External" Id="rId65" /><Relationship Type="http://schemas.openxmlformats.org/officeDocument/2006/relationships/hyperlink" Target="https://www.colgate.com/en-my/products/toothbrush/colgate-proclinical-150-charcoal-battery-powered-toothbrush" TargetMode="External" Id="rId66" /><Relationship Type="http://schemas.openxmlformats.org/officeDocument/2006/relationships/hyperlink" Target="https://www.colgate.com/en-my/products/toothbrush/colgate-proclinical-150-deepclean-battery-powered-toothbrush" TargetMode="External" Id="rId67" /><Relationship Type="http://schemas.openxmlformats.org/officeDocument/2006/relationships/hyperlink" Target="https://www.colgate.com/en-my/products/toothbrush/colgate-proclinical-150-charcoal-battery-powered-toothbrush" TargetMode="External" Id="rId68" /><Relationship Type="http://schemas.openxmlformats.org/officeDocument/2006/relationships/hyperlink" Target="https://www.colgate.com/en-my/products/toothbrush/colgate-proclinical-150-deepclean-battery-powered-toothbrush" TargetMode="External" Id="rId69" /><Relationship Type="http://schemas.openxmlformats.org/officeDocument/2006/relationships/hyperlink" Target="https://www.colgate.com/en-my/products/toothbrush/colgate-proclinical-150-charcoal-battery-powered-toothbrush" TargetMode="External" Id="rId70" /><Relationship Type="http://schemas.openxmlformats.org/officeDocument/2006/relationships/hyperlink" Target="https://www.colgate.com/en-my/products/toothbrush/colgate-proclinical-150-deepclean-battery-powered-toothbrush" TargetMode="External" Id="rId71" /><Relationship Type="http://schemas.openxmlformats.org/officeDocument/2006/relationships/hyperlink" Target="https://www.colgate.com/en-my/products/toothbrush/colgate-proclinical-150-charcoal-battery-powered-toothbrush" TargetMode="External" Id="rId72" /><Relationship Type="http://schemas.openxmlformats.org/officeDocument/2006/relationships/hyperlink" Target="https://www.usa.philips.com/c-p/HX6810_50/sonicare-protectiveclean-4100-sonic-electric-toothbrush/partsandaccessories" TargetMode="External" Id="rId73" /><Relationship Type="http://schemas.openxmlformats.org/officeDocument/2006/relationships/hyperlink" Target="https://www.ebay.com/itm/277611730525" TargetMode="External" Id="rId74" /><Relationship Type="http://schemas.openxmlformats.org/officeDocument/2006/relationships/hyperlink" Target="https://www.usa.philips.com/c-p/HX6810_50/sonicare-protectiveclean-4100-sonic-electric-toothbrush/partsandaccessories" TargetMode="External" Id="rId75" /><Relationship Type="http://schemas.openxmlformats.org/officeDocument/2006/relationships/hyperlink" Target="https://www.ebay.com/itm/277611730525" TargetMode="External" Id="rId76" /><Relationship Type="http://schemas.openxmlformats.org/officeDocument/2006/relationships/hyperlink" Target="https://www.usa.philips.com/c-p/HX6810_50/sonicare-protectiveclean-4100-sonic-electric-toothbrush/partsandaccessories" TargetMode="External" Id="rId77" /><Relationship Type="http://schemas.openxmlformats.org/officeDocument/2006/relationships/hyperlink" Target="https://www.ebay.com/itm/277611730525" TargetMode="External" Id="rId78" /><Relationship Type="http://schemas.openxmlformats.org/officeDocument/2006/relationships/hyperlink" Target="https://www.usa.philips.com/c-p/HX6810_50/sonicare-protectiveclean-4100-sonic-electric-toothbrush/partsandaccessories" TargetMode="External" Id="rId79" /><Relationship Type="http://schemas.openxmlformats.org/officeDocument/2006/relationships/hyperlink" Target="https://www.ebay.com/itm/277611730525" TargetMode="External" Id="rId80" /><Relationship Type="http://schemas.openxmlformats.org/officeDocument/2006/relationships/hyperlink" Target="https://www.amazon.com/usmile-Replacement-Toothbrush-Electric-Reminder/dp/B09D3SHP7K" TargetMode="External" Id="rId81" /><Relationship Type="http://schemas.openxmlformats.org/officeDocument/2006/relationships/hyperlink" Target="https://usmile.us/products/usmile-whitening-brush-head-2-packs" TargetMode="External" Id="rId82" /><Relationship Type="http://schemas.openxmlformats.org/officeDocument/2006/relationships/hyperlink" Target="https://www.usa.philips.com/c-p/HX6810_50/sonicare-protectiveclean-4100-sonic-electric-toothbrush/partsandaccessories" TargetMode="External" Id="rId83" /><Relationship Type="http://schemas.openxmlformats.org/officeDocument/2006/relationships/hyperlink" Target="https://www.ebay.com/itm/277611730525" TargetMode="External" Id="rId84" /><Relationship Type="http://schemas.openxmlformats.org/officeDocument/2006/relationships/hyperlink" Target="https://www.usa.philips.com/c-p/HX6810_50/sonicare-protectiveclean-4100-sonic-electric-toothbrush/partsandaccessories" TargetMode="External" Id="rId85" /><Relationship Type="http://schemas.openxmlformats.org/officeDocument/2006/relationships/hyperlink" Target="https://www.ebay.com/itm/277611730525" TargetMode="External" Id="rId86" /><Relationship Type="http://schemas.openxmlformats.org/officeDocument/2006/relationships/hyperlink" Target="https://www.amazon.com/usmile-Replacement-Toothbrush-Electric-Reminder/dp/B09D3SHP7K" TargetMode="External" Id="rId87" /><Relationship Type="http://schemas.openxmlformats.org/officeDocument/2006/relationships/hyperlink" Target="https://usmile.us/products/usmile-whitening-brush-head-2-packs" TargetMode="External" Id="rId88" /><Relationship Type="http://schemas.openxmlformats.org/officeDocument/2006/relationships/hyperlink" Target="https://www.usa.philips.com/c-p/HX6810_50/sonicare-protectiveclean-4100-sonic-electric-toothbrush/partsandaccessories" TargetMode="External" Id="rId89" /><Relationship Type="http://schemas.openxmlformats.org/officeDocument/2006/relationships/hyperlink" Target="https://www.ebay.com/itm/277611730525" TargetMode="External" Id="rId90" /><Relationship Type="http://schemas.openxmlformats.org/officeDocument/2006/relationships/hyperlink" Target="https://www.usa.philips.com/c-p/HX6810_50/sonicare-protectiveclean-4100-sonic-electric-toothbrush/partsandaccessories" TargetMode="External" Id="rId91" /><Relationship Type="http://schemas.openxmlformats.org/officeDocument/2006/relationships/hyperlink" Target="https://www.ebay.com/itm/277611730525" TargetMode="External" Id="rId92" /><Relationship Type="http://schemas.openxmlformats.org/officeDocument/2006/relationships/hyperlink" Target="https://www.amazon.com/usmile-Replacement-Toothbrush-Electric-Reminder/dp/B09D3SHP7K" TargetMode="External" Id="rId93" /><Relationship Type="http://schemas.openxmlformats.org/officeDocument/2006/relationships/hyperlink" Target="https://usmile.us/products/usmile-whitening-brush-head-2-packs" TargetMode="External" Id="rId94" /><Relationship Type="http://schemas.openxmlformats.org/officeDocument/2006/relationships/hyperlink" Target="https://www.usa.philips.com/c-p/HX6810_50/sonicare-protectiveclean-4100-sonic-electric-toothbrush/partsandaccessories" TargetMode="External" Id="rId95" /><Relationship Type="http://schemas.openxmlformats.org/officeDocument/2006/relationships/hyperlink" Target="https://www.ebay.com/itm/277611730525" TargetMode="External" Id="rId96" /><Relationship Type="http://schemas.openxmlformats.org/officeDocument/2006/relationships/hyperlink" Target="https://www.usa.philips.com/c-p/HX6810_50/sonicare-protectiveclean-4100-sonic-electric-toothbrush/partsandaccessories" TargetMode="External" Id="rId97" /><Relationship Type="http://schemas.openxmlformats.org/officeDocument/2006/relationships/hyperlink" Target="https://www.ebay.com/itm/277611730525" TargetMode="External" Id="rId98" /><Relationship Type="http://schemas.openxmlformats.org/officeDocument/2006/relationships/hyperlink" Target="https://oralb.com/en-us/products/replacement-brush-heads/oral-b-crossaction-x-filaments-replacement-brush-heads-refill-black-3-count/" TargetMode="External" Id="rId99" /><Relationship Type="http://schemas.openxmlformats.org/officeDocument/2006/relationships/hyperlink" Target="https://www.amazon.com/clp/B077B5GCF8" TargetMode="External" Id="rId100" /><Relationship Type="http://schemas.openxmlformats.org/officeDocument/2006/relationships/hyperlink" Target="https://oralb.com/en-us/products/replacement-brush-heads/oral-b-crossaction-x-filaments-replacement-brush-heads-refill-black-3-count/" TargetMode="External" Id="rId101" /><Relationship Type="http://schemas.openxmlformats.org/officeDocument/2006/relationships/hyperlink" Target="https://www.amazon.com/clp/B077B5GCF8" TargetMode="External" Id="rId102" /><Relationship Type="http://schemas.openxmlformats.org/officeDocument/2006/relationships/hyperlink" Target="https://oralb.com/en-us/products/replacement-brush-heads/oral-b-crossaction-x-filaments-replacement-brush-heads-refill-black-3-count/" TargetMode="External" Id="rId103" /><Relationship Type="http://schemas.openxmlformats.org/officeDocument/2006/relationships/hyperlink" Target="https://www.amazon.com/clp/B077B5GCF8" TargetMode="External" Id="rId104" /><Relationship Type="http://schemas.openxmlformats.org/officeDocument/2006/relationships/hyperlink" Target="https://oralb.com/en-us/products/replacement-brush-heads/oral-b-crossaction-x-filaments-replacement-brush-heads-refill-black-3-count/" TargetMode="External" Id="rId105" /><Relationship Type="http://schemas.openxmlformats.org/officeDocument/2006/relationships/hyperlink" Target="https://www.amazon.com/clp/B077B5GCF8" TargetMode="External" Id="rId106" /><Relationship Type="http://schemas.openxmlformats.org/officeDocument/2006/relationships/hyperlink" Target="https://www.waterpik.ch/en/oral-health/products/dental-water-flosser/WP-560/" TargetMode="External" Id="rId107" /><Relationship Type="http://schemas.openxmlformats.org/officeDocument/2006/relationships/hyperlink" Target="https://www.electricteeth.com/waterpik-cordless-advanced-wp560-review/" TargetMode="External" Id="rId108" /><Relationship Type="http://schemas.openxmlformats.org/officeDocument/2006/relationships/hyperlink" Target="https://www.waterpik.ch/en/oral-health/products/dental-water-flosser/WP-560/" TargetMode="External" Id="rId109" /><Relationship Type="http://schemas.openxmlformats.org/officeDocument/2006/relationships/hyperlink" Target="https://www.electricteeth.com/waterpik-cordless-advanced-wp560-review/" TargetMode="External" Id="rId110" /><Relationship Type="http://schemas.openxmlformats.org/officeDocument/2006/relationships/hyperlink" Target="https://www.waterpik.ch/en/oral-health/products/dental-water-flosser/WP-560/" TargetMode="External" Id="rId111" /><Relationship Type="http://schemas.openxmlformats.org/officeDocument/2006/relationships/hyperlink" Target="https://www.electricteeth.com/waterpik-cordless-advanced-wp560-review/" TargetMode="External" Id="rId112" /><Relationship Type="http://schemas.openxmlformats.org/officeDocument/2006/relationships/hyperlink" Target="https://www.waterpik.ch/en/oral-health/products/dental-water-flosser/WP-560/" TargetMode="External" Id="rId113" /><Relationship Type="http://schemas.openxmlformats.org/officeDocument/2006/relationships/hyperlink" Target="https://www.electricteeth.com/waterpik-cordless-advanced-wp560-review/" TargetMode="External" Id="rId114" /><Relationship Type="http://schemas.openxmlformats.org/officeDocument/2006/relationships/hyperlink" Target="https://www.waterpik.ch/en/oral-health/products/dental-water-flosser/WP-560/" TargetMode="External" Id="rId115" /><Relationship Type="http://schemas.openxmlformats.org/officeDocument/2006/relationships/hyperlink" Target="https://www.electricteeth.com/waterpik-cordless-advanced-wp560-review/" TargetMode="External" Id="rId116" /><Relationship Type="http://schemas.openxmlformats.org/officeDocument/2006/relationships/hyperlink" Target="https://www.waterpik.ch/en/oral-health/products/dental-water-flosser/WP-560/" TargetMode="External" Id="rId117" /><Relationship Type="http://schemas.openxmlformats.org/officeDocument/2006/relationships/hyperlink" Target="https://www.electricteeth.com/waterpik-cordless-advanced-wp560-review/" TargetMode="External" Id="rId118" /></Relationships>
</file>

<file path=xl/worksheets/_rels/sheet5.xml.rels><Relationships xmlns="http://schemas.openxmlformats.org/package/2006/relationships"><Relationship Type="http://schemas.openxmlformats.org/officeDocument/2006/relationships/hyperlink" Target="https://www.jumia.ci/addigoes-brosse-a-dents-electrique-sonique-rechargeable-usb-6-modes-etanche-haute-frequence-4-tetes-de-brosse-nettoyage-dentaire-professionnel-noir-30497266.html" TargetMode="External" Id="rId1" /><Relationship Type="http://schemas.openxmlformats.org/officeDocument/2006/relationships/hyperlink" Target="https://www.jumia.ci/brosse-a-dents-electrique/" TargetMode="External" Id="rId2" /><Relationship Type="http://schemas.openxmlformats.org/officeDocument/2006/relationships/hyperlink" Target="https://www.colgate.com/en-my/products/toothbrush/colgate-proclinical-150-charcoal-battery-powered-toothbrush" TargetMode="External" Id="rId3" /><Relationship Type="http://schemas.openxmlformats.org/officeDocument/2006/relationships/hyperlink" Target="https://www.colgate.com/en-my/products/toothbrush/colgate-proclinical-150-deepclean-battery-powered-toothbrush" TargetMode="External" Id="rId4" /><Relationship Type="http://schemas.openxmlformats.org/officeDocument/2006/relationships/hyperlink" Target="https://www.fairywill.com/products/fairywill-electric-toothbrush-d7-sonic-rechargeable-4-heads-usb-ipx7-5-modes" TargetMode="External" Id="rId5" /><Relationship Type="http://schemas.openxmlformats.org/officeDocument/2006/relationships/hyperlink" Target="https://www.jumia.ma/brosse-a-dents-electrique/fairywill/" TargetMode="External" Id="rId6" /><Relationship Type="http://schemas.openxmlformats.org/officeDocument/2006/relationships/hyperlink" Target="https://www.fairywill.com/products/fairywill-electric-toothbrush-30-days-usage-5-modes-changeable-heads-timer" TargetMode="External" Id="rId7" /><Relationship Type="http://schemas.openxmlformats.org/officeDocument/2006/relationships/hyperlink" Target="https://www.jumia.ma/brosse-a-dents-electrique/fairywill/" TargetMode="External" Id="rId8" /><Relationship Type="http://schemas.openxmlformats.org/officeDocument/2006/relationships/hyperlink" Target="https://www.jumia.ci/generic-brosse-a-dents-electrique-intelligente-ultra-sonique-bleuvert-20003595.html" TargetMode="External" Id="rId9" /><Relationship Type="http://schemas.openxmlformats.org/officeDocument/2006/relationships/hyperlink" Target="https://www.jumia.ci/generic-brosse-a-dents-electrique-a-ultrasons-intelligente-4-tetes-de-brosse-30336847.html" TargetMode="External" Id="rId10" /><Relationship Type="http://schemas.openxmlformats.org/officeDocument/2006/relationships/hyperlink" Target="https://www.electricteeth.com/oclean-x-pro-elite-review/" TargetMode="External" Id="rId11" /><Relationship Type="http://schemas.openxmlformats.org/officeDocument/2006/relationships/hyperlink" Target="https://www.techradar.com/reviews/oclean-x-pro-elite" TargetMode="External" Id="rId12" /><Relationship Type="http://schemas.openxmlformats.org/officeDocument/2006/relationships/hyperlink" Target="https://www.amazon.com/Oral-B-Pro-Health-Battery-Toothbrush-featuring/dp/B01AKGRSCG" TargetMode="External" Id="rId13" /><Relationship Type="http://schemas.openxmlformats.org/officeDocument/2006/relationships/hyperlink" Target="https://oralb.com/en-us/products/more-products/kids-products/kids-battery-toothbrush-featuring-disney-princess/" TargetMode="External" Id="rId14" /><Relationship Type="http://schemas.openxmlformats.org/officeDocument/2006/relationships/hyperlink" Target="https://oralb.com/en-us/products/kids-products/oral-b-kids-electric-toothbrush-bundle-featuring-disney-s-frozen/" TargetMode="External" Id="rId15" /><Relationship Type="http://schemas.openxmlformats.org/officeDocument/2006/relationships/hyperlink" Target="https://www.livescience.com/oral-b-kids-electric-toothbrush-review" TargetMode="External" Id="rId16" /><Relationship Type="http://schemas.openxmlformats.org/officeDocument/2006/relationships/hyperlink" Target="https://www.amazon.co.uk/Oral-B-CrossAction-Electric-Toothbrush-Rechargeable/dp/B072DTPBHF" TargetMode="External" Id="rId17" /><Relationship Type="http://schemas.openxmlformats.org/officeDocument/2006/relationships/hyperlink" Target="https://www.electricteeth.com/uk/oral-b-pro-3-3000-review/" TargetMode="External" Id="rId18" /><Relationship Type="http://schemas.openxmlformats.org/officeDocument/2006/relationships/hyperlink" Target="https://www.oral-b.co.in/en-in/products/electric-toothbrushes/or/vitality-cross-action" TargetMode="External" Id="rId19" /><Relationship Type="http://schemas.openxmlformats.org/officeDocument/2006/relationships/hyperlink" Target="https://www.jumia.ci/mlp-oral-b-brosse-a-dent/" TargetMode="External" Id="rId20" /><Relationship Type="http://schemas.openxmlformats.org/officeDocument/2006/relationships/hyperlink" Target="https://oralb.com/en-us/products/io-series-3-rechargeable-electric-toothbrush-white/" TargetMode="External" Id="rId21" /><Relationship Type="http://schemas.openxmlformats.org/officeDocument/2006/relationships/hyperlink" Target="https://www.jumia.ci/slp/brosse-a-dents-electrique-oral-b-io3" TargetMode="External" Id="rId22" /><Relationship Type="http://schemas.openxmlformats.org/officeDocument/2006/relationships/hyperlink" Target="https://www.usa.philips.com/c-p/HX6321_02/sonicare-for-kids-sonic-electric-toothbrush" TargetMode="External" Id="rId23" /><Relationship Type="http://schemas.openxmlformats.org/officeDocument/2006/relationships/hyperlink" Target="https://www.philips.com/c-dam/b2c/category-pages/personal-care/POHC/resource-library-docs/HX6321-03%20LEAFLET-Sonicare-%20For-Kids-%20Connected-Electric-Toothbrush.pdf" TargetMode="External" Id="rId24" /><Relationship Type="http://schemas.openxmlformats.org/officeDocument/2006/relationships/hyperlink" Target="https://www.usa.philips.com/c-p/HX6817_01/sonicare-protectiveclean-4100-sonic-electric-toothbrush" TargetMode="External" Id="rId25" /><Relationship Type="http://schemas.openxmlformats.org/officeDocument/2006/relationships/hyperlink" Target="https://www.noon.com/uae-en/beauty/personal-care-16343/oral-hygiene/power-toothbrushes/philips_sonicare/" TargetMode="External" Id="rId26" /><Relationship Type="http://schemas.openxmlformats.org/officeDocument/2006/relationships/hyperlink" Target="https://www.jumia.ci/slp/brosse-a-dents-electrique-durable-suri" TargetMode="External" Id="rId27" /><Relationship Type="http://schemas.openxmlformats.org/officeDocument/2006/relationships/hyperlink" Target="https://www.jumia.ci/brosse-a-dents-electrique/" TargetMode="External" Id="rId28" /><Relationship Type="http://schemas.openxmlformats.org/officeDocument/2006/relationships/hyperlink" Target="https://www.mi.com/global/product/mi-smart-electric-toothbrush-t500/specs/" TargetMode="External" Id="rId29" /><Relationship Type="http://schemas.openxmlformats.org/officeDocument/2006/relationships/hyperlink" Target="https://www.electricteeth.com/uk/xiaomi-mi-review/" TargetMode="External" Id="rId30" /><Relationship Type="http://schemas.openxmlformats.org/officeDocument/2006/relationships/hyperlink" Target="https://www.usmile.com/electrictoothbrush/info.html?id=4" TargetMode="External" Id="rId31" /><Relationship Type="http://schemas.openxmlformats.org/officeDocument/2006/relationships/hyperlink" Target="https://www.ada.org/resources/research/science/ada-seal-of-acceptance/product-search/a065e00000BWImYAAX/usmile-sonic-electric-toothbrush-y1s" TargetMode="External" Id="rId32" /><Relationship Type="http://schemas.openxmlformats.org/officeDocument/2006/relationships/hyperlink" Target="https://www.waterpik.ch/en/oral-health/products/dental-water-flosser/WP-560/" TargetMode="External" Id="rId33" /><Relationship Type="http://schemas.openxmlformats.org/officeDocument/2006/relationships/hyperlink" Target="https://www.electricteeth.com/waterpik-cordless-advanced-wp560-review/" TargetMode="External" Id="rId34" /><Relationship Type="http://schemas.openxmlformats.org/officeDocument/2006/relationships/hyperlink" Target="https://www.jumia.ci/generic-1-piece-hydropulseur-portatif-rechargeable-usb-irrigateur-oral-280-ml-31831284.html" TargetMode="External" Id="rId35" /><Relationship Type="http://schemas.openxmlformats.org/officeDocument/2006/relationships/hyperlink" Target="https://www.jumia.ci/soins-bucco-dentaires-power-flosser-dentaire/" TargetMode="External" Id="rId36" /><Relationship Type="http://schemas.openxmlformats.org/officeDocument/2006/relationships/hyperlink" Target="https://www.jumia.ci/jet-dentaire-electrique-portable-hydropulseur-rechargeable-etanche-generic-mpg1033399.html" TargetMode="External" Id="rId37" /><Relationship Type="http://schemas.openxmlformats.org/officeDocument/2006/relationships/hyperlink" Target="https://www.jumia.ci/generic-irrigateur-oral-portable-nettoyeur-dentaire-hydropulseur-puissant-pour-le-soin-buccal-31064524.html" TargetMode="External" Id="rId38" /><Relationship Type="http://schemas.openxmlformats.org/officeDocument/2006/relationships/hyperlink" Target="https://www.panasonic.com/uk/support/discontinued-products/personal-care/ew-dj10.specs.html" TargetMode="External" Id="rId39" /><Relationship Type="http://schemas.openxmlformats.org/officeDocument/2006/relationships/hyperlink" Target="https://www.amazon.com/Panasonic-EW-DJ10-A-Portable-Oral-Irrigator/dp/B00H2H9J4C" TargetMode="External" Id="rId40" /><Relationship Type="http://schemas.openxmlformats.org/officeDocument/2006/relationships/hyperlink" Target="https://www.waterpik.ch/en/oral-health/products/dental-water-flosser/WP-560/" TargetMode="External" Id="rId41" /><Relationship Type="http://schemas.openxmlformats.org/officeDocument/2006/relationships/hyperlink" Target="https://www.electricteeth.com/waterpik-cordless-advanced-wp560-review/" TargetMode="External" Id="rId42" /><Relationship Type="http://schemas.openxmlformats.org/officeDocument/2006/relationships/hyperlink" Target="https://www.amazon.com/Waterpik-Ultra-Cordless-Water-Flosser/dp/B000UWAWQU" TargetMode="External" Id="rId43" /><Relationship Type="http://schemas.openxmlformats.org/officeDocument/2006/relationships/hyperlink" Target="https://www.bestbuy.com/site/waterpik-cordless-plus-water-flosser-white/9984479.p?skuId=9984479" TargetMode="External" Id="rId44" /><Relationship Type="http://schemas.openxmlformats.org/officeDocument/2006/relationships/hyperlink" Target="https://www.colgate.com/en-my/products/toothbrush/colgate-proclinical-150-deepclean-battery-powered-toothbrush" TargetMode="External" Id="rId45" /><Relationship Type="http://schemas.openxmlformats.org/officeDocument/2006/relationships/hyperlink" Target="https://www.colgate.com/en-my/products/toothbrush/colgate-proclinical-150-charcoal-battery-powered-toothbrush" TargetMode="External" Id="rId46" /><Relationship Type="http://schemas.openxmlformats.org/officeDocument/2006/relationships/hyperlink" Target="https://oralb.com/en-us/products/replacement-brush-heads/oral-b-crossaction-x-filaments-replacement-brush-heads-refill-black-3-count/" TargetMode="External" Id="rId47" /><Relationship Type="http://schemas.openxmlformats.org/officeDocument/2006/relationships/hyperlink" Target="https://www.amazon.com/clp/B077B5GCF8" TargetMode="External" Id="rId48" /><Relationship Type="http://schemas.openxmlformats.org/officeDocument/2006/relationships/hyperlink" Target="https://www.usa.philips.com/c-p/HX6810_50/sonicare-protectiveclean-4100-sonic-electric-toothbrush/partsandaccessories" TargetMode="External" Id="rId49" /><Relationship Type="http://schemas.openxmlformats.org/officeDocument/2006/relationships/hyperlink" Target="https://www.ebay.com/itm/277611730525" TargetMode="External" Id="rId50" /><Relationship Type="http://schemas.openxmlformats.org/officeDocument/2006/relationships/hyperlink" Target="https://www.amazon.com/usmile-Replacement-Toothbrush-Electric-Reminder/dp/B09D3SHP7K" TargetMode="External" Id="rId51" /><Relationship Type="http://schemas.openxmlformats.org/officeDocument/2006/relationships/hyperlink" Target="https://usmile.us/products/usmile-whitening-brush-head-2-packs" TargetMode="External" Id="rId52" /></Relationships>
</file>

<file path=xl/worksheets/_rels/sheet6.xml.rels><Relationships xmlns="http://schemas.openxmlformats.org/package/2006/relationships"><Relationship Type="http://schemas.openxmlformats.org/officeDocument/2006/relationships/hyperlink" Target="https://www.jumia.ci/addigoes-brosse-a-dents-electrique-sonique-rechargeable-usb-6-modes-etanche-haute-frequence-4-tetes-de-brosse-nettoyage-dentaire-professionnel-noir-30497266.html" TargetMode="External" Id="rId1" /><Relationship Type="http://schemas.openxmlformats.org/officeDocument/2006/relationships/hyperlink" Target="https://www.jumia.sn/generic-brosse-a-dents-electrique-sonique-x3-avec-8-tetes-de-brosse-support-etui-de-voyage-noir-12293395.html" TargetMode="External" Id="rId2" /><Relationship Type="http://schemas.openxmlformats.org/officeDocument/2006/relationships/hyperlink" Target="https://www.jumia.ci/brosses-dents-brosses-dents-electriques/" TargetMode="External" Id="rId3" /><Relationship Type="http://schemas.openxmlformats.org/officeDocument/2006/relationships/hyperlink" Target="https://www.jumia.sn/brosses-dents-brosses-dents-electriques/" TargetMode="External" Id="rId4" /><Relationship Type="http://schemas.openxmlformats.org/officeDocument/2006/relationships/hyperlink" Target="https://www.jumia.ci/brosses-dents-brosses-dents-electriques/" TargetMode="External" Id="rId5" /><Relationship Type="http://schemas.openxmlformats.org/officeDocument/2006/relationships/hyperlink" Target="https://www.jumia.sn/brosses-dents-brosses-dents-electriques/" TargetMode="External" Id="rId6" /><Relationship Type="http://schemas.openxmlformats.org/officeDocument/2006/relationships/hyperlink" Target="https://www.jumia.ci/brosses-dents-brosses-dents-electriques/" TargetMode="External" Id="rId7" /><Relationship Type="http://schemas.openxmlformats.org/officeDocument/2006/relationships/hyperlink" Target="https://www.jumia.sn/brosses-dents-brosses-dents-electriques/" TargetMode="External" Id="rId8" /><Relationship Type="http://schemas.openxmlformats.org/officeDocument/2006/relationships/hyperlink" Target="https://www.jumia.ci/generic-brosse-a-dents-electrique-intelligente-ultra-sonique-bleuvert-20003595.html" TargetMode="External" Id="rId9" /><Relationship Type="http://schemas.openxmlformats.org/officeDocument/2006/relationships/hyperlink" Target="https://www.jumia.sn/generic-brosse-a-dents-electrique-sonique-x3-avec-8-tetes-de-brosse-support-etui-de-voyage-noir-12293395.html" TargetMode="External" Id="rId10" /><Relationship Type="http://schemas.openxmlformats.org/officeDocument/2006/relationships/hyperlink" Target="https://www.jumia.ci/brosses-dents-brosses-dents-electriques/" TargetMode="External" Id="rId11" /><Relationship Type="http://schemas.openxmlformats.org/officeDocument/2006/relationships/hyperlink" Target="https://www.jumia.sn/brosses-dents-brosses-dents-electriques/" TargetMode="External" Id="rId12" /><Relationship Type="http://schemas.openxmlformats.org/officeDocument/2006/relationships/hyperlink" Target="https://www.jumia.ci/brand-oral-b/" TargetMode="External" Id="rId13" /><Relationship Type="http://schemas.openxmlformats.org/officeDocument/2006/relationships/hyperlink" Target="https://www.jumia.sn/brosse-a-dents/" TargetMode="External" Id="rId14" /><Relationship Type="http://schemas.openxmlformats.org/officeDocument/2006/relationships/hyperlink" Target="https://www.jumia.ci/brand-oral-b/" TargetMode="External" Id="rId15" /><Relationship Type="http://schemas.openxmlformats.org/officeDocument/2006/relationships/hyperlink" Target="https://www.jumia.sn/brosse-a-dents/" TargetMode="External" Id="rId16" /><Relationship Type="http://schemas.openxmlformats.org/officeDocument/2006/relationships/hyperlink" Target="https://www.jumia.ci/oral-b-brosse-a-dents-electrique-pro-series-1-31878636.html" TargetMode="External" Id="rId17" /><Relationship Type="http://schemas.openxmlformats.org/officeDocument/2006/relationships/hyperlink" Target="https://www.jumia.sn/brosses-dents-brosses-dents-electriques/" TargetMode="External" Id="rId18" /><Relationship Type="http://schemas.openxmlformats.org/officeDocument/2006/relationships/hyperlink" Target="https://www.jumia.ci/oral-b-vitality-pro-brosse-a-dents-electrique-noire-3-modes-de-nettoyage-avec-sensibilite-plus-1-brossette-de-rechange-1-chargeur-31949657.html" TargetMode="External" Id="rId19" /><Relationship Type="http://schemas.openxmlformats.org/officeDocument/2006/relationships/hyperlink" Target="https://www.jumia.sn/oral-b-brosse-a-dents-electrique-serie-oral-b-vitalite-d12-ensemble-au-choix-avec-remplacements-appropries-oscillation-rotation-de-la-tete-de-brosse4-heads-eb50-2762041.html" TargetMode="External" Id="rId20" /><Relationship Type="http://schemas.openxmlformats.org/officeDocument/2006/relationships/hyperlink" Target="https://www.jumia.ci/slp/brosse-a-dents-electrique-oral-b-io3" TargetMode="External" Id="rId21" /><Relationship Type="http://schemas.openxmlformats.org/officeDocument/2006/relationships/hyperlink" Target="https://www.jumia.sn/brosses-dents-brosses-dents-electriques/" TargetMode="External" Id="rId22" /><Relationship Type="http://schemas.openxmlformats.org/officeDocument/2006/relationships/hyperlink" Target="https://www.jumia.ci/brosses-dents-brosses-dents-electriques/" TargetMode="External" Id="rId23" /><Relationship Type="http://schemas.openxmlformats.org/officeDocument/2006/relationships/hyperlink" Target="https://www.jumia.sn/brosses-dents-brosses-dents-electriques/" TargetMode="External" Id="rId24" /><Relationship Type="http://schemas.openxmlformats.org/officeDocument/2006/relationships/hyperlink" Target="https://www.jumia.ci/brosses-dents-brosses-dents-electriques/" TargetMode="External" Id="rId25" /><Relationship Type="http://schemas.openxmlformats.org/officeDocument/2006/relationships/hyperlink" Target="https://www.jumia.sn/brosses-dents-brosses-dents-electriques/" TargetMode="External" Id="rId26" /><Relationship Type="http://schemas.openxmlformats.org/officeDocument/2006/relationships/hyperlink" Target="https://www.jumia.ci/slp/brosse-a-dents-electrique-durable-suri" TargetMode="External" Id="rId27" /><Relationship Type="http://schemas.openxmlformats.org/officeDocument/2006/relationships/hyperlink" Target="https://www.jumia.sn/brosses-dents-brosses-dents-electriques/" TargetMode="External" Id="rId28" /><Relationship Type="http://schemas.openxmlformats.org/officeDocument/2006/relationships/hyperlink" Target="https://www.jumia.ci/brosses-dents-brosses-dents-electriques/" TargetMode="External" Id="rId29" /><Relationship Type="http://schemas.openxmlformats.org/officeDocument/2006/relationships/hyperlink" Target="https://www.jumia.sn/brosses-dents-brosses-dents-electriques/" TargetMode="External" Id="rId30" /><Relationship Type="http://schemas.openxmlformats.org/officeDocument/2006/relationships/hyperlink" Target="https://www.jumia.ci/brosses-dents-brosses-dents-electriques/" TargetMode="External" Id="rId31" /><Relationship Type="http://schemas.openxmlformats.org/officeDocument/2006/relationships/hyperlink" Target="https://www.jumia.sn/brosses-dents-brosses-dents-electriques/" TargetMode="External" Id="rId32" /><Relationship Type="http://schemas.openxmlformats.org/officeDocument/2006/relationships/hyperlink" Target="https://www.jumia.ci/soins-bucco-dentaires-power-flosser-dentaire/" TargetMode="External" Id="rId33" /><Relationship Type="http://schemas.openxmlformats.org/officeDocument/2006/relationships/hyperlink" Target="https://www.jumia.sn/soins-bucco-dentaires-power-flosser-dentaire/" TargetMode="External" Id="rId34" /><Relationship Type="http://schemas.openxmlformats.org/officeDocument/2006/relationships/hyperlink" Target="https://www.jumia.ci/generic-1-piece-hydropulseur-portatif-rechargeable-usb-irrigateur-oral-280-ml-31831284.html" TargetMode="External" Id="rId35" /><Relationship Type="http://schemas.openxmlformats.org/officeDocument/2006/relationships/hyperlink" Target="https://www.jumia.sn/soins-bucco-dentaires-power-flosser-dentaire/" TargetMode="External" Id="rId36" /><Relationship Type="http://schemas.openxmlformats.org/officeDocument/2006/relationships/hyperlink" Target="https://www.jumia.ci/jet-dentaire-electrique-portable-hydropulseur-rechargeable-etanche-generic-mpg1033399.html" TargetMode="External" Id="rId37" /><Relationship Type="http://schemas.openxmlformats.org/officeDocument/2006/relationships/hyperlink" Target="https://www.jumia.sn/soins-bucco-dentaires-power-flosser-dentaire/" TargetMode="External" Id="rId38" /><Relationship Type="http://schemas.openxmlformats.org/officeDocument/2006/relationships/hyperlink" Target="https://www.jumia.ci/soins-bucco-dentaires-power-flosser-dentaire/" TargetMode="External" Id="rId39" /><Relationship Type="http://schemas.openxmlformats.org/officeDocument/2006/relationships/hyperlink" Target="https://www.jumia.sn/soins-bucco-dentaires-power-flosser-dentaire/" TargetMode="External" Id="rId40" /><Relationship Type="http://schemas.openxmlformats.org/officeDocument/2006/relationships/hyperlink" Target="https://www.jumia.ci/soins-bucco-dentaires-power-flosser-dentaire/" TargetMode="External" Id="rId41" /><Relationship Type="http://schemas.openxmlformats.org/officeDocument/2006/relationships/hyperlink" Target="https://www.jumia.sn/soins-bucco-dentaires-power-flosser-dentaire/" TargetMode="External" Id="rId42" /><Relationship Type="http://schemas.openxmlformats.org/officeDocument/2006/relationships/hyperlink" Target="https://www.jumia.ci/soins-bucco-dentaires-power-flosser-dentaire/" TargetMode="External" Id="rId43" /><Relationship Type="http://schemas.openxmlformats.org/officeDocument/2006/relationships/hyperlink" Target="https://www.jumia.sn/soins-bucco-dentaires-power-flosser-dentaire/" TargetMode="External" Id="rId44" /><Relationship Type="http://schemas.openxmlformats.org/officeDocument/2006/relationships/hyperlink" Target="https://www.jumia.ci/brosses-dents-tetes-remplacement-brosse-dents/brand-oral-b/" TargetMode="External" Id="rId45" /><Relationship Type="http://schemas.openxmlformats.org/officeDocument/2006/relationships/hyperlink" Target="https://www.jumia.sn/brosse-a-dents/" TargetMode="External" Id="rId46" /><Relationship Type="http://schemas.openxmlformats.org/officeDocument/2006/relationships/hyperlink" Target="https://www.jumia.ci/brosses-dents-tetes-remplacement-brosse-dents/brand-oral-b/" TargetMode="External" Id="rId47" /><Relationship Type="http://schemas.openxmlformats.org/officeDocument/2006/relationships/hyperlink" Target="https://www.jumia.sn/brosse-a-dents/" TargetMode="External" Id="rId48" /><Relationship Type="http://schemas.openxmlformats.org/officeDocument/2006/relationships/hyperlink" Target="https://www.jumia.ci/brosses-dents-tetes-remplacement-brosse-dents/brand-oral-b/" TargetMode="External" Id="rId49" /><Relationship Type="http://schemas.openxmlformats.org/officeDocument/2006/relationships/hyperlink" Target="https://www.jumia.sn/brosse-a-dents/" TargetMode="External" Id="rId50" /><Relationship Type="http://schemas.openxmlformats.org/officeDocument/2006/relationships/hyperlink" Target="https://www.jumia.ci/brosses-dents-tetes-remplacement-brosse-dents/brand-oral-b/" TargetMode="External" Id="rId51" /><Relationship Type="http://schemas.openxmlformats.org/officeDocument/2006/relationships/hyperlink" Target="https://www.jumia.sn/brosse-a-dents/" TargetMode="External" Id="rId52" /></Relationships>
</file>

<file path=xl/worksheets/sheet1.xml><?xml version="1.0" encoding="utf-8"?>
<worksheet xmlns="http://schemas.openxmlformats.org/spreadsheetml/2006/main">
  <sheetPr>
    <outlinePr summaryBelow="1" summaryRight="1"/>
    <pageSetUpPr/>
  </sheetPr>
  <dimension ref="A1:J1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18" customWidth="1" min="3" max="3"/>
    <col width="20" customWidth="1" min="4" max="4"/>
    <col width="30" customWidth="1" min="5" max="5"/>
    <col width="70" customWidth="1" min="6" max="6"/>
    <col width="46" customWidth="1" min="7" max="7"/>
    <col width="70" customWidth="1" min="8" max="8"/>
    <col width="74" customWidth="1" min="9" max="9"/>
    <col width="10" customWidth="1" min="10" max="10"/>
  </cols>
  <sheetData>
    <row r="1">
      <c r="A1" s="1" t="inlineStr">
        <is>
          <t>Sélection de 10 références SEAGO pour Atome Pharma (Côte d'Ivoire, Sénégal, Burkina Faso, Cameroun, Bénin)</t>
        </is>
      </c>
    </row>
    <row r="2" ht="32" customHeight="1">
      <c r="A2" s="2" t="inlineStr">
        <is>
          <t>Assortiment hybride : 6 références de volume pour la pénétration, 4 références premium pour l'image et la marge. Le classement repose sur les caractéristiques techniques du catalogue et le positionnement de segment face au concurrent identifié. Aucun prix n'a pu être relevé dans cette session, la hiérarchie de prix indiquée est un positionnement de segment, pas un montant.</t>
        </is>
      </c>
    </row>
    <row r="4" ht="40" customHeight="1">
      <c r="A4" s="3" t="inlineStr">
        <is>
          <t>Rang</t>
        </is>
      </c>
      <c r="B4" s="3" t="inlineStr">
        <is>
          <t>Référence SEAGO</t>
        </is>
      </c>
      <c r="C4" s="3" t="inlineStr">
        <is>
          <t>Catégorie</t>
        </is>
      </c>
      <c r="D4" s="3" t="inlineStr">
        <is>
          <t>Rôle dans l'assortiment</t>
        </is>
      </c>
      <c r="E4" s="3" t="inlineStr">
        <is>
          <t>Segment de prix visé</t>
        </is>
      </c>
      <c r="F4" s="3" t="inlineStr">
        <is>
          <t>Points techniques clés</t>
        </is>
      </c>
      <c r="G4" s="3" t="inlineStr">
        <is>
          <t>Concurrent frontal</t>
        </is>
      </c>
      <c r="H4" s="3" t="inlineStr">
        <is>
          <t>Argument face au concurrent</t>
        </is>
      </c>
      <c r="I4" s="3" t="inlineStr">
        <is>
          <t>Pourquoi cette référence</t>
        </is>
      </c>
      <c r="J4" s="3" t="inlineStr">
        <is>
          <t>Page catalogue</t>
        </is>
      </c>
    </row>
    <row r="5" ht="96" customHeight="1">
      <c r="A5" s="4" t="n">
        <v>1</v>
      </c>
      <c r="B5" s="5" t="inlineStr">
        <is>
          <t>SG-2812</t>
        </is>
      </c>
      <c r="C5" s="5" t="inlineStr">
        <is>
          <t>Brosse à dents</t>
        </is>
      </c>
      <c r="D5" s="5" t="inlineStr">
        <is>
          <t>Volume</t>
        </is>
      </c>
      <c r="E5" s="5" t="inlineStr">
        <is>
          <t>Entrée de gamme, produit d'appel</t>
        </is>
      </c>
      <c r="F5" s="5" t="inlineStr">
        <is>
          <t>Sonique 28 000 strokes/min, 1 pile AA, 100 jours d'autonomie, 56 g, panneau haut de gamme et tenon métal. Vendue en pack 1 brosse + 3 têtes de rechange, soit un an d'usage.</t>
        </is>
      </c>
      <c r="G5" s="5" t="inlineStr">
        <is>
          <t>Colgate ProClinical 150 (20 000 strokes/min, 2 piles AAA, 1 mode)</t>
        </is>
      </c>
      <c r="H5" s="5" t="inlineStr">
        <is>
          <t>Fréquence supérieure de 40 % à la Colgate, et le pack de 3 têtes couvre l'année complète là où le concurrent se vend nu.</t>
        </is>
      </c>
      <c r="I5" s="5" t="inlineStr">
        <is>
          <t>Le meilleur ticket d'entrée du catalogue : pas de chargeur, pas de batterie à gérer, un argument prix lisible en pharmacie et un réachat de têtes intégré dès la première vente.</t>
        </is>
      </c>
      <c r="J5" s="6" t="n">
        <v>5</v>
      </c>
    </row>
    <row r="6" ht="96" customHeight="1">
      <c r="A6" s="4" t="n">
        <v>2</v>
      </c>
      <c r="B6" s="5" t="inlineStr">
        <is>
          <t>SG-2007</t>
        </is>
      </c>
      <c r="C6" s="5" t="inlineStr">
        <is>
          <t>Brosse à dents</t>
        </is>
      </c>
      <c r="D6" s="5" t="inlineStr">
        <is>
          <t>Volume</t>
        </is>
      </c>
      <c r="E6" s="5" t="inlineStr">
        <is>
          <t>Entrée de gamme supérieure</t>
        </is>
      </c>
      <c r="F6" s="5" t="inlineStr">
        <is>
          <t>Sonique 24 000 strokes/min, 1 pile AAA, 120 jours, 2 modes, minuteur 2 min avec rappel toutes les 30 s, tenon métal, 26 g.</t>
        </is>
      </c>
      <c r="G6" s="5" t="inlineStr">
        <is>
          <t>Colgate ProClinical 150</t>
        </is>
      </c>
      <c r="H6" s="5" t="inlineStr">
        <is>
          <t>Apporte le minuteur et le second mode que le concurrent n'a pas, sur le même format à piles et le même circuit de distribution.</t>
        </is>
      </c>
      <c r="I6" s="5" t="inlineStr">
        <is>
          <t>Monte le panier moyen du segment piles sans changer les habitudes du consommateur ni la logistique. Le tenon métal ouvre le réachat sur les têtes SG-G0xx.</t>
        </is>
      </c>
      <c r="J6" s="6" t="n">
        <v>45</v>
      </c>
    </row>
    <row r="7" ht="96" customHeight="1">
      <c r="A7" s="4" t="n">
        <v>3</v>
      </c>
      <c r="B7" s="5" t="inlineStr">
        <is>
          <t>SG-2320</t>
        </is>
      </c>
      <c r="C7" s="5" t="inlineStr">
        <is>
          <t>Brosse à dents</t>
        </is>
      </c>
      <c r="D7" s="5" t="inlineStr">
        <is>
          <t>Volume</t>
        </is>
      </c>
      <c r="E7" s="5" t="inlineStr">
        <is>
          <t>Cœur de gamme rechargeable</t>
        </is>
      </c>
      <c r="F7" s="5" t="inlineStr">
        <is>
          <t>Sonique 35 000 strokes/min, 5 modes, batterie 2000 mAh, 200 jours d'autonomie annoncée, charge USB 8 h, indicateur de batterie, protection surcharge et décharge profonde.</t>
        </is>
      </c>
      <c r="G7" s="5" t="inlineStr">
        <is>
          <t>usmile Y1S (38 000 vibrations/min, 3 modes, 180 jours)</t>
        </is>
      </c>
      <c r="H7" s="5" t="inlineStr">
        <is>
          <t>Deux modes de plus et une autonomie annoncée supérieure, sur un segment où l'autonomie est le premier argument de rayon.</t>
        </is>
      </c>
      <c r="I7" s="5" t="inlineStr">
        <is>
          <t>C'est la référence qui fait basculer un acheteur de brosse à piles vers le rechargeable. Cinq modes et 200 jours d'autonomie tiennent la comparaison face aux marques asiatiques installées.</t>
        </is>
      </c>
      <c r="J7" s="6" t="n">
        <v>24</v>
      </c>
    </row>
    <row r="8" ht="96" customHeight="1">
      <c r="A8" s="4" t="n">
        <v>4</v>
      </c>
      <c r="B8" s="5" t="inlineStr">
        <is>
          <t>SG-2811</t>
        </is>
      </c>
      <c r="C8" s="5" t="inlineStr">
        <is>
          <t>Brosse à dents</t>
        </is>
      </c>
      <c r="D8" s="5" t="inlineStr">
        <is>
          <t>Volume</t>
        </is>
      </c>
      <c r="E8" s="5" t="inlineStr">
        <is>
          <t>Entrée de gamme enfant</t>
        </is>
      </c>
      <c r="F8" s="5" t="inlineStr">
        <is>
          <t>Sonique enfant 36 000 strokes/min, 2 modes, 2 piles AA, 80 jours, tête silicone alimentaire avec gratte-langue, design sans joint anti-ingestion, anti-projection de dentifrice, sans BPA.</t>
        </is>
      </c>
      <c r="G8" s="5" t="inlineStr">
        <is>
          <t>Oral-B Kids Battery Disney (7 600 oscillations/min, 1 mode)</t>
        </is>
      </c>
      <c r="H8" s="5" t="inlineStr">
        <is>
          <t>La technologie sonique et la tête silicone alimentaire répondent à l'objection sécurité des parents, là où le concurrent joue sur la licence Disney.</t>
        </is>
      </c>
      <c r="I8" s="5" t="inlineStr">
        <is>
          <t>Le pédiatrique est le point d'entrée le plus court en pharmacie et il déclenche souvent l'achat adulte dans la foulée. Le format à piles maintient le prix bas.</t>
        </is>
      </c>
      <c r="J8" s="6" t="n">
        <v>4</v>
      </c>
    </row>
    <row r="9" ht="96" customHeight="1">
      <c r="A9" s="4" t="n">
        <v>5</v>
      </c>
      <c r="B9" s="5" t="inlineStr">
        <is>
          <t>SG-8023</t>
        </is>
      </c>
      <c r="C9" s="5" t="inlineStr">
        <is>
          <t>Hydropulseur</t>
        </is>
      </c>
      <c r="D9" s="5" t="inlineStr">
        <is>
          <t>Volume</t>
        </is>
      </c>
      <c r="E9" s="5" t="inlineStr">
        <is>
          <t>Cœur de gamme hydropulseur</t>
        </is>
      </c>
      <c r="F9" s="5" t="inlineStr">
        <is>
          <t>Réservoir 350 mL, 4 modes (Strong, Soft, Pulse, DIY), pression 80 à 160 PSI, batterie 1500 mAh, charge Type-C, buse rotative 360 degrés, fonction shoot avec arrêt immédiat.</t>
        </is>
      </c>
      <c r="G9" s="5" t="inlineStr">
        <is>
          <t>Waterpik Cordless Plus WP-450 (2 réglages, réservoir 207 mL)</t>
        </is>
      </c>
      <c r="H9" s="5" t="inlineStr">
        <is>
          <t>Réservoir supérieur de 70 % et deux modes de plus que le Waterpik d'entrée de gamme, sur une catégorie encore peu structurée localement.</t>
        </is>
      </c>
      <c r="I9" s="5" t="inlineStr">
        <is>
          <t>L'hydropulseur est la catégorie où l'offre locale est la plus faible et la moins marquée. Un réservoir de 350 mL en Type-C est un argument immédiatement démontrable au comptoir.</t>
        </is>
      </c>
      <c r="J9" s="6" t="n">
        <v>95</v>
      </c>
    </row>
    <row r="10" ht="96" customHeight="1">
      <c r="A10" s="4" t="n">
        <v>6</v>
      </c>
      <c r="B10" s="5" t="inlineStr">
        <is>
          <t>SG-G001</t>
        </is>
      </c>
      <c r="C10" s="5" t="inlineStr">
        <is>
          <t>Tête de rechange</t>
        </is>
      </c>
      <c r="D10" s="5" t="inlineStr">
        <is>
          <t>Volume</t>
        </is>
      </c>
      <c r="E10" s="5" t="inlineStr">
        <is>
          <t>Consommable de réachat</t>
        </is>
      </c>
      <c r="F10" s="5" t="inlineStr">
        <is>
          <t>Tête de brosse standard à tenon métal, compatible avec l'ensemble des références SEAGO à tenon métal, dont les SG-2812 et SG-2007 retenues plus haut.</t>
        </is>
      </c>
      <c r="G10" s="5" t="inlineStr">
        <is>
          <t>Oral-B CrossAction X-Filaments (pack de 3)</t>
        </is>
      </c>
      <c r="H10" s="5" t="inlineStr">
        <is>
          <t>Se positionne sur le prix par tête, seul terrain où le consommateur compare réellement, sans avoir à défendre une marque.</t>
        </is>
      </c>
      <c r="I10" s="5" t="inlineStr">
        <is>
          <t>C'est la ligne qui transforme une vente unique en revenu récurrent. Sans référence de tête dans l'assortiment de lancement, les deux produits d'appel perdent leur promesse d'usage à un an.</t>
        </is>
      </c>
      <c r="J10" s="6" t="n">
        <v>50</v>
      </c>
    </row>
    <row r="11" ht="96" customHeight="1">
      <c r="A11" s="7" t="n">
        <v>7</v>
      </c>
      <c r="B11" s="8" t="inlineStr">
        <is>
          <t>SG-2901</t>
        </is>
      </c>
      <c r="C11" s="8" t="inlineStr">
        <is>
          <t>Brosse à dents</t>
        </is>
      </c>
      <c r="D11" s="8" t="inlineStr">
        <is>
          <t>Image de marque</t>
        </is>
      </c>
      <c r="E11" s="8" t="inlineStr">
        <is>
          <t>Premium, produit vitrine</t>
        </is>
      </c>
      <c r="F11" s="8" t="inlineStr">
        <is>
          <t>Sonique et tête rotative dans un seul manche (têtes SG-V001 et SG-T001), écran LCD avec notation du brossage en temps réel, 5 modes, capteur de pression, réveil automatique, verrouillage voyage, 6 langues, socle inductif, batterie 1500 mAh.</t>
        </is>
      </c>
      <c r="G11" s="8" t="inlineStr">
        <is>
          <t>Oral-B iO Series 3 (oscillo-rotative avec micro-vibrations, capteur de pression tricolore, 3 modes)</t>
        </is>
      </c>
      <c r="H11" s="8" t="inlineStr">
        <is>
          <t>Aucun concurrent du vivier ne réunit les deux technologies dans un même manche. C'est le seul argument de rupture technique du catalogue.</t>
        </is>
      </c>
      <c r="I11" s="8" t="inlineStr">
        <is>
          <t>C'est la référence qui crédibilise la marque en vitrine de pharmacie et qui justifie le prix des autres lignes. Elle se vend peu en volume mais elle porte l'image et la marge.</t>
        </is>
      </c>
      <c r="J11" s="9" t="n">
        <v>8</v>
      </c>
    </row>
    <row r="12" ht="96" customHeight="1">
      <c r="A12" s="7" t="n">
        <v>8</v>
      </c>
      <c r="B12" s="8" t="inlineStr">
        <is>
          <t>SG-2771</t>
        </is>
      </c>
      <c r="C12" s="8" t="inlineStr">
        <is>
          <t>Brosse à dents</t>
        </is>
      </c>
      <c r="D12" s="8" t="inlineStr">
        <is>
          <t>Image de marque</t>
        </is>
      </c>
      <c r="E12" s="8" t="inlineStr">
        <is>
          <t>Premium connecté</t>
        </is>
      </c>
      <c r="F12" s="8" t="inlineStr">
        <is>
          <t>Sonique 32 000 à 40 000 strokes/min, 6 modes, écran 6 langues, gyroscope 6 axes avec notation sur 16 zones de la bouche, capteur de pression à montée progressive 3 s, rappel de remplacement de tête, socle inductif.</t>
        </is>
      </c>
      <c r="G12" s="8" t="inlineStr">
        <is>
          <t>Oral-B iO Series 3</t>
        </is>
      </c>
      <c r="H12" s="8" t="inlineStr">
        <is>
          <t>La cartographie de brossage sur 16 zones répond au même besoin que l'application iO, sans smartphone ni compte à créer, ce qui compte sur des marchés où l'app reste un frein.</t>
        </is>
      </c>
      <c r="I12" s="8" t="inlineStr">
        <is>
          <t>Deuxième pilier premium, plus accessible que la SG-2901. Le suivi par zones est un argument de conseil officinal, pas seulement un argument de fiche technique.</t>
        </is>
      </c>
      <c r="J12" s="9" t="n">
        <v>10</v>
      </c>
    </row>
    <row r="13" ht="96" customHeight="1">
      <c r="A13" s="7" t="n">
        <v>9</v>
      </c>
      <c r="B13" s="8" t="inlineStr">
        <is>
          <t>SG-2015</t>
        </is>
      </c>
      <c r="C13" s="8" t="inlineStr">
        <is>
          <t>Brosse à dents</t>
        </is>
      </c>
      <c r="D13" s="8" t="inlineStr">
        <is>
          <t>Image de marque</t>
        </is>
      </c>
      <c r="E13" s="8" t="inlineStr">
        <is>
          <t>Premium différenciant</t>
        </is>
      </c>
      <c r="F13" s="8" t="inlineStr">
        <is>
          <t>Sonique 40 000 strokes/min, 15 combinaisons (3 modes x 5 intensités), socle et boîtier stérilisateur UV 2 en 1 éliminant 99,9 % des bactéries en 3 à 4 minutes, double moteur magnétique, charge inductive.</t>
        </is>
      </c>
      <c r="G13" s="8" t="inlineStr">
        <is>
          <t>Philips Sonicare ProtectiveClean 4100 (31 000 strokes/min, 1 mode)</t>
        </is>
      </c>
      <c r="H13" s="8" t="inlineStr">
        <is>
          <t>Aucune référence du vivier concurrentiel n'intègre la stérilisation UV dans le socle. C'est un argument hygiène directement audible en pharmacie.</t>
        </is>
      </c>
      <c r="I13" s="8" t="inlineStr">
        <is>
          <t>Le seul produit du catalogue qui crée une catégorie plutôt que d'entrer dans une catégorie existante. Marge élevée et discours de vente autonome.</t>
        </is>
      </c>
      <c r="J13" s="9" t="n">
        <v>16</v>
      </c>
    </row>
    <row r="14" ht="96" customHeight="1">
      <c r="A14" s="7" t="n">
        <v>10</v>
      </c>
      <c r="B14" s="8" t="inlineStr">
        <is>
          <t>SG-8019</t>
        </is>
      </c>
      <c r="C14" s="8" t="inlineStr">
        <is>
          <t>Hydropulseur</t>
        </is>
      </c>
      <c r="D14" s="8" t="inlineStr">
        <is>
          <t>Image de marque</t>
        </is>
      </c>
      <c r="E14" s="8" t="inlineStr">
        <is>
          <t>Premium hydropulseur</t>
        </is>
      </c>
      <c r="F14" s="8" t="inlineStr">
        <is>
          <t>Réservoir 290 mL, 5 modes (Strong, Normal, Massage, Shoot, DIY), plus de 1500 pulsations/min, pression 90 à 130 PSI, batterie 1600 mAh, minuteur, buse rotative 360 degrés.</t>
        </is>
      </c>
      <c r="G14" s="8" t="inlineStr">
        <is>
          <t>Waterpik Cordless Advanced WP-560 (3 réglages, réservoir 207 mL)</t>
        </is>
      </c>
      <c r="H14" s="8" t="inlineStr">
        <is>
          <t>Cinq modes contre trois réglages, réservoir supérieur de 40 %, sur une marque de référence que le prix rend inaccessible à une grande partie de la clientèle.</t>
        </is>
      </c>
      <c r="I14" s="8" t="inlineStr">
        <is>
          <t>Complète la SG-8023 par le haut et permet de tenir un discours de gamme sur l'hydropulseur, catégorie à forte marge et à faible concurrence organisée sur les cinq pays.</t>
        </is>
      </c>
      <c r="J14" s="9" t="n">
        <v>96</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Q147"/>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7" customWidth="1" min="2" max="2"/>
    <col width="22" customWidth="1" min="3" max="3"/>
    <col width="14" customWidth="1" min="4" max="4"/>
    <col width="14" customWidth="1" min="5" max="5"/>
    <col width="14" customWidth="1" min="6" max="6"/>
    <col width="12" customWidth="1" min="7" max="7"/>
    <col width="12" customWidth="1" min="8" max="8"/>
    <col width="12" customWidth="1" min="9" max="9"/>
    <col width="26" customWidth="1" min="10" max="10"/>
    <col width="22" customWidth="1" min="11" max="11"/>
    <col width="13" customWidth="1" min="12" max="12"/>
    <col width="12" customWidth="1" min="13" max="13"/>
    <col width="13" customWidth="1" min="14" max="14"/>
    <col width="18" customWidth="1" min="15" max="15"/>
    <col width="10" customWidth="1" min="16" max="16"/>
    <col width="10" customWidth="1" min="17" max="17"/>
    <col width="34" customWidth="1" min="18" max="18"/>
    <col width="60" customWidth="1" min="19" max="19"/>
    <col width="10" customWidth="1" min="20" max="20"/>
    <col width="16" customWidth="1" min="21" max="21"/>
    <col width="34" customWidth="1" min="22" max="22"/>
    <col width="18" customWidth="1" min="23" max="23"/>
    <col width="26" customWidth="1" min="24" max="24"/>
    <col width="26" customWidth="1" min="25" max="25"/>
    <col width="26" customWidth="1" min="26" max="26"/>
    <col width="14" customWidth="1" min="27" max="27"/>
    <col width="18" customWidth="1" min="28" max="28"/>
    <col width="18" customWidth="1" min="29" max="29"/>
    <col width="24" customWidth="1" min="30" max="30"/>
    <col width="46" customWidth="1" min="31" max="31"/>
    <col width="26" customWidth="1" min="32" max="32"/>
    <col width="52" customWidth="1" min="33" max="33"/>
    <col width="52" customWidth="1" min="34" max="34"/>
    <col width="64" customWidth="1" min="35" max="35"/>
    <col width="20" customWidth="1" min="36" max="36"/>
    <col width="16" customWidth="1" min="37" max="37"/>
    <col width="14" customWidth="1" min="38" max="38"/>
    <col width="10" customWidth="1" min="39" max="39"/>
    <col width="32" customWidth="1" min="40" max="40"/>
    <col width="18" customWidth="1" min="41" max="41"/>
    <col width="16" customWidth="1" min="42" max="42"/>
    <col width="20" customWidth="1" min="43" max="43"/>
  </cols>
  <sheetData>
    <row r="1" ht="46" customHeight="1">
      <c r="A1" s="3" t="inlineStr">
        <is>
          <t>Référence SEAGO</t>
        </is>
      </c>
      <c r="B1" s="3" t="inlineStr">
        <is>
          <t>Gamme / série</t>
        </is>
      </c>
      <c r="C1" s="3" t="inlineStr">
        <is>
          <t>Technologie</t>
        </is>
      </c>
      <c r="D1" s="3" t="inlineStr">
        <is>
          <t>Cible</t>
        </is>
      </c>
      <c r="E1" s="3" t="inlineStr">
        <is>
          <t>Fréquence min (strokes/min)</t>
        </is>
      </c>
      <c r="F1" s="3" t="inlineStr">
        <is>
          <t>Fréquence max (strokes/min)</t>
        </is>
      </c>
      <c r="G1" s="3" t="inlineStr">
        <is>
          <t>Nombre de modes</t>
        </is>
      </c>
      <c r="H1" s="3" t="inlineStr">
        <is>
          <t>Autonomie (jours)</t>
        </is>
      </c>
      <c r="I1" s="3" t="inlineStr">
        <is>
          <t>Batterie (mAh)</t>
        </is>
      </c>
      <c r="J1" s="3" t="inlineStr">
        <is>
          <t>Type d'alimentation</t>
        </is>
      </c>
      <c r="K1" s="3" t="inlineStr">
        <is>
          <t>Mode de charge</t>
        </is>
      </c>
      <c r="L1" s="3" t="inlineStr">
        <is>
          <t>Temps de charge (h)</t>
        </is>
      </c>
      <c r="M1" s="3" t="inlineStr">
        <is>
          <t>Étanchéité (IPX)</t>
        </is>
      </c>
      <c r="N1" s="3" t="inlineStr">
        <is>
          <t>Capteur de pression</t>
        </is>
      </c>
      <c r="O1" s="3" t="inlineStr">
        <is>
          <t>Affichage</t>
        </is>
      </c>
      <c r="P1" s="3" t="inlineStr">
        <is>
          <t>Minuteur</t>
        </is>
      </c>
      <c r="Q1" s="3" t="inlineStr">
        <is>
          <t>Poids (g)</t>
        </is>
      </c>
      <c r="R1" s="3" t="inlineStr">
        <is>
          <t>Dimensions L*l*H (mm)</t>
        </is>
      </c>
      <c r="S1" s="3" t="inlineStr">
        <is>
          <t>Fonctions différenciantes</t>
        </is>
      </c>
      <c r="T1" s="3" t="inlineStr">
        <is>
          <t>Page catalogue</t>
        </is>
      </c>
      <c r="U1" s="10" t="inlineStr">
        <is>
          <t>Clé concurrent</t>
        </is>
      </c>
      <c r="V1" s="10" t="inlineStr">
        <is>
          <t>Produit concurrent</t>
        </is>
      </c>
      <c r="W1" s="10" t="inlineStr">
        <is>
          <t>Marque concurrente</t>
        </is>
      </c>
      <c r="X1" s="10" t="inlineStr">
        <is>
          <t>Technologie concurrent</t>
        </is>
      </c>
      <c r="Y1" s="10" t="inlineStr">
        <is>
          <t>Fréquence / débit concurrent</t>
        </is>
      </c>
      <c r="Z1" s="10" t="inlineStr">
        <is>
          <t>Modes concurrent</t>
        </is>
      </c>
      <c r="AA1" s="10" t="inlineStr">
        <is>
          <t>Autonomie concurrent (jours)</t>
        </is>
      </c>
      <c r="AB1" s="10" t="inlineStr">
        <is>
          <t>Étanchéité concurrent</t>
        </is>
      </c>
      <c r="AC1" s="10" t="inlineStr">
        <is>
          <t>Capteur de pression concurrent</t>
        </is>
      </c>
      <c r="AD1" s="10" t="inlineStr">
        <is>
          <t>Alimentation / charge concurrent</t>
        </is>
      </c>
      <c r="AE1" s="10" t="inlineStr">
        <is>
          <t>Présence sur les marchés Atome Pharma (CI, SN, BF, CM, BJ)</t>
        </is>
      </c>
      <c r="AF1" s="10" t="inlineStr">
        <is>
          <t>Canal de distribution</t>
        </is>
      </c>
      <c r="AG1" s="10" t="inlineStr">
        <is>
          <t>Lien produit concurrent</t>
        </is>
      </c>
      <c r="AH1" s="10" t="inlineStr">
        <is>
          <t>Lien source secondaire</t>
        </is>
      </c>
      <c r="AI1" s="10" t="inlineStr">
        <is>
          <t>Base du rapprochement et écart technique</t>
        </is>
      </c>
      <c r="AJ1" s="11" t="inlineStr">
        <is>
          <t>Prix concurrent (auto, onglet Relevé prix)</t>
        </is>
      </c>
      <c r="AK1" s="11" t="inlineStr">
        <is>
          <t>Date du relevé (auto)</t>
        </is>
      </c>
      <c r="AL1" s="11" t="inlineStr">
        <is>
          <t>Prix SEAGO</t>
        </is>
      </c>
      <c r="AM1" s="11" t="inlineStr">
        <is>
          <t>Devise</t>
        </is>
      </c>
      <c r="AN1" s="11" t="inlineStr">
        <is>
          <t>Commentaire</t>
        </is>
      </c>
      <c r="AO1" s="12" t="inlineStr">
        <is>
          <t>Écart de prix (valeur)</t>
        </is>
      </c>
      <c r="AP1" s="12" t="inlineStr">
        <is>
          <t>Écart de prix (%)</t>
        </is>
      </c>
      <c r="AQ1" s="12" t="inlineStr">
        <is>
          <t>Positionnement prix</t>
        </is>
      </c>
    </row>
    <row r="2">
      <c r="A2" s="13" t="inlineStr">
        <is>
          <t>SG-2788</t>
        </is>
      </c>
      <c r="B2" s="13" t="inlineStr">
        <is>
          <t>New Arrival</t>
        </is>
      </c>
      <c r="C2" s="13" t="inlineStr">
        <is>
          <t>Sonique</t>
        </is>
      </c>
      <c r="D2" s="13" t="inlineStr">
        <is>
          <t>Adulte</t>
        </is>
      </c>
      <c r="E2" s="14" t="n">
        <v>32000</v>
      </c>
      <c r="F2" s="14" t="n">
        <v>40000</v>
      </c>
      <c r="G2" s="15" t="n">
        <v>5</v>
      </c>
      <c r="H2" s="15" t="n">
        <v>21</v>
      </c>
      <c r="I2" s="15" t="n">
        <v>700</v>
      </c>
      <c r="J2" s="13" t="inlineStr">
        <is>
          <t>Batterie Li-ion rechargeable</t>
        </is>
      </c>
      <c r="K2" s="13" t="inlineStr">
        <is>
          <t>Type-C</t>
        </is>
      </c>
      <c r="L2" s="16" t="inlineStr">
        <is>
          <t>N/D</t>
        </is>
      </c>
      <c r="M2" s="13" t="inlineStr">
        <is>
          <t>IPX7</t>
        </is>
      </c>
      <c r="N2" s="13" t="inlineStr">
        <is>
          <t>Oui</t>
        </is>
      </c>
      <c r="O2" s="13" t="inlineStr">
        <is>
          <t>Aucun</t>
        </is>
      </c>
      <c r="P2" s="13" t="inlineStr">
        <is>
          <t>Non</t>
        </is>
      </c>
      <c r="Q2" s="17" t="n">
        <v>108.5</v>
      </c>
      <c r="R2" s="13" t="inlineStr">
        <is>
          <t>30.5*28.7*252.9</t>
        </is>
      </c>
      <c r="S2" s="18" t="inlineStr">
        <is>
          <t>Capteur de pression avec alerte sonore, montée progressive 3 s, design cuir + brillant antidérapant, bague décorative gear, système super silencieux, alerte batterie faible</t>
        </is>
      </c>
      <c r="T2" s="19" t="n">
        <v>1</v>
      </c>
      <c r="U2" s="20" t="inlineStr">
        <is>
          <t>ADDIGOES</t>
        </is>
      </c>
      <c r="V2" s="20" t="inlineStr">
        <is>
          <t>Brosse sonique USB 6 modes, 4 têtes</t>
        </is>
      </c>
      <c r="W2" s="20" t="inlineStr">
        <is>
          <t>Addigoes (marketplace)</t>
        </is>
      </c>
      <c r="X2" s="20" t="inlineStr">
        <is>
          <t>Sonique</t>
        </is>
      </c>
      <c r="Y2" s="20" t="inlineStr">
        <is>
          <t>42 000 vibrations/min</t>
        </is>
      </c>
      <c r="Z2" s="20" t="inlineStr">
        <is>
          <t>6 modes</t>
        </is>
      </c>
      <c r="AA2" s="20" t="n">
        <v>60</v>
      </c>
      <c r="AB2" s="20" t="inlineStr">
        <is>
          <t>Étanche (indice non précisé)</t>
        </is>
      </c>
      <c r="AC2" s="20" t="inlineStr">
        <is>
          <t>Non</t>
        </is>
      </c>
      <c r="AD2" s="20" t="inlineStr">
        <is>
          <t>USB</t>
        </is>
      </c>
      <c r="AE2" s="20" t="inlineStr">
        <is>
          <t>CI vérifié (Jumia). Équivalent générique vérifié au SN (sonique X3, 8 têtes). BF, CM, BJ non vérifiés.</t>
        </is>
      </c>
      <c r="AF2" s="20" t="inlineStr">
        <is>
          <t>Jumia CI</t>
        </is>
      </c>
      <c r="AG2" s="21" t="inlineStr">
        <is>
          <t>https://www.jumia.ci/addigoes-brosse-a-dents-electrique-sonique-rechargeable-usb-6-modes-etanche-haute-frequence-4-tetes-de-brosse-nettoyage-dentaire-professionnel-noir-30497266.html</t>
        </is>
      </c>
      <c r="AH2" s="21" t="inlineStr">
        <is>
          <t>https://www.jumia.ci/brosse-a-dents-electrique/</t>
        </is>
      </c>
      <c r="AI2" s="20" t="inlineStr">
        <is>
          <t>Rapprochement sur la haute fréquence (40 000 mouvements/min et plus) et le nombre élevé de modes. Amplitude 6 mm annoncée et pack 4 têtes, concurrent frontal des SEAGO à moteur magnétique.</t>
        </is>
      </c>
      <c r="AJ2" s="22">
        <f>IFERROR(IF(IF('Relevé prix'!$B$1="SN",VLOOKUP($U2,'Relevé prix'!$A$4:$N$60,11,FALSE),VLOOKUP($U2,'Relevé prix'!$A$4:$N$60,7,FALSE))=0,"",IF('Relevé prix'!$B$1="SN",VLOOKUP($U2,'Relevé prix'!$A$4:$N$60,11,FALSE),VLOOKUP($U2,'Relevé prix'!$A$4:$N$60,7,FALSE))),"")</f>
        <v/>
      </c>
      <c r="AK2" s="23">
        <f>IFERROR(IF(IF('Relevé prix'!$B$1="SN",VLOOKUP($U2,'Relevé prix'!$A$4:$N$60,12,FALSE),VLOOKUP($U2,'Relevé prix'!$A$4:$N$60,8,FALSE))=0,"",IF('Relevé prix'!$B$1="SN",VLOOKUP($U2,'Relevé prix'!$A$4:$N$60,12,FALSE),VLOOKUP($U2,'Relevé prix'!$A$4:$N$60,8,FALSE))),"")</f>
        <v/>
      </c>
      <c r="AL2" s="24" t="n"/>
      <c r="AM2" s="25" t="n"/>
      <c r="AN2" s="25" t="n"/>
      <c r="AO2" s="22">
        <f>IF(OR(AL2="",AJ2=""),"",AL2-AJ2)</f>
        <v/>
      </c>
      <c r="AP2" s="26">
        <f>IF(OR(AL2="",AJ2="",AJ2=0),"",(AL2-AJ2)/AJ2)</f>
        <v/>
      </c>
      <c r="AQ2" s="27">
        <f>IF(AP2="","",IF(AP2&lt;-0.05,"Moins cher",IF(AP2&gt;0.05,"Plus cher","Équivalent")))</f>
        <v/>
      </c>
    </row>
    <row r="3">
      <c r="A3" s="28" t="inlineStr">
        <is>
          <t>SG-2801</t>
        </is>
      </c>
      <c r="B3" s="28" t="inlineStr">
        <is>
          <t>New Arrival</t>
        </is>
      </c>
      <c r="C3" s="28" t="inlineStr">
        <is>
          <t>Sonique</t>
        </is>
      </c>
      <c r="D3" s="28" t="inlineStr">
        <is>
          <t>Adulte</t>
        </is>
      </c>
      <c r="E3" s="29" t="n">
        <v>35000</v>
      </c>
      <c r="F3" s="29" t="n">
        <v>35000</v>
      </c>
      <c r="G3" s="30" t="n">
        <v>5</v>
      </c>
      <c r="H3" s="30" t="n">
        <v>180</v>
      </c>
      <c r="I3" s="30" t="n">
        <v>700</v>
      </c>
      <c r="J3" s="28" t="inlineStr">
        <is>
          <t>Batterie Li-ion rechargeable</t>
        </is>
      </c>
      <c r="K3" s="28" t="inlineStr">
        <is>
          <t>Type-C</t>
        </is>
      </c>
      <c r="L3" s="31" t="n">
        <v>3</v>
      </c>
      <c r="M3" s="28" t="inlineStr">
        <is>
          <t>IPX7</t>
        </is>
      </c>
      <c r="N3" s="28" t="inlineStr">
        <is>
          <t>Non</t>
        </is>
      </c>
      <c r="O3" s="28" t="inlineStr">
        <is>
          <t>Indicateur batterie</t>
        </is>
      </c>
      <c r="P3" s="28" t="inlineStr">
        <is>
          <t>Oui</t>
        </is>
      </c>
      <c r="Q3" s="31" t="n">
        <v>73</v>
      </c>
      <c r="R3" s="28" t="inlineStr">
        <is>
          <t>24.6*22.6*224</t>
        </is>
      </c>
      <c r="S3" s="32" t="inlineStr">
        <is>
          <t>Charge 3 h pour 180 jours (mode 3, 2x/j 2 min), mémoire intelligente, tenon métal, alerte batterie faible</t>
        </is>
      </c>
      <c r="T3" s="33" t="n">
        <v>1</v>
      </c>
      <c r="U3" s="20" t="inlineStr">
        <is>
          <t>USMILE_Y1S</t>
        </is>
      </c>
      <c r="V3" s="20" t="inlineStr">
        <is>
          <t>Y1S Sonic</t>
        </is>
      </c>
      <c r="W3" s="20" t="inlineStr">
        <is>
          <t>usmile</t>
        </is>
      </c>
      <c r="X3" s="20" t="inlineStr">
        <is>
          <t>Sonique</t>
        </is>
      </c>
      <c r="Y3" s="20" t="inlineStr">
        <is>
          <t>38 000 vibrations/min</t>
        </is>
      </c>
      <c r="Z3" s="20" t="inlineStr">
        <is>
          <t>3 modes (Clean, White, Soft)</t>
        </is>
      </c>
      <c r="AA3" s="20" t="n">
        <v>180</v>
      </c>
      <c r="AB3" s="20" t="inlineStr">
        <is>
          <t>IPX7</t>
        </is>
      </c>
      <c r="AC3" s="20" t="inlineStr">
        <is>
          <t>Non</t>
        </is>
      </c>
      <c r="AD3" s="20" t="inlineStr">
        <is>
          <t>USB Type-C</t>
        </is>
      </c>
      <c r="AE3" s="20" t="inlineStr">
        <is>
          <t>Non vérifié sur CI, SN, BF, CM, BJ.</t>
        </is>
      </c>
      <c r="AF3" s="20" t="inlineStr">
        <is>
          <t>Marketplaces, retail spécialisé</t>
        </is>
      </c>
      <c r="AG3" s="21" t="inlineStr">
        <is>
          <t>https://www.usmile.com/electrictoothbrush/info.html?id=4</t>
        </is>
      </c>
      <c r="AH3" s="21" t="inlineStr">
        <is>
          <t>https://www.ada.org/resources/research/science/ada-seal-of-acceptance/product-search/a065e00000BWImYAAX/usmile-sonic-electric-toothbrush-y1s</t>
        </is>
      </c>
      <c r="AI3" s="20" t="inlineStr">
        <is>
          <t>Rapprochement sur l'argument longue autonomie (au-delà de 100 jours). Référence de l'argument longue autonomie (180 jours), acceptée par l'American Dental Association.</t>
        </is>
      </c>
      <c r="AJ3" s="22">
        <f>IFERROR(IF(IF('Relevé prix'!$B$1="SN",VLOOKUP($U3,'Relevé prix'!$A$4:$N$60,11,FALSE),VLOOKUP($U3,'Relevé prix'!$A$4:$N$60,7,FALSE))=0,"",IF('Relevé prix'!$B$1="SN",VLOOKUP($U3,'Relevé prix'!$A$4:$N$60,11,FALSE),VLOOKUP($U3,'Relevé prix'!$A$4:$N$60,7,FALSE))),"")</f>
        <v/>
      </c>
      <c r="AK3" s="23">
        <f>IFERROR(IF(IF('Relevé prix'!$B$1="SN",VLOOKUP($U3,'Relevé prix'!$A$4:$N$60,12,FALSE),VLOOKUP($U3,'Relevé prix'!$A$4:$N$60,8,FALSE))=0,"",IF('Relevé prix'!$B$1="SN",VLOOKUP($U3,'Relevé prix'!$A$4:$N$60,12,FALSE),VLOOKUP($U3,'Relevé prix'!$A$4:$N$60,8,FALSE))),"")</f>
        <v/>
      </c>
      <c r="AL3" s="24" t="n"/>
      <c r="AM3" s="25" t="n"/>
      <c r="AN3" s="25" t="n"/>
      <c r="AO3" s="22">
        <f>IF(OR(AL3="",AJ3=""),"",AL3-AJ3)</f>
        <v/>
      </c>
      <c r="AP3" s="26">
        <f>IF(OR(AL3="",AJ3="",AJ3=0),"",(AL3-AJ3)/AJ3)</f>
        <v/>
      </c>
      <c r="AQ3" s="27">
        <f>IF(AP3="","",IF(AP3&lt;-0.05,"Moins cher",IF(AP3&gt;0.05,"Plus cher","Équivalent")))</f>
        <v/>
      </c>
    </row>
    <row r="4">
      <c r="A4" s="13" t="inlineStr">
        <is>
          <t>SG-2803</t>
        </is>
      </c>
      <c r="B4" s="13" t="inlineStr">
        <is>
          <t>New Arrival</t>
        </is>
      </c>
      <c r="C4" s="13" t="inlineStr">
        <is>
          <t>Sonique</t>
        </is>
      </c>
      <c r="D4" s="13" t="inlineStr">
        <is>
          <t>Adulte</t>
        </is>
      </c>
      <c r="E4" s="14" t="n">
        <v>32000</v>
      </c>
      <c r="F4" s="14" t="n">
        <v>38000</v>
      </c>
      <c r="G4" s="15" t="n">
        <v>5</v>
      </c>
      <c r="H4" s="15" t="n">
        <v>30</v>
      </c>
      <c r="I4" s="15" t="n">
        <v>700</v>
      </c>
      <c r="J4" s="13" t="inlineStr">
        <is>
          <t>Batterie Li-ion rechargeable</t>
        </is>
      </c>
      <c r="K4" s="13" t="inlineStr">
        <is>
          <t>Type-C</t>
        </is>
      </c>
      <c r="L4" s="17" t="n">
        <v>3</v>
      </c>
      <c r="M4" s="13" t="inlineStr">
        <is>
          <t>IPX7</t>
        </is>
      </c>
      <c r="N4" s="13" t="inlineStr">
        <is>
          <t>Non</t>
        </is>
      </c>
      <c r="O4" s="13" t="inlineStr">
        <is>
          <t>Aucun</t>
        </is>
      </c>
      <c r="P4" s="13" t="inlineStr">
        <is>
          <t>Oui</t>
        </is>
      </c>
      <c r="Q4" s="17" t="n">
        <v>125</v>
      </c>
      <c r="R4" s="13" t="inlineStr">
        <is>
          <t>26.8*26.7*253</t>
        </is>
      </c>
      <c r="S4" s="18" t="inlineStr">
        <is>
          <t>Charge complète en 3 h, mémoire intelligente, design ergonomique, alerte batterie faible</t>
        </is>
      </c>
      <c r="T4" s="19" t="n">
        <v>2</v>
      </c>
      <c r="U4" s="20" t="inlineStr">
        <is>
          <t>FW507</t>
        </is>
      </c>
      <c r="V4" s="20" t="inlineStr">
        <is>
          <t>FW-507 Sonic</t>
        </is>
      </c>
      <c r="W4" s="20" t="inlineStr">
        <is>
          <t>Fairywill</t>
        </is>
      </c>
      <c r="X4" s="20" t="inlineStr">
        <is>
          <t>Sonique</t>
        </is>
      </c>
      <c r="Y4" s="20" t="inlineStr">
        <is>
          <t>40 000 strokes/min</t>
        </is>
      </c>
      <c r="Z4" s="20" t="inlineStr">
        <is>
          <t>5 modes (Clean, Sensitive, Massage, White, Polish)</t>
        </is>
      </c>
      <c r="AA4" s="20" t="n">
        <v>30</v>
      </c>
      <c r="AB4" s="20" t="inlineStr">
        <is>
          <t>IPX7</t>
        </is>
      </c>
      <c r="AC4" s="20" t="inlineStr">
        <is>
          <t>Non</t>
        </is>
      </c>
      <c r="AD4" s="20" t="inlineStr">
        <is>
          <t>USB, charge 4 h</t>
        </is>
      </c>
      <c r="AE4" s="20" t="inlineStr">
        <is>
          <t>Non vérifié sur CI, SN, BF, CM, BJ. Marque référencée sur Jumia Maroc.</t>
        </is>
      </c>
      <c r="AF4" s="20" t="inlineStr">
        <is>
          <t>Jumia, Amazon, marketplaces</t>
        </is>
      </c>
      <c r="AG4" s="21" t="inlineStr">
        <is>
          <t>https://www.fairywill.com/products/fairywill-electric-toothbrush-30-days-usage-5-modes-changeable-heads-timer</t>
        </is>
      </c>
      <c r="AH4" s="21" t="inlineStr">
        <is>
          <t>https://www.jumia.ma/brosse-a-dents-electrique/fairywill/</t>
        </is>
      </c>
      <c r="AI4" s="20" t="inlineStr">
        <is>
          <t>Rapprochement sur les 5 modes, la fréquence et l'architecture de charge USB. Concurrent le plus proche du coeur de gamme SEAGO : mêmes 5 modes, même fréquence, même architecture USB.</t>
        </is>
      </c>
      <c r="AJ4" s="22">
        <f>IFERROR(IF(IF('Relevé prix'!$B$1="SN",VLOOKUP($U4,'Relevé prix'!$A$4:$N$60,11,FALSE),VLOOKUP($U4,'Relevé prix'!$A$4:$N$60,7,FALSE))=0,"",IF('Relevé prix'!$B$1="SN",VLOOKUP($U4,'Relevé prix'!$A$4:$N$60,11,FALSE),VLOOKUP($U4,'Relevé prix'!$A$4:$N$60,7,FALSE))),"")</f>
        <v/>
      </c>
      <c r="AK4" s="23">
        <f>IFERROR(IF(IF('Relevé prix'!$B$1="SN",VLOOKUP($U4,'Relevé prix'!$A$4:$N$60,12,FALSE),VLOOKUP($U4,'Relevé prix'!$A$4:$N$60,8,FALSE))=0,"",IF('Relevé prix'!$B$1="SN",VLOOKUP($U4,'Relevé prix'!$A$4:$N$60,12,FALSE),VLOOKUP($U4,'Relevé prix'!$A$4:$N$60,8,FALSE))),"")</f>
        <v/>
      </c>
      <c r="AL4" s="24" t="n"/>
      <c r="AM4" s="25" t="n"/>
      <c r="AN4" s="25" t="n"/>
      <c r="AO4" s="22">
        <f>IF(OR(AL4="",AJ4=""),"",AL4-AJ4)</f>
        <v/>
      </c>
      <c r="AP4" s="26">
        <f>IF(OR(AL4="",AJ4="",AJ4=0),"",(AL4-AJ4)/AJ4)</f>
        <v/>
      </c>
      <c r="AQ4" s="27">
        <f>IF(AP4="","",IF(AP4&lt;-0.05,"Moins cher",IF(AP4&gt;0.05,"Plus cher","Équivalent")))</f>
        <v/>
      </c>
    </row>
    <row r="5">
      <c r="A5" s="28" t="inlineStr">
        <is>
          <t>SG-2805</t>
        </is>
      </c>
      <c r="B5" s="28" t="inlineStr">
        <is>
          <t>New Arrival</t>
        </is>
      </c>
      <c r="C5" s="28" t="inlineStr">
        <is>
          <t>Sonique</t>
        </is>
      </c>
      <c r="D5" s="28" t="inlineStr">
        <is>
          <t>Adulte</t>
        </is>
      </c>
      <c r="E5" s="29" t="n">
        <v>31000</v>
      </c>
      <c r="F5" s="29" t="n">
        <v>31000</v>
      </c>
      <c r="G5" s="30" t="n">
        <v>3</v>
      </c>
      <c r="H5" s="30" t="n">
        <v>30</v>
      </c>
      <c r="I5" s="30" t="n">
        <v>700</v>
      </c>
      <c r="J5" s="28" t="inlineStr">
        <is>
          <t>Batterie Li-ion rechargeable</t>
        </is>
      </c>
      <c r="K5" s="28" t="inlineStr">
        <is>
          <t>DC5V</t>
        </is>
      </c>
      <c r="L5" s="34" t="inlineStr">
        <is>
          <t>N/D</t>
        </is>
      </c>
      <c r="M5" s="28" t="inlineStr">
        <is>
          <t>IPX7</t>
        </is>
      </c>
      <c r="N5" s="28" t="inlineStr">
        <is>
          <t>Oui</t>
        </is>
      </c>
      <c r="O5" s="28" t="inlineStr">
        <is>
          <t>Aucun</t>
        </is>
      </c>
      <c r="P5" s="28" t="inlineStr">
        <is>
          <t>Oui</t>
        </is>
      </c>
      <c r="Q5" s="31" t="n">
        <v>115</v>
      </c>
      <c r="R5" s="28" t="inlineStr">
        <is>
          <t>D27.5*163.3</t>
        </is>
      </c>
      <c r="S5" s="32" t="inlineStr">
        <is>
          <t>Design Shoes+Hat, mémoire de vitesse intelligente, alerte batterie faible</t>
        </is>
      </c>
      <c r="T5" s="33" t="n">
        <v>2</v>
      </c>
      <c r="U5" s="20" t="inlineStr">
        <is>
          <t>XIAOMI_T500</t>
        </is>
      </c>
      <c r="V5" s="20" t="inlineStr">
        <is>
          <t>Mi Smart Electric Toothbrush T500</t>
        </is>
      </c>
      <c r="W5" s="20" t="inlineStr">
        <is>
          <t>Xiaomi</t>
        </is>
      </c>
      <c r="X5" s="20" t="inlineStr">
        <is>
          <t>Sonique à lévitation magnétique</t>
        </is>
      </c>
      <c r="Y5" s="20" t="inlineStr">
        <is>
          <t>31 000 vibrations/min</t>
        </is>
      </c>
      <c r="Z5" s="20" t="inlineStr">
        <is>
          <t>3 modes (Standard, Gentle, Custom)</t>
        </is>
      </c>
      <c r="AA5" s="20" t="n">
        <v>18</v>
      </c>
      <c r="AB5" s="20" t="inlineStr">
        <is>
          <t>IPX7</t>
        </is>
      </c>
      <c r="AC5" s="20" t="inlineStr">
        <is>
          <t>Oui (protection de surpression, réduction automatique)</t>
        </is>
      </c>
      <c r="AD5" s="20" t="inlineStr">
        <is>
          <t>USB</t>
        </is>
      </c>
      <c r="AE5" s="20" t="inlineStr">
        <is>
          <t>Non vérifié sur CI, SN, BF, CM, BJ.</t>
        </is>
      </c>
      <c r="AF5" s="20" t="inlineStr">
        <is>
          <t>Marketplaces, distribution Xiaomi</t>
        </is>
      </c>
      <c r="AG5" s="21" t="inlineStr">
        <is>
          <t>https://www.mi.com/global/product/mi-smart-electric-toothbrush-t500/specs/</t>
        </is>
      </c>
      <c r="AH5" s="21" t="inlineStr">
        <is>
          <t>https://www.electricteeth.com/uk/xiaomi-mi-review/</t>
        </is>
      </c>
      <c r="AI5" s="20" t="inlineStr">
        <is>
          <t>Rapprochement sur le capteur de pression et le nombre de modes restreint. Pilotage par application et protection de surpression, positionnement milieu de gamme connecté.</t>
        </is>
      </c>
      <c r="AJ5" s="22">
        <f>IFERROR(IF(IF('Relevé prix'!$B$1="SN",VLOOKUP($U5,'Relevé prix'!$A$4:$N$60,11,FALSE),VLOOKUP($U5,'Relevé prix'!$A$4:$N$60,7,FALSE))=0,"",IF('Relevé prix'!$B$1="SN",VLOOKUP($U5,'Relevé prix'!$A$4:$N$60,11,FALSE),VLOOKUP($U5,'Relevé prix'!$A$4:$N$60,7,FALSE))),"")</f>
        <v/>
      </c>
      <c r="AK5" s="23">
        <f>IFERROR(IF(IF('Relevé prix'!$B$1="SN",VLOOKUP($U5,'Relevé prix'!$A$4:$N$60,12,FALSE),VLOOKUP($U5,'Relevé prix'!$A$4:$N$60,8,FALSE))=0,"",IF('Relevé prix'!$B$1="SN",VLOOKUP($U5,'Relevé prix'!$A$4:$N$60,12,FALSE),VLOOKUP($U5,'Relevé prix'!$A$4:$N$60,8,FALSE))),"")</f>
        <v/>
      </c>
      <c r="AL5" s="24" t="n"/>
      <c r="AM5" s="25" t="n"/>
      <c r="AN5" s="25" t="n"/>
      <c r="AO5" s="22">
        <f>IF(OR(AL5="",AJ5=""),"",AL5-AJ5)</f>
        <v/>
      </c>
      <c r="AP5" s="26">
        <f>IF(OR(AL5="",AJ5="",AJ5=0),"",(AL5-AJ5)/AJ5)</f>
        <v/>
      </c>
      <c r="AQ5" s="27">
        <f>IF(AP5="","",IF(AP5&lt;-0.05,"Moins cher",IF(AP5&gt;0.05,"Plus cher","Équivalent")))</f>
        <v/>
      </c>
    </row>
    <row r="6">
      <c r="A6" s="13" t="inlineStr">
        <is>
          <t>SG-2807</t>
        </is>
      </c>
      <c r="B6" s="13" t="inlineStr">
        <is>
          <t>New Arrival</t>
        </is>
      </c>
      <c r="C6" s="13" t="inlineStr">
        <is>
          <t>Sonique</t>
        </is>
      </c>
      <c r="D6" s="13" t="inlineStr">
        <is>
          <t>Adulte</t>
        </is>
      </c>
      <c r="E6" s="14" t="n">
        <v>38000</v>
      </c>
      <c r="F6" s="14" t="n">
        <v>38000</v>
      </c>
      <c r="G6" s="15" t="n">
        <v>5</v>
      </c>
      <c r="H6" s="15" t="n">
        <v>50</v>
      </c>
      <c r="I6" s="15" t="n">
        <v>700</v>
      </c>
      <c r="J6" s="13" t="inlineStr">
        <is>
          <t>Batterie Li-ion rechargeable</t>
        </is>
      </c>
      <c r="K6" s="13" t="inlineStr">
        <is>
          <t>Magnétique</t>
        </is>
      </c>
      <c r="L6" s="16" t="inlineStr">
        <is>
          <t>N/D</t>
        </is>
      </c>
      <c r="M6" s="13" t="inlineStr">
        <is>
          <t>IPX7</t>
        </is>
      </c>
      <c r="N6" s="13" t="inlineStr">
        <is>
          <t>Non</t>
        </is>
      </c>
      <c r="O6" s="13" t="inlineStr">
        <is>
          <t>Aucun</t>
        </is>
      </c>
      <c r="P6" s="13" t="inlineStr">
        <is>
          <t>Non</t>
        </is>
      </c>
      <c r="Q6" s="17" t="n">
        <v>71</v>
      </c>
      <c r="R6" s="13" t="inlineStr">
        <is>
          <t>23.8*21.1*193.3</t>
        </is>
      </c>
      <c r="S6" s="18" t="inlineStr">
        <is>
          <t>Format voyage, charge par aimantation, design portable</t>
        </is>
      </c>
      <c r="T6" s="19" t="n">
        <v>3</v>
      </c>
      <c r="U6" s="20" t="inlineStr">
        <is>
          <t>FW507</t>
        </is>
      </c>
      <c r="V6" s="20" t="inlineStr">
        <is>
          <t>FW-507 Sonic</t>
        </is>
      </c>
      <c r="W6" s="20" t="inlineStr">
        <is>
          <t>Fairywill</t>
        </is>
      </c>
      <c r="X6" s="20" t="inlineStr">
        <is>
          <t>Sonique</t>
        </is>
      </c>
      <c r="Y6" s="20" t="inlineStr">
        <is>
          <t>40 000 strokes/min</t>
        </is>
      </c>
      <c r="Z6" s="20" t="inlineStr">
        <is>
          <t>5 modes (Clean, Sensitive, Massage, White, Polish)</t>
        </is>
      </c>
      <c r="AA6" s="20" t="n">
        <v>30</v>
      </c>
      <c r="AB6" s="20" t="inlineStr">
        <is>
          <t>IPX7</t>
        </is>
      </c>
      <c r="AC6" s="20" t="inlineStr">
        <is>
          <t>Non</t>
        </is>
      </c>
      <c r="AD6" s="20" t="inlineStr">
        <is>
          <t>USB, charge 4 h</t>
        </is>
      </c>
      <c r="AE6" s="20" t="inlineStr">
        <is>
          <t>Non vérifié sur CI, SN, BF, CM, BJ. Marque référencée sur Jumia Maroc.</t>
        </is>
      </c>
      <c r="AF6" s="20" t="inlineStr">
        <is>
          <t>Jumia, Amazon, marketplaces</t>
        </is>
      </c>
      <c r="AG6" s="21" t="inlineStr">
        <is>
          <t>https://www.fairywill.com/products/fairywill-electric-toothbrush-30-days-usage-5-modes-changeable-heads-timer</t>
        </is>
      </c>
      <c r="AH6" s="21" t="inlineStr">
        <is>
          <t>https://www.jumia.ma/brosse-a-dents-electrique/fairywill/</t>
        </is>
      </c>
      <c r="AI6" s="20" t="inlineStr">
        <is>
          <t>Rapprochement sur les 5 modes, la fréquence et l'architecture de charge USB. Concurrent le plus proche du coeur de gamme SEAGO : mêmes 5 modes, même fréquence, même architecture USB.</t>
        </is>
      </c>
      <c r="AJ6" s="22">
        <f>IFERROR(IF(IF('Relevé prix'!$B$1="SN",VLOOKUP($U6,'Relevé prix'!$A$4:$N$60,11,FALSE),VLOOKUP($U6,'Relevé prix'!$A$4:$N$60,7,FALSE))=0,"",IF('Relevé prix'!$B$1="SN",VLOOKUP($U6,'Relevé prix'!$A$4:$N$60,11,FALSE),VLOOKUP($U6,'Relevé prix'!$A$4:$N$60,7,FALSE))),"")</f>
        <v/>
      </c>
      <c r="AK6" s="23">
        <f>IFERROR(IF(IF('Relevé prix'!$B$1="SN",VLOOKUP($U6,'Relevé prix'!$A$4:$N$60,12,FALSE),VLOOKUP($U6,'Relevé prix'!$A$4:$N$60,8,FALSE))=0,"",IF('Relevé prix'!$B$1="SN",VLOOKUP($U6,'Relevé prix'!$A$4:$N$60,12,FALSE),VLOOKUP($U6,'Relevé prix'!$A$4:$N$60,8,FALSE))),"")</f>
        <v/>
      </c>
      <c r="AL6" s="24" t="n"/>
      <c r="AM6" s="25" t="n"/>
      <c r="AN6" s="25" t="n"/>
      <c r="AO6" s="22">
        <f>IF(OR(AL6="",AJ6=""),"",AL6-AJ6)</f>
        <v/>
      </c>
      <c r="AP6" s="26">
        <f>IF(OR(AL6="",AJ6="",AJ6=0),"",(AL6-AJ6)/AJ6)</f>
        <v/>
      </c>
      <c r="AQ6" s="27">
        <f>IF(AP6="","",IF(AP6&lt;-0.05,"Moins cher",IF(AP6&gt;0.05,"Plus cher","Équivalent")))</f>
        <v/>
      </c>
    </row>
    <row r="7">
      <c r="A7" s="28" t="inlineStr">
        <is>
          <t>SG-2808</t>
        </is>
      </c>
      <c r="B7" s="28" t="inlineStr">
        <is>
          <t>New Arrival</t>
        </is>
      </c>
      <c r="C7" s="28" t="inlineStr">
        <is>
          <t>Sonique</t>
        </is>
      </c>
      <c r="D7" s="28" t="inlineStr">
        <is>
          <t>Adulte</t>
        </is>
      </c>
      <c r="E7" s="29" t="n">
        <v>33000</v>
      </c>
      <c r="F7" s="29" t="n">
        <v>33000</v>
      </c>
      <c r="G7" s="30" t="n">
        <v>5</v>
      </c>
      <c r="H7" s="30" t="n">
        <v>100</v>
      </c>
      <c r="I7" s="30" t="n">
        <v>2000</v>
      </c>
      <c r="J7" s="28" t="inlineStr">
        <is>
          <t>Batterie Li-ion rechargeable</t>
        </is>
      </c>
      <c r="K7" s="28" t="inlineStr">
        <is>
          <t>Type-C</t>
        </is>
      </c>
      <c r="L7" s="31" t="n">
        <v>8</v>
      </c>
      <c r="M7" s="28" t="inlineStr">
        <is>
          <t>IPX7</t>
        </is>
      </c>
      <c r="N7" s="28" t="inlineStr">
        <is>
          <t>Non</t>
        </is>
      </c>
      <c r="O7" s="28" t="inlineStr">
        <is>
          <t>Indicateur batterie</t>
        </is>
      </c>
      <c r="P7" s="28" t="inlineStr">
        <is>
          <t>Oui</t>
        </is>
      </c>
      <c r="Q7" s="31" t="n">
        <v>100.5</v>
      </c>
      <c r="R7" s="28" t="inlineStr">
        <is>
          <t>27*29.2*226.8</t>
        </is>
      </c>
      <c r="S7" s="32" t="inlineStr">
        <is>
          <t>Charge 8 h pour 100 jours, mémoire intelligente, protection surcharge et décharge profonde</t>
        </is>
      </c>
      <c r="T7" s="33" t="n">
        <v>3</v>
      </c>
      <c r="U7" s="20" t="inlineStr">
        <is>
          <t>USMILE_Y1S</t>
        </is>
      </c>
      <c r="V7" s="20" t="inlineStr">
        <is>
          <t>Y1S Sonic</t>
        </is>
      </c>
      <c r="W7" s="20" t="inlineStr">
        <is>
          <t>usmile</t>
        </is>
      </c>
      <c r="X7" s="20" t="inlineStr">
        <is>
          <t>Sonique</t>
        </is>
      </c>
      <c r="Y7" s="20" t="inlineStr">
        <is>
          <t>38 000 vibrations/min</t>
        </is>
      </c>
      <c r="Z7" s="20" t="inlineStr">
        <is>
          <t>3 modes (Clean, White, Soft)</t>
        </is>
      </c>
      <c r="AA7" s="20" t="n">
        <v>180</v>
      </c>
      <c r="AB7" s="20" t="inlineStr">
        <is>
          <t>IPX7</t>
        </is>
      </c>
      <c r="AC7" s="20" t="inlineStr">
        <is>
          <t>Non</t>
        </is>
      </c>
      <c r="AD7" s="20" t="inlineStr">
        <is>
          <t>USB Type-C</t>
        </is>
      </c>
      <c r="AE7" s="20" t="inlineStr">
        <is>
          <t>Non vérifié sur CI, SN, BF, CM, BJ.</t>
        </is>
      </c>
      <c r="AF7" s="20" t="inlineStr">
        <is>
          <t>Marketplaces, retail spécialisé</t>
        </is>
      </c>
      <c r="AG7" s="21" t="inlineStr">
        <is>
          <t>https://www.usmile.com/electrictoothbrush/info.html?id=4</t>
        </is>
      </c>
      <c r="AH7" s="21" t="inlineStr">
        <is>
          <t>https://www.ada.org/resources/research/science/ada-seal-of-acceptance/product-search/a065e00000BWImYAAX/usmile-sonic-electric-toothbrush-y1s</t>
        </is>
      </c>
      <c r="AI7" s="20" t="inlineStr">
        <is>
          <t>Rapprochement sur l'argument longue autonomie (au-delà de 100 jours). Référence de l'argument longue autonomie (180 jours), acceptée par l'American Dental Association.</t>
        </is>
      </c>
      <c r="AJ7" s="22">
        <f>IFERROR(IF(IF('Relevé prix'!$B$1="SN",VLOOKUP($U7,'Relevé prix'!$A$4:$N$60,11,FALSE),VLOOKUP($U7,'Relevé prix'!$A$4:$N$60,7,FALSE))=0,"",IF('Relevé prix'!$B$1="SN",VLOOKUP($U7,'Relevé prix'!$A$4:$N$60,11,FALSE),VLOOKUP($U7,'Relevé prix'!$A$4:$N$60,7,FALSE))),"")</f>
        <v/>
      </c>
      <c r="AK7" s="23">
        <f>IFERROR(IF(IF('Relevé prix'!$B$1="SN",VLOOKUP($U7,'Relevé prix'!$A$4:$N$60,12,FALSE),VLOOKUP($U7,'Relevé prix'!$A$4:$N$60,8,FALSE))=0,"",IF('Relevé prix'!$B$1="SN",VLOOKUP($U7,'Relevé prix'!$A$4:$N$60,12,FALSE),VLOOKUP($U7,'Relevé prix'!$A$4:$N$60,8,FALSE))),"")</f>
        <v/>
      </c>
      <c r="AL7" s="24" t="n"/>
      <c r="AM7" s="25" t="n"/>
      <c r="AN7" s="25" t="n"/>
      <c r="AO7" s="22">
        <f>IF(OR(AL7="",AJ7=""),"",AL7-AJ7)</f>
        <v/>
      </c>
      <c r="AP7" s="26">
        <f>IF(OR(AL7="",AJ7="",AJ7=0),"",(AL7-AJ7)/AJ7)</f>
        <v/>
      </c>
      <c r="AQ7" s="27">
        <f>IF(AP7="","",IF(AP7&lt;-0.05,"Moins cher",IF(AP7&gt;0.05,"Plus cher","Équivalent")))</f>
        <v/>
      </c>
    </row>
    <row r="8">
      <c r="A8" s="13" t="inlineStr">
        <is>
          <t>SG-2810</t>
        </is>
      </c>
      <c r="B8" s="13" t="inlineStr">
        <is>
          <t>New Arrival</t>
        </is>
      </c>
      <c r="C8" s="13" t="inlineStr">
        <is>
          <t>Sonique</t>
        </is>
      </c>
      <c r="D8" s="13" t="inlineStr">
        <is>
          <t>Adulte</t>
        </is>
      </c>
      <c r="E8" s="14" t="n">
        <v>33000</v>
      </c>
      <c r="F8" s="14" t="n">
        <v>33000</v>
      </c>
      <c r="G8" s="15" t="n">
        <v>5</v>
      </c>
      <c r="H8" s="15" t="n">
        <v>100</v>
      </c>
      <c r="I8" s="15" t="n">
        <v>2000</v>
      </c>
      <c r="J8" s="13" t="inlineStr">
        <is>
          <t>Batterie Li-ion rechargeable</t>
        </is>
      </c>
      <c r="K8" s="13" t="inlineStr">
        <is>
          <t>Type-C</t>
        </is>
      </c>
      <c r="L8" s="17" t="n">
        <v>8</v>
      </c>
      <c r="M8" s="13" t="inlineStr">
        <is>
          <t>IPX7</t>
        </is>
      </c>
      <c r="N8" s="13" t="inlineStr">
        <is>
          <t>Non</t>
        </is>
      </c>
      <c r="O8" s="13" t="inlineStr">
        <is>
          <t>Indicateur batterie</t>
        </is>
      </c>
      <c r="P8" s="13" t="inlineStr">
        <is>
          <t>Oui</t>
        </is>
      </c>
      <c r="Q8" s="17" t="n">
        <v>140</v>
      </c>
      <c r="R8" s="13" t="inlineStr">
        <is>
          <t>28*29*244</t>
        </is>
      </c>
      <c r="S8" s="18" t="inlineStr">
        <is>
          <t>Charge 8 h pour 100 jours, mémoire intelligente, protection surcharge et décharge profonde</t>
        </is>
      </c>
      <c r="T8" s="19" t="n">
        <v>4</v>
      </c>
      <c r="U8" s="20" t="inlineStr">
        <is>
          <t>USMILE_Y1S</t>
        </is>
      </c>
      <c r="V8" s="20" t="inlineStr">
        <is>
          <t>Y1S Sonic</t>
        </is>
      </c>
      <c r="W8" s="20" t="inlineStr">
        <is>
          <t>usmile</t>
        </is>
      </c>
      <c r="X8" s="20" t="inlineStr">
        <is>
          <t>Sonique</t>
        </is>
      </c>
      <c r="Y8" s="20" t="inlineStr">
        <is>
          <t>38 000 vibrations/min</t>
        </is>
      </c>
      <c r="Z8" s="20" t="inlineStr">
        <is>
          <t>3 modes (Clean, White, Soft)</t>
        </is>
      </c>
      <c r="AA8" s="20" t="n">
        <v>180</v>
      </c>
      <c r="AB8" s="20" t="inlineStr">
        <is>
          <t>IPX7</t>
        </is>
      </c>
      <c r="AC8" s="20" t="inlineStr">
        <is>
          <t>Non</t>
        </is>
      </c>
      <c r="AD8" s="20" t="inlineStr">
        <is>
          <t>USB Type-C</t>
        </is>
      </c>
      <c r="AE8" s="20" t="inlineStr">
        <is>
          <t>Non vérifié sur CI, SN, BF, CM, BJ.</t>
        </is>
      </c>
      <c r="AF8" s="20" t="inlineStr">
        <is>
          <t>Marketplaces, retail spécialisé</t>
        </is>
      </c>
      <c r="AG8" s="21" t="inlineStr">
        <is>
          <t>https://www.usmile.com/electrictoothbrush/info.html?id=4</t>
        </is>
      </c>
      <c r="AH8" s="21" t="inlineStr">
        <is>
          <t>https://www.ada.org/resources/research/science/ada-seal-of-acceptance/product-search/a065e00000BWImYAAX/usmile-sonic-electric-toothbrush-y1s</t>
        </is>
      </c>
      <c r="AI8" s="20" t="inlineStr">
        <is>
          <t>Rapprochement sur l'argument longue autonomie (au-delà de 100 jours). Référence de l'argument longue autonomie (180 jours), acceptée par l'American Dental Association.</t>
        </is>
      </c>
      <c r="AJ8" s="22">
        <f>IFERROR(IF(IF('Relevé prix'!$B$1="SN",VLOOKUP($U8,'Relevé prix'!$A$4:$N$60,11,FALSE),VLOOKUP($U8,'Relevé prix'!$A$4:$N$60,7,FALSE))=0,"",IF('Relevé prix'!$B$1="SN",VLOOKUP($U8,'Relevé prix'!$A$4:$N$60,11,FALSE),VLOOKUP($U8,'Relevé prix'!$A$4:$N$60,7,FALSE))),"")</f>
        <v/>
      </c>
      <c r="AK8" s="23">
        <f>IFERROR(IF(IF('Relevé prix'!$B$1="SN",VLOOKUP($U8,'Relevé prix'!$A$4:$N$60,12,FALSE),VLOOKUP($U8,'Relevé prix'!$A$4:$N$60,8,FALSE))=0,"",IF('Relevé prix'!$B$1="SN",VLOOKUP($U8,'Relevé prix'!$A$4:$N$60,12,FALSE),VLOOKUP($U8,'Relevé prix'!$A$4:$N$60,8,FALSE))),"")</f>
        <v/>
      </c>
      <c r="AL8" s="24" t="n"/>
      <c r="AM8" s="25" t="n"/>
      <c r="AN8" s="25" t="n"/>
      <c r="AO8" s="22">
        <f>IF(OR(AL8="",AJ8=""),"",AL8-AJ8)</f>
        <v/>
      </c>
      <c r="AP8" s="26">
        <f>IF(OR(AL8="",AJ8="",AJ8=0),"",(AL8-AJ8)/AJ8)</f>
        <v/>
      </c>
      <c r="AQ8" s="27">
        <f>IF(AP8="","",IF(AP8&lt;-0.05,"Moins cher",IF(AP8&gt;0.05,"Plus cher","Équivalent")))</f>
        <v/>
      </c>
    </row>
    <row r="9">
      <c r="A9" s="28" t="inlineStr">
        <is>
          <t>SG-2811</t>
        </is>
      </c>
      <c r="B9" s="28" t="inlineStr">
        <is>
          <t>New Arrival</t>
        </is>
      </c>
      <c r="C9" s="28" t="inlineStr">
        <is>
          <t>Sonique</t>
        </is>
      </c>
      <c r="D9" s="28" t="inlineStr">
        <is>
          <t>Enfant</t>
        </is>
      </c>
      <c r="E9" s="29" t="n">
        <v>36000</v>
      </c>
      <c r="F9" s="29" t="n">
        <v>36000</v>
      </c>
      <c r="G9" s="30" t="n">
        <v>2</v>
      </c>
      <c r="H9" s="30" t="n">
        <v>80</v>
      </c>
      <c r="I9" s="35" t="inlineStr">
        <is>
          <t>N/D</t>
        </is>
      </c>
      <c r="J9" s="28" t="inlineStr">
        <is>
          <t>Piles (2x AA)</t>
        </is>
      </c>
      <c r="K9" s="28" t="inlineStr">
        <is>
          <t>Piles</t>
        </is>
      </c>
      <c r="L9" s="34" t="inlineStr">
        <is>
          <t>N/D</t>
        </is>
      </c>
      <c r="M9" s="28" t="inlineStr">
        <is>
          <t>IPX7</t>
        </is>
      </c>
      <c r="N9" s="28" t="inlineStr">
        <is>
          <t>Non</t>
        </is>
      </c>
      <c r="O9" s="28" t="inlineStr">
        <is>
          <t>Aucun</t>
        </is>
      </c>
      <c r="P9" s="28" t="inlineStr">
        <is>
          <t>Oui</t>
        </is>
      </c>
      <c r="Q9" s="34" t="inlineStr">
        <is>
          <t>N/D</t>
        </is>
      </c>
      <c r="R9" s="36" t="inlineStr">
        <is>
          <t>N/D</t>
        </is>
      </c>
      <c r="S9" s="32" t="inlineStr">
        <is>
          <t>Tête silicone alimentaire avec gratte-langue, poils souples, design sans joint anti-ingestion, anti-projection de dentifrice, sans BPA</t>
        </is>
      </c>
      <c r="T9" s="33" t="n">
        <v>4</v>
      </c>
      <c r="U9" s="20" t="inlineStr">
        <is>
          <t>OB_KIDS_PILE</t>
        </is>
      </c>
      <c r="V9" s="20" t="inlineStr">
        <is>
          <t>Kids Battery Disney (Frozen / Princess)</t>
        </is>
      </c>
      <c r="W9" s="20" t="inlineStr">
        <is>
          <t>Oral-B</t>
        </is>
      </c>
      <c r="X9" s="20" t="inlineStr">
        <is>
          <t>Oscillo-rotative enfant</t>
        </is>
      </c>
      <c r="Y9" s="20" t="inlineStr">
        <is>
          <t>7 600 oscillations/min</t>
        </is>
      </c>
      <c r="Z9" s="20" t="inlineStr">
        <is>
          <t>1 mode</t>
        </is>
      </c>
      <c r="AA9" s="37" t="inlineStr">
        <is>
          <t>N/D</t>
        </is>
      </c>
      <c r="AB9" s="37" t="inlineStr">
        <is>
          <t>N/D</t>
        </is>
      </c>
      <c r="AC9" s="20" t="inlineStr">
        <is>
          <t>Non</t>
        </is>
      </c>
      <c r="AD9" s="20" t="inlineStr">
        <is>
          <t>2 piles AA</t>
        </is>
      </c>
      <c r="AE9" s="20" t="inlineStr">
        <is>
          <t>Non vérifié sur CI, SN, BF, CM, BJ. Marque Oral-B présente en CI et SN.</t>
        </is>
      </c>
      <c r="AF9" s="20" t="inlineStr">
        <is>
          <t>Amazon, GMS</t>
        </is>
      </c>
      <c r="AG9" s="21" t="inlineStr">
        <is>
          <t>https://www.amazon.com/Oral-B-Pro-Health-Battery-Toothbrush-featuring/dp/B01AKGRSCG</t>
        </is>
      </c>
      <c r="AH9" s="21" t="inlineStr">
        <is>
          <t>https://oralb.com/en-us/products/more-products/kids-products/kids-battery-toothbrush-featuring-disney-princess/</t>
        </is>
      </c>
      <c r="AI9" s="20" t="inlineStr">
        <is>
          <t>Rapprochement sur la cible enfant et l'alimentation à piles. Tête extra-souple, application Disney Magic Timer. Concurrent direct des SEAGO enfant à piles.</t>
        </is>
      </c>
      <c r="AJ9" s="22">
        <f>IFERROR(IF(IF('Relevé prix'!$B$1="SN",VLOOKUP($U9,'Relevé prix'!$A$4:$N$60,11,FALSE),VLOOKUP($U9,'Relevé prix'!$A$4:$N$60,7,FALSE))=0,"",IF('Relevé prix'!$B$1="SN",VLOOKUP($U9,'Relevé prix'!$A$4:$N$60,11,FALSE),VLOOKUP($U9,'Relevé prix'!$A$4:$N$60,7,FALSE))),"")</f>
        <v/>
      </c>
      <c r="AK9" s="23">
        <f>IFERROR(IF(IF('Relevé prix'!$B$1="SN",VLOOKUP($U9,'Relevé prix'!$A$4:$N$60,12,FALSE),VLOOKUP($U9,'Relevé prix'!$A$4:$N$60,8,FALSE))=0,"",IF('Relevé prix'!$B$1="SN",VLOOKUP($U9,'Relevé prix'!$A$4:$N$60,12,FALSE),VLOOKUP($U9,'Relevé prix'!$A$4:$N$60,8,FALSE))),"")</f>
        <v/>
      </c>
      <c r="AL9" s="24" t="n"/>
      <c r="AM9" s="25" t="n"/>
      <c r="AN9" s="25" t="n"/>
      <c r="AO9" s="22">
        <f>IF(OR(AL9="",AJ9=""),"",AL9-AJ9)</f>
        <v/>
      </c>
      <c r="AP9" s="26">
        <f>IF(OR(AL9="",AJ9="",AJ9=0),"",(AL9-AJ9)/AJ9)</f>
        <v/>
      </c>
      <c r="AQ9" s="27">
        <f>IF(AP9="","",IF(AP9&lt;-0.05,"Moins cher",IF(AP9&gt;0.05,"Plus cher","Équivalent")))</f>
        <v/>
      </c>
    </row>
    <row r="10">
      <c r="A10" s="13" t="inlineStr">
        <is>
          <t>SG-2812</t>
        </is>
      </c>
      <c r="B10" s="13" t="inlineStr">
        <is>
          <t>New Arrival</t>
        </is>
      </c>
      <c r="C10" s="13" t="inlineStr">
        <is>
          <t>Sonique</t>
        </is>
      </c>
      <c r="D10" s="13" t="inlineStr">
        <is>
          <t>Adulte</t>
        </is>
      </c>
      <c r="E10" s="14" t="n">
        <v>28000</v>
      </c>
      <c r="F10" s="14" t="n">
        <v>28000</v>
      </c>
      <c r="G10" s="38" t="inlineStr">
        <is>
          <t>N/D</t>
        </is>
      </c>
      <c r="H10" s="15" t="n">
        <v>100</v>
      </c>
      <c r="I10" s="38" t="inlineStr">
        <is>
          <t>N/D</t>
        </is>
      </c>
      <c r="J10" s="13" t="inlineStr">
        <is>
          <t>Pile (1x AA)</t>
        </is>
      </c>
      <c r="K10" s="13" t="inlineStr">
        <is>
          <t>Piles</t>
        </is>
      </c>
      <c r="L10" s="16" t="inlineStr">
        <is>
          <t>N/D</t>
        </is>
      </c>
      <c r="M10" s="13" t="inlineStr">
        <is>
          <t>IPX7</t>
        </is>
      </c>
      <c r="N10" s="13" t="inlineStr">
        <is>
          <t>Non</t>
        </is>
      </c>
      <c r="O10" s="13" t="inlineStr">
        <is>
          <t>Aucun</t>
        </is>
      </c>
      <c r="P10" s="13" t="inlineStr">
        <is>
          <t>Non</t>
        </is>
      </c>
      <c r="Q10" s="17" t="n">
        <v>56</v>
      </c>
      <c r="R10" s="13" t="inlineStr">
        <is>
          <t>23.4*23.5*220</t>
        </is>
      </c>
      <c r="S10" s="18" t="inlineStr">
        <is>
          <t>Panneau haut de gamme, tenon métal, pack 1 brosse + 3 têtes de rechange (1 an d'usage)</t>
        </is>
      </c>
      <c r="T10" s="19" t="n">
        <v>5</v>
      </c>
      <c r="U10" s="20" t="inlineStr">
        <is>
          <t>COLGATE_150</t>
        </is>
      </c>
      <c r="V10" s="20" t="inlineStr">
        <is>
          <t>ProClinical 150 (Charcoal / Deep Clean)</t>
        </is>
      </c>
      <c r="W10" s="20" t="inlineStr">
        <is>
          <t>Colgate</t>
        </is>
      </c>
      <c r="X10" s="20" t="inlineStr">
        <is>
          <t>Sonique à piles</t>
        </is>
      </c>
      <c r="Y10" s="20" t="inlineStr">
        <is>
          <t>20 000 strokes/min</t>
        </is>
      </c>
      <c r="Z10" s="20" t="inlineStr">
        <is>
          <t>1 mode</t>
        </is>
      </c>
      <c r="AA10" s="37" t="inlineStr">
        <is>
          <t>N/D</t>
        </is>
      </c>
      <c r="AB10" s="37" t="inlineStr">
        <is>
          <t>N/D</t>
        </is>
      </c>
      <c r="AC10" s="20" t="inlineStr">
        <is>
          <t>Non</t>
        </is>
      </c>
      <c r="AD10" s="20" t="inlineStr">
        <is>
          <t>2 piles AAA</t>
        </is>
      </c>
      <c r="AE10" s="20" t="inlineStr">
        <is>
          <t>Non vérifié sur CI, SN, BF, CM, BJ. Marque Colgate largement distribuée en GMS et pharmacie sur ces marchés.</t>
        </is>
      </c>
      <c r="AF10" s="20" t="inlineStr">
        <is>
          <t>GMS, pharmacies</t>
        </is>
      </c>
      <c r="AG10" s="21" t="inlineStr">
        <is>
          <t>https://www.colgate.com/en-my/products/toothbrush/colgate-proclinical-150-charcoal-battery-powered-toothbrush</t>
        </is>
      </c>
      <c r="AH10" s="21" t="inlineStr">
        <is>
          <t>https://www.colgate.com/en-my/products/toothbrush/colgate-proclinical-150-deepclean-battery-powered-toothbrush</t>
        </is>
      </c>
      <c r="AI10" s="20" t="inlineStr">
        <is>
          <t>Rapprochement sur l'alimentation à piles et le positionnement prix d'entrée de gamme. Concurrent de référence du segment SEAGO à piles : marque installée, prix d'entrée, tête remplaçable.</t>
        </is>
      </c>
      <c r="AJ10" s="22">
        <f>IFERROR(IF(IF('Relevé prix'!$B$1="SN",VLOOKUP($U10,'Relevé prix'!$A$4:$N$60,11,FALSE),VLOOKUP($U10,'Relevé prix'!$A$4:$N$60,7,FALSE))=0,"",IF('Relevé prix'!$B$1="SN",VLOOKUP($U10,'Relevé prix'!$A$4:$N$60,11,FALSE),VLOOKUP($U10,'Relevé prix'!$A$4:$N$60,7,FALSE))),"")</f>
        <v/>
      </c>
      <c r="AK10" s="23">
        <f>IFERROR(IF(IF('Relevé prix'!$B$1="SN",VLOOKUP($U10,'Relevé prix'!$A$4:$N$60,12,FALSE),VLOOKUP($U10,'Relevé prix'!$A$4:$N$60,8,FALSE))=0,"",IF('Relevé prix'!$B$1="SN",VLOOKUP($U10,'Relevé prix'!$A$4:$N$60,12,FALSE),VLOOKUP($U10,'Relevé prix'!$A$4:$N$60,8,FALSE))),"")</f>
        <v/>
      </c>
      <c r="AL10" s="24" t="n"/>
      <c r="AM10" s="25" t="n"/>
      <c r="AN10" s="25" t="n"/>
      <c r="AO10" s="22">
        <f>IF(OR(AL10="",AJ10=""),"",AL10-AJ10)</f>
        <v/>
      </c>
      <c r="AP10" s="26">
        <f>IF(OR(AL10="",AJ10="",AJ10=0),"",(AL10-AJ10)/AJ10)</f>
        <v/>
      </c>
      <c r="AQ10" s="27">
        <f>IF(AP10="","",IF(AP10&lt;-0.05,"Moins cher",IF(AP10&gt;0.05,"Plus cher","Équivalent")))</f>
        <v/>
      </c>
    </row>
    <row r="11">
      <c r="A11" s="28" t="inlineStr">
        <is>
          <t>SG-2813</t>
        </is>
      </c>
      <c r="B11" s="28" t="inlineStr">
        <is>
          <t>New Arrival</t>
        </is>
      </c>
      <c r="C11" s="28" t="inlineStr">
        <is>
          <t>Sonique</t>
        </is>
      </c>
      <c r="D11" s="28" t="inlineStr">
        <is>
          <t>Enfant</t>
        </is>
      </c>
      <c r="E11" s="29" t="n">
        <v>36000</v>
      </c>
      <c r="F11" s="29" t="n">
        <v>36000</v>
      </c>
      <c r="G11" s="30" t="n">
        <v>3</v>
      </c>
      <c r="H11" s="30" t="n">
        <v>60</v>
      </c>
      <c r="I11" s="30" t="n">
        <v>700</v>
      </c>
      <c r="J11" s="28" t="inlineStr">
        <is>
          <t>Batterie Li-ion rechargeable</t>
        </is>
      </c>
      <c r="K11" s="28" t="inlineStr">
        <is>
          <t>Type-C</t>
        </is>
      </c>
      <c r="L11" s="34" t="inlineStr">
        <is>
          <t>N/D</t>
        </is>
      </c>
      <c r="M11" s="28" t="inlineStr">
        <is>
          <t>IPX7</t>
        </is>
      </c>
      <c r="N11" s="28" t="inlineStr">
        <is>
          <t>Oui</t>
        </is>
      </c>
      <c r="O11" s="28" t="inlineStr">
        <is>
          <t>Aucun</t>
        </is>
      </c>
      <c r="P11" s="28" t="inlineStr">
        <is>
          <t>Oui</t>
        </is>
      </c>
      <c r="Q11" s="34" t="inlineStr">
        <is>
          <t>N/D</t>
        </is>
      </c>
      <c r="R11" s="36" t="inlineStr">
        <is>
          <t>N/D</t>
        </is>
      </c>
      <c r="S11" s="32" t="inlineStr">
        <is>
          <t>Habillage silicone fraise/avocat, poils souples, design sans joint anti-ingestion, anti-projection, sans BPA, alerte batterie faible</t>
        </is>
      </c>
      <c r="T11" s="33" t="n">
        <v>5</v>
      </c>
      <c r="U11" s="20" t="inlineStr">
        <is>
          <t>SONICARE_KIDS</t>
        </is>
      </c>
      <c r="V11" s="20" t="inlineStr">
        <is>
          <t>Sonicare For Kids HX6321/02</t>
        </is>
      </c>
      <c r="W11" s="20" t="inlineStr">
        <is>
          <t>Philips</t>
        </is>
      </c>
      <c r="X11" s="20" t="inlineStr">
        <is>
          <t>Sonique enfant</t>
        </is>
      </c>
      <c r="Y11" s="20" t="inlineStr">
        <is>
          <t>62 000 mouvements/min</t>
        </is>
      </c>
      <c r="Z11" s="20" t="inlineStr">
        <is>
          <t>2 modes</t>
        </is>
      </c>
      <c r="AA11" s="20" t="n">
        <v>21</v>
      </c>
      <c r="AB11" s="37" t="inlineStr">
        <is>
          <t>N/D</t>
        </is>
      </c>
      <c r="AC11" s="20" t="inlineStr">
        <is>
          <t>Non</t>
        </is>
      </c>
      <c r="AD11" s="20" t="inlineStr">
        <is>
          <t>Socle inductif</t>
        </is>
      </c>
      <c r="AE11" s="20" t="inlineStr">
        <is>
          <t>Non vérifié sur CI, SN, BF, CM, BJ. Présence confirmée aux EAU (Noon).</t>
        </is>
      </c>
      <c r="AF11" s="20" t="inlineStr">
        <is>
          <t>Noon UAE, pharmacies</t>
        </is>
      </c>
      <c r="AG11" s="21" t="inlineStr">
        <is>
          <t>https://www.usa.philips.com/c-p/HX6321_02/sonicare-for-kids-sonic-electric-toothbrush</t>
        </is>
      </c>
      <c r="AH11" s="21" t="inlineStr">
        <is>
          <t>https://www.philips.com/c-dam/b2c/category-pages/personal-care/POHC/resource-library-docs/HX6321-03%20LEAFLET-Sonicare-%20For-Kids-%20Connected-Electric-Toothbrush.pdf</t>
        </is>
      </c>
      <c r="AI11" s="20" t="inlineStr">
        <is>
          <t>Rapprochement sur la cible enfant et la technologie sonique rechargeable. Connectivité Bluetooth et application de coaching enfant. Indicateur de batterie.</t>
        </is>
      </c>
      <c r="AJ11" s="22">
        <f>IFERROR(IF(IF('Relevé prix'!$B$1="SN",VLOOKUP($U11,'Relevé prix'!$A$4:$N$60,11,FALSE),VLOOKUP($U11,'Relevé prix'!$A$4:$N$60,7,FALSE))=0,"",IF('Relevé prix'!$B$1="SN",VLOOKUP($U11,'Relevé prix'!$A$4:$N$60,11,FALSE),VLOOKUP($U11,'Relevé prix'!$A$4:$N$60,7,FALSE))),"")</f>
        <v/>
      </c>
      <c r="AK11" s="23">
        <f>IFERROR(IF(IF('Relevé prix'!$B$1="SN",VLOOKUP($U11,'Relevé prix'!$A$4:$N$60,12,FALSE),VLOOKUP($U11,'Relevé prix'!$A$4:$N$60,8,FALSE))=0,"",IF('Relevé prix'!$B$1="SN",VLOOKUP($U11,'Relevé prix'!$A$4:$N$60,12,FALSE),VLOOKUP($U11,'Relevé prix'!$A$4:$N$60,8,FALSE))),"")</f>
        <v/>
      </c>
      <c r="AL11" s="24" t="n"/>
      <c r="AM11" s="25" t="n"/>
      <c r="AN11" s="25" t="n"/>
      <c r="AO11" s="22">
        <f>IF(OR(AL11="",AJ11=""),"",AL11-AJ11)</f>
        <v/>
      </c>
      <c r="AP11" s="26">
        <f>IF(OR(AL11="",AJ11="",AJ11=0),"",(AL11-AJ11)/AJ11)</f>
        <v/>
      </c>
      <c r="AQ11" s="27">
        <f>IF(AP11="","",IF(AP11&lt;-0.05,"Moins cher",IF(AP11&gt;0.05,"Plus cher","Équivalent")))</f>
        <v/>
      </c>
    </row>
    <row r="12">
      <c r="A12" s="13" t="inlineStr">
        <is>
          <t>SG-2608</t>
        </is>
      </c>
      <c r="B12" s="13" t="inlineStr">
        <is>
          <t>New Arrival</t>
        </is>
      </c>
      <c r="C12" s="13" t="inlineStr">
        <is>
          <t>Rotative / oscillante</t>
        </is>
      </c>
      <c r="D12" s="13" t="inlineStr">
        <is>
          <t>Adulte</t>
        </is>
      </c>
      <c r="E12" s="14" t="n">
        <v>8000</v>
      </c>
      <c r="F12" s="14" t="n">
        <v>8000</v>
      </c>
      <c r="G12" s="15" t="n">
        <v>5</v>
      </c>
      <c r="H12" s="15" t="n">
        <v>60</v>
      </c>
      <c r="I12" s="15" t="n">
        <v>2000</v>
      </c>
      <c r="J12" s="13" t="inlineStr">
        <is>
          <t>Batterie Li-ion rechargeable</t>
        </is>
      </c>
      <c r="K12" s="13" t="inlineStr">
        <is>
          <t>Magnétique</t>
        </is>
      </c>
      <c r="L12" s="16" t="inlineStr">
        <is>
          <t>N/D</t>
        </is>
      </c>
      <c r="M12" s="13" t="inlineStr">
        <is>
          <t>IPX7</t>
        </is>
      </c>
      <c r="N12" s="13" t="inlineStr">
        <is>
          <t>Oui</t>
        </is>
      </c>
      <c r="O12" s="13" t="inlineStr">
        <is>
          <t>Écran (6 langues)</t>
        </is>
      </c>
      <c r="P12" s="13" t="inlineStr">
        <is>
          <t>Oui</t>
        </is>
      </c>
      <c r="Q12" s="16" t="inlineStr">
        <is>
          <t>N/D</t>
        </is>
      </c>
      <c r="R12" s="13" t="inlineStr">
        <is>
          <t>29.8*29.7*238.4</t>
        </is>
      </c>
      <c r="S12" s="18" t="inlineStr">
        <is>
          <t>Écran d'affichage 6 langues, rappel de remplacement de tête, système super silencieux, alerte batterie faible</t>
        </is>
      </c>
      <c r="T12" s="19" t="n">
        <v>6</v>
      </c>
      <c r="U12" s="20" t="inlineStr">
        <is>
          <t>IO3</t>
        </is>
      </c>
      <c r="V12" s="20" t="inlineStr">
        <is>
          <t>iO Series 3</t>
        </is>
      </c>
      <c r="W12" s="20" t="inlineStr">
        <is>
          <t>Oral-B</t>
        </is>
      </c>
      <c r="X12" s="20" t="inlineStr">
        <is>
          <t>Oscillo-rotative + micro-vibrations</t>
        </is>
      </c>
      <c r="Y12" s="37" t="inlineStr">
        <is>
          <t>N/D</t>
        </is>
      </c>
      <c r="Z12" s="20" t="inlineStr">
        <is>
          <t>3 modes (Daily Clean, Sensitive, Whitening)</t>
        </is>
      </c>
      <c r="AA12" s="37" t="inlineStr">
        <is>
          <t>N/D</t>
        </is>
      </c>
      <c r="AB12" s="37" t="inlineStr">
        <is>
          <t>N/D</t>
        </is>
      </c>
      <c r="AC12" s="20" t="inlineStr">
        <is>
          <t>Oui (anneau lumineux blanc / vert / rouge)</t>
        </is>
      </c>
      <c r="AD12" s="20" t="inlineStr">
        <is>
          <t>Socle magnétique</t>
        </is>
      </c>
      <c r="AE12" s="20" t="inlineStr">
        <is>
          <t>CI vérifié (Jumia, gamme iO référencée). SN vérifié pour la marque Oral-B. BF, CM, BJ non vérifiés.</t>
        </is>
      </c>
      <c r="AF12" s="20" t="inlineStr">
        <is>
          <t>Jumia CI, pharmacies</t>
        </is>
      </c>
      <c r="AG12" s="21" t="inlineStr">
        <is>
          <t>https://oralb.com/en-us/products/io-series-3-rechargeable-electric-toothbrush-white/</t>
        </is>
      </c>
      <c r="AH12" s="21" t="inlineStr">
        <is>
          <t>https://www.jumia.ci/slp/brosse-a-dents-electrique-oral-b-io3</t>
        </is>
      </c>
      <c r="AI12" s="20" t="inlineStr">
        <is>
          <t>Rapprochement sur la technologie oscillo-rotative avec écran et capteur de pression. Capteur de pression tricolore, équivalent direct des modèles SEAGO à écran et capteur.</t>
        </is>
      </c>
      <c r="AJ12" s="22">
        <f>IFERROR(IF(IF('Relevé prix'!$B$1="SN",VLOOKUP($U12,'Relevé prix'!$A$4:$N$60,11,FALSE),VLOOKUP($U12,'Relevé prix'!$A$4:$N$60,7,FALSE))=0,"",IF('Relevé prix'!$B$1="SN",VLOOKUP($U12,'Relevé prix'!$A$4:$N$60,11,FALSE),VLOOKUP($U12,'Relevé prix'!$A$4:$N$60,7,FALSE))),"")</f>
        <v/>
      </c>
      <c r="AK12" s="23">
        <f>IFERROR(IF(IF('Relevé prix'!$B$1="SN",VLOOKUP($U12,'Relevé prix'!$A$4:$N$60,12,FALSE),VLOOKUP($U12,'Relevé prix'!$A$4:$N$60,8,FALSE))=0,"",IF('Relevé prix'!$B$1="SN",VLOOKUP($U12,'Relevé prix'!$A$4:$N$60,12,FALSE),VLOOKUP($U12,'Relevé prix'!$A$4:$N$60,8,FALSE))),"")</f>
        <v/>
      </c>
      <c r="AL12" s="24" t="n"/>
      <c r="AM12" s="25" t="n"/>
      <c r="AN12" s="25" t="n"/>
      <c r="AO12" s="22">
        <f>IF(OR(AL12="",AJ12=""),"",AL12-AJ12)</f>
        <v/>
      </c>
      <c r="AP12" s="26">
        <f>IF(OR(AL12="",AJ12="",AJ12=0),"",(AL12-AJ12)/AJ12)</f>
        <v/>
      </c>
      <c r="AQ12" s="27">
        <f>IF(AP12="","",IF(AP12&lt;-0.05,"Moins cher",IF(AP12&gt;0.05,"Plus cher","Équivalent")))</f>
        <v/>
      </c>
    </row>
    <row r="13">
      <c r="A13" s="28" t="inlineStr">
        <is>
          <t>SG-2901</t>
        </is>
      </c>
      <c r="B13" s="28" t="inlineStr">
        <is>
          <t>New Arrival</t>
        </is>
      </c>
      <c r="C13" s="28" t="inlineStr">
        <is>
          <t>Sonique + tête rotative</t>
        </is>
      </c>
      <c r="D13" s="28" t="inlineStr">
        <is>
          <t>Adulte</t>
        </is>
      </c>
      <c r="E13" s="39" t="inlineStr">
        <is>
          <t>N/D</t>
        </is>
      </c>
      <c r="F13" s="39" t="inlineStr">
        <is>
          <t>N/D</t>
        </is>
      </c>
      <c r="G13" s="30" t="n">
        <v>5</v>
      </c>
      <c r="H13" s="35" t="inlineStr">
        <is>
          <t>N/D</t>
        </is>
      </c>
      <c r="I13" s="30" t="n">
        <v>1500</v>
      </c>
      <c r="J13" s="28" t="inlineStr">
        <is>
          <t>Batterie Li-ion rechargeable</t>
        </is>
      </c>
      <c r="K13" s="28" t="inlineStr">
        <is>
          <t>Inductive (socle)</t>
        </is>
      </c>
      <c r="L13" s="31" t="n">
        <v>10</v>
      </c>
      <c r="M13" s="28" t="inlineStr">
        <is>
          <t>IPX7</t>
        </is>
      </c>
      <c r="N13" s="28" t="inlineStr">
        <is>
          <t>Oui</t>
        </is>
      </c>
      <c r="O13" s="28" t="inlineStr">
        <is>
          <t>Écran LCD</t>
        </is>
      </c>
      <c r="P13" s="28" t="inlineStr">
        <is>
          <t>Oui</t>
        </is>
      </c>
      <c r="Q13" s="31" t="n">
        <v>223</v>
      </c>
      <c r="R13" s="28" t="inlineStr">
        <is>
          <t>30.3*28.4*253 (tête sonique SG-V001) / 30.3*28.4*239 (tête rotative SG-T001) ; socle 58*58*28</t>
        </is>
      </c>
      <c r="S13" s="32" t="inlineStr">
        <is>
          <t>2 technologies en une (balayage sonique + tête rotative), notation LCD et guidage temps réel, minuteur 2 min, rappel de remplacement de tête, réveil automatique, verrouillage voyage, 6 langues</t>
        </is>
      </c>
      <c r="T13" s="33" t="n">
        <v>8</v>
      </c>
      <c r="U13" s="20" t="inlineStr">
        <is>
          <t>IO3</t>
        </is>
      </c>
      <c r="V13" s="20" t="inlineStr">
        <is>
          <t>iO Series 3</t>
        </is>
      </c>
      <c r="W13" s="20" t="inlineStr">
        <is>
          <t>Oral-B</t>
        </is>
      </c>
      <c r="X13" s="20" t="inlineStr">
        <is>
          <t>Oscillo-rotative + micro-vibrations</t>
        </is>
      </c>
      <c r="Y13" s="37" t="inlineStr">
        <is>
          <t>N/D</t>
        </is>
      </c>
      <c r="Z13" s="20" t="inlineStr">
        <is>
          <t>3 modes (Daily Clean, Sensitive, Whitening)</t>
        </is>
      </c>
      <c r="AA13" s="37" t="inlineStr">
        <is>
          <t>N/D</t>
        </is>
      </c>
      <c r="AB13" s="37" t="inlineStr">
        <is>
          <t>N/D</t>
        </is>
      </c>
      <c r="AC13" s="20" t="inlineStr">
        <is>
          <t>Oui (anneau lumineux blanc / vert / rouge)</t>
        </is>
      </c>
      <c r="AD13" s="20" t="inlineStr">
        <is>
          <t>Socle magnétique</t>
        </is>
      </c>
      <c r="AE13" s="20" t="inlineStr">
        <is>
          <t>CI vérifié (Jumia, gamme iO référencée). SN vérifié pour la marque Oral-B. BF, CM, BJ non vérifiés.</t>
        </is>
      </c>
      <c r="AF13" s="20" t="inlineStr">
        <is>
          <t>Jumia CI, pharmacies</t>
        </is>
      </c>
      <c r="AG13" s="21" t="inlineStr">
        <is>
          <t>https://oralb.com/en-us/products/io-series-3-rechargeable-electric-toothbrush-white/</t>
        </is>
      </c>
      <c r="AH13" s="21" t="inlineStr">
        <is>
          <t>https://www.jumia.ci/slp/brosse-a-dents-electrique-oral-b-io3</t>
        </is>
      </c>
      <c r="AI13" s="20" t="inlineStr">
        <is>
          <t>Rapprochement sur la double technologie et la présence d'un écran avec capteur de pression. Capteur de pression tricolore, équivalent direct des modèles SEAGO à écran et capteur.</t>
        </is>
      </c>
      <c r="AJ13" s="22">
        <f>IFERROR(IF(IF('Relevé prix'!$B$1="SN",VLOOKUP($U13,'Relevé prix'!$A$4:$N$60,11,FALSE),VLOOKUP($U13,'Relevé prix'!$A$4:$N$60,7,FALSE))=0,"",IF('Relevé prix'!$B$1="SN",VLOOKUP($U13,'Relevé prix'!$A$4:$N$60,11,FALSE),VLOOKUP($U13,'Relevé prix'!$A$4:$N$60,7,FALSE))),"")</f>
        <v/>
      </c>
      <c r="AK13" s="23">
        <f>IFERROR(IF(IF('Relevé prix'!$B$1="SN",VLOOKUP($U13,'Relevé prix'!$A$4:$N$60,12,FALSE),VLOOKUP($U13,'Relevé prix'!$A$4:$N$60,8,FALSE))=0,"",IF('Relevé prix'!$B$1="SN",VLOOKUP($U13,'Relevé prix'!$A$4:$N$60,12,FALSE),VLOOKUP($U13,'Relevé prix'!$A$4:$N$60,8,FALSE))),"")</f>
        <v/>
      </c>
      <c r="AL13" s="24" t="n"/>
      <c r="AM13" s="25" t="n"/>
      <c r="AN13" s="25" t="n"/>
      <c r="AO13" s="22">
        <f>IF(OR(AL13="",AJ13=""),"",AL13-AJ13)</f>
        <v/>
      </c>
      <c r="AP13" s="26">
        <f>IF(OR(AL13="",AJ13="",AJ13=0),"",(AL13-AJ13)/AJ13)</f>
        <v/>
      </c>
      <c r="AQ13" s="27">
        <f>IF(AP13="","",IF(AP13&lt;-0.05,"Moins cher",IF(AP13&gt;0.05,"Plus cher","Équivalent")))</f>
        <v/>
      </c>
    </row>
    <row r="14">
      <c r="A14" s="13" t="inlineStr">
        <is>
          <t>SG-2773</t>
        </is>
      </c>
      <c r="B14" s="13" t="inlineStr">
        <is>
          <t>Advanced Clean</t>
        </is>
      </c>
      <c r="C14" s="13" t="inlineStr">
        <is>
          <t>Sonique</t>
        </is>
      </c>
      <c r="D14" s="13" t="inlineStr">
        <is>
          <t>Adulte</t>
        </is>
      </c>
      <c r="E14" s="14" t="n">
        <v>32000</v>
      </c>
      <c r="F14" s="14" t="n">
        <v>32000</v>
      </c>
      <c r="G14" s="15" t="n">
        <v>9</v>
      </c>
      <c r="H14" s="15" t="n">
        <v>21</v>
      </c>
      <c r="I14" s="15" t="n">
        <v>1500</v>
      </c>
      <c r="J14" s="13" t="inlineStr">
        <is>
          <t>Batterie Li-ion rechargeable</t>
        </is>
      </c>
      <c r="K14" s="13" t="inlineStr">
        <is>
          <t>Type-C</t>
        </is>
      </c>
      <c r="L14" s="16" t="inlineStr">
        <is>
          <t>N/D</t>
        </is>
      </c>
      <c r="M14" s="13" t="inlineStr">
        <is>
          <t>IPX7</t>
        </is>
      </c>
      <c r="N14" s="13" t="inlineStr">
        <is>
          <t>Oui</t>
        </is>
      </c>
      <c r="O14" s="13" t="inlineStr">
        <is>
          <t>Écran LCD</t>
        </is>
      </c>
      <c r="P14" s="13" t="inlineStr">
        <is>
          <t>Oui</t>
        </is>
      </c>
      <c r="Q14" s="17" t="n">
        <v>135</v>
      </c>
      <c r="R14" s="13" t="inlineStr">
        <is>
          <t>29.9*27.4*253</t>
        </is>
      </c>
      <c r="S14" s="18" t="inlineStr">
        <is>
          <t>Mode balayage, écran LCD de résultats de brossage, montée progressive 3 s, résistant aux projections, bouton tactile sans joint, moteur magnétique, mémoire intelligente</t>
        </is>
      </c>
      <c r="T14" s="19" t="n">
        <v>9</v>
      </c>
      <c r="U14" s="20" t="inlineStr">
        <is>
          <t>OCLEAN_XPRO</t>
        </is>
      </c>
      <c r="V14" s="20" t="inlineStr">
        <is>
          <t>X Pro Elite</t>
        </is>
      </c>
      <c r="W14" s="20" t="inlineStr">
        <is>
          <t>Oclean</t>
        </is>
      </c>
      <c r="X14" s="20" t="inlineStr">
        <is>
          <t>Sonique à lévitation magnétique</t>
        </is>
      </c>
      <c r="Y14" s="20" t="inlineStr">
        <is>
          <t>42 000 mouvements/min</t>
        </is>
      </c>
      <c r="Z14" s="20" t="inlineStr">
        <is>
          <t>4 modes x 32 intensités</t>
        </is>
      </c>
      <c r="AA14" s="20" t="n">
        <v>35</v>
      </c>
      <c r="AB14" s="37" t="inlineStr">
        <is>
          <t>N/D</t>
        </is>
      </c>
      <c r="AC14" s="37" t="inlineStr">
        <is>
          <t>N/D</t>
        </is>
      </c>
      <c r="AD14" s="20" t="inlineStr">
        <is>
          <t>Inductive, batterie 800 mAh</t>
        </is>
      </c>
      <c r="AE14" s="20" t="inlineStr">
        <is>
          <t>Non vérifié sur CI, SN, BF, CM, BJ.</t>
        </is>
      </c>
      <c r="AF14" s="20" t="inlineStr">
        <is>
          <t>Marketplaces, e-commerce spécialisé</t>
        </is>
      </c>
      <c r="AG14" s="21" t="inlineStr">
        <is>
          <t>https://www.electricteeth.com/oclean-x-pro-elite-review/</t>
        </is>
      </c>
      <c r="AH14" s="21" t="inlineStr">
        <is>
          <t>https://www.techradar.com/reviews/oclean-x-pro-elite</t>
        </is>
      </c>
      <c r="AI14" s="20" t="inlineStr">
        <is>
          <t>Rapprochement sur la présence d'un écran de pilotage et le haut niveau de modes. Écran tactile couleur et pilotage par application, équivalent des SEAGO à écran LCD.</t>
        </is>
      </c>
      <c r="AJ14" s="22">
        <f>IFERROR(IF(IF('Relevé prix'!$B$1="SN",VLOOKUP($U14,'Relevé prix'!$A$4:$N$60,11,FALSE),VLOOKUP($U14,'Relevé prix'!$A$4:$N$60,7,FALSE))=0,"",IF('Relevé prix'!$B$1="SN",VLOOKUP($U14,'Relevé prix'!$A$4:$N$60,11,FALSE),VLOOKUP($U14,'Relevé prix'!$A$4:$N$60,7,FALSE))),"")</f>
        <v/>
      </c>
      <c r="AK14" s="23">
        <f>IFERROR(IF(IF('Relevé prix'!$B$1="SN",VLOOKUP($U14,'Relevé prix'!$A$4:$N$60,12,FALSE),VLOOKUP($U14,'Relevé prix'!$A$4:$N$60,8,FALSE))=0,"",IF('Relevé prix'!$B$1="SN",VLOOKUP($U14,'Relevé prix'!$A$4:$N$60,12,FALSE),VLOOKUP($U14,'Relevé prix'!$A$4:$N$60,8,FALSE))),"")</f>
        <v/>
      </c>
      <c r="AL14" s="24" t="n"/>
      <c r="AM14" s="25" t="n"/>
      <c r="AN14" s="25" t="n"/>
      <c r="AO14" s="22">
        <f>IF(OR(AL14="",AJ14=""),"",AL14-AJ14)</f>
        <v/>
      </c>
      <c r="AP14" s="26">
        <f>IF(OR(AL14="",AJ14="",AJ14=0),"",(AL14-AJ14)/AJ14)</f>
        <v/>
      </c>
      <c r="AQ14" s="27">
        <f>IF(AP14="","",IF(AP14&lt;-0.05,"Moins cher",IF(AP14&gt;0.05,"Plus cher","Équivalent")))</f>
        <v/>
      </c>
    </row>
    <row r="15">
      <c r="A15" s="28" t="inlineStr">
        <is>
          <t>SG-2768</t>
        </is>
      </c>
      <c r="B15" s="28" t="inlineStr">
        <is>
          <t>Advanced Clean</t>
        </is>
      </c>
      <c r="C15" s="28" t="inlineStr">
        <is>
          <t>Sonique</t>
        </is>
      </c>
      <c r="D15" s="28" t="inlineStr">
        <is>
          <t>Adulte</t>
        </is>
      </c>
      <c r="E15" s="29" t="n">
        <v>32000</v>
      </c>
      <c r="F15" s="29" t="n">
        <v>32000</v>
      </c>
      <c r="G15" s="30" t="n">
        <v>6</v>
      </c>
      <c r="H15" s="30" t="n">
        <v>21</v>
      </c>
      <c r="I15" s="30" t="n">
        <v>700</v>
      </c>
      <c r="J15" s="28" t="inlineStr">
        <is>
          <t>Batterie Li-ion rechargeable</t>
        </is>
      </c>
      <c r="K15" s="28" t="inlineStr">
        <is>
          <t>Magnétique</t>
        </is>
      </c>
      <c r="L15" s="34" t="inlineStr">
        <is>
          <t>N/D</t>
        </is>
      </c>
      <c r="M15" s="28" t="inlineStr">
        <is>
          <t>IPX7</t>
        </is>
      </c>
      <c r="N15" s="28" t="inlineStr">
        <is>
          <t>Oui</t>
        </is>
      </c>
      <c r="O15" s="28" t="inlineStr">
        <is>
          <t>Écran LCD</t>
        </is>
      </c>
      <c r="P15" s="28" t="inlineStr">
        <is>
          <t>Oui</t>
        </is>
      </c>
      <c r="Q15" s="31" t="n">
        <v>107</v>
      </c>
      <c r="R15" s="28" t="inlineStr">
        <is>
          <t>27.5*26.6*254</t>
        </is>
      </c>
      <c r="S15" s="32" t="inlineStr">
        <is>
          <t>Écran LCD de résultats de brossage, montée progressive 3 s, minuteur 2 min avec rappel toutes les 30 s, mémoire intelligente</t>
        </is>
      </c>
      <c r="T15" s="33" t="n">
        <v>9</v>
      </c>
      <c r="U15" s="20" t="inlineStr">
        <is>
          <t>OCLEAN_XPRO</t>
        </is>
      </c>
      <c r="V15" s="20" t="inlineStr">
        <is>
          <t>X Pro Elite</t>
        </is>
      </c>
      <c r="W15" s="20" t="inlineStr">
        <is>
          <t>Oclean</t>
        </is>
      </c>
      <c r="X15" s="20" t="inlineStr">
        <is>
          <t>Sonique à lévitation magnétique</t>
        </is>
      </c>
      <c r="Y15" s="20" t="inlineStr">
        <is>
          <t>42 000 mouvements/min</t>
        </is>
      </c>
      <c r="Z15" s="20" t="inlineStr">
        <is>
          <t>4 modes x 32 intensités</t>
        </is>
      </c>
      <c r="AA15" s="20" t="n">
        <v>35</v>
      </c>
      <c r="AB15" s="37" t="inlineStr">
        <is>
          <t>N/D</t>
        </is>
      </c>
      <c r="AC15" s="37" t="inlineStr">
        <is>
          <t>N/D</t>
        </is>
      </c>
      <c r="AD15" s="20" t="inlineStr">
        <is>
          <t>Inductive, batterie 800 mAh</t>
        </is>
      </c>
      <c r="AE15" s="20" t="inlineStr">
        <is>
          <t>Non vérifié sur CI, SN, BF, CM, BJ.</t>
        </is>
      </c>
      <c r="AF15" s="20" t="inlineStr">
        <is>
          <t>Marketplaces, e-commerce spécialisé</t>
        </is>
      </c>
      <c r="AG15" s="21" t="inlineStr">
        <is>
          <t>https://www.electricteeth.com/oclean-x-pro-elite-review/</t>
        </is>
      </c>
      <c r="AH15" s="21" t="inlineStr">
        <is>
          <t>https://www.techradar.com/reviews/oclean-x-pro-elite</t>
        </is>
      </c>
      <c r="AI15" s="20" t="inlineStr">
        <is>
          <t>Rapprochement sur la présence d'un écran de pilotage et le haut niveau de modes. Écran tactile couleur et pilotage par application, équivalent des SEAGO à écran LCD.</t>
        </is>
      </c>
      <c r="AJ15" s="22">
        <f>IFERROR(IF(IF('Relevé prix'!$B$1="SN",VLOOKUP($U15,'Relevé prix'!$A$4:$N$60,11,FALSE),VLOOKUP($U15,'Relevé prix'!$A$4:$N$60,7,FALSE))=0,"",IF('Relevé prix'!$B$1="SN",VLOOKUP($U15,'Relevé prix'!$A$4:$N$60,11,FALSE),VLOOKUP($U15,'Relevé prix'!$A$4:$N$60,7,FALSE))),"")</f>
        <v/>
      </c>
      <c r="AK15" s="23">
        <f>IFERROR(IF(IF('Relevé prix'!$B$1="SN",VLOOKUP($U15,'Relevé prix'!$A$4:$N$60,12,FALSE),VLOOKUP($U15,'Relevé prix'!$A$4:$N$60,8,FALSE))=0,"",IF('Relevé prix'!$B$1="SN",VLOOKUP($U15,'Relevé prix'!$A$4:$N$60,12,FALSE),VLOOKUP($U15,'Relevé prix'!$A$4:$N$60,8,FALSE))),"")</f>
        <v/>
      </c>
      <c r="AL15" s="24" t="n"/>
      <c r="AM15" s="25" t="n"/>
      <c r="AN15" s="25" t="n"/>
      <c r="AO15" s="22">
        <f>IF(OR(AL15="",AJ15=""),"",AL15-AJ15)</f>
        <v/>
      </c>
      <c r="AP15" s="26">
        <f>IF(OR(AL15="",AJ15="",AJ15=0),"",(AL15-AJ15)/AJ15)</f>
        <v/>
      </c>
      <c r="AQ15" s="27">
        <f>IF(AP15="","",IF(AP15&lt;-0.05,"Moins cher",IF(AP15&gt;0.05,"Plus cher","Équivalent")))</f>
        <v/>
      </c>
    </row>
    <row r="16">
      <c r="A16" s="13" t="inlineStr">
        <is>
          <t>SG-2771</t>
        </is>
      </c>
      <c r="B16" s="13" t="inlineStr">
        <is>
          <t>Advanced Clean</t>
        </is>
      </c>
      <c r="C16" s="13" t="inlineStr">
        <is>
          <t>Sonique</t>
        </is>
      </c>
      <c r="D16" s="13" t="inlineStr">
        <is>
          <t>Adulte</t>
        </is>
      </c>
      <c r="E16" s="14" t="n">
        <v>32000</v>
      </c>
      <c r="F16" s="14" t="n">
        <v>40000</v>
      </c>
      <c r="G16" s="15" t="n">
        <v>6</v>
      </c>
      <c r="H16" s="15" t="n">
        <v>21</v>
      </c>
      <c r="I16" s="15" t="n">
        <v>700</v>
      </c>
      <c r="J16" s="13" t="inlineStr">
        <is>
          <t>Batterie Li-ion rechargeable</t>
        </is>
      </c>
      <c r="K16" s="13" t="inlineStr">
        <is>
          <t>Inductive (socle)</t>
        </is>
      </c>
      <c r="L16" s="16" t="inlineStr">
        <is>
          <t>N/D</t>
        </is>
      </c>
      <c r="M16" s="13" t="inlineStr">
        <is>
          <t>IPX7</t>
        </is>
      </c>
      <c r="N16" s="13" t="inlineStr">
        <is>
          <t>Oui</t>
        </is>
      </c>
      <c r="O16" s="13" t="inlineStr">
        <is>
          <t>Écran (6 langues)</t>
        </is>
      </c>
      <c r="P16" s="13" t="inlineStr">
        <is>
          <t>Oui</t>
        </is>
      </c>
      <c r="Q16" s="17" t="n">
        <v>222</v>
      </c>
      <c r="R16" s="13" t="inlineStr">
        <is>
          <t>27.1*28.1*255 ; chargeur 400 : 62*62*41</t>
        </is>
      </c>
      <c r="S16" s="18" t="inlineStr">
        <is>
          <t>Gyroscope 6 axes et notation sur 16 zones, rappel de remplacement de tête, indicateur de charge, moteur magnétique, système super silencieux</t>
        </is>
      </c>
      <c r="T16" s="19" t="n">
        <v>10</v>
      </c>
      <c r="U16" s="20" t="inlineStr">
        <is>
          <t>OCLEAN_XPRO</t>
        </is>
      </c>
      <c r="V16" s="20" t="inlineStr">
        <is>
          <t>X Pro Elite</t>
        </is>
      </c>
      <c r="W16" s="20" t="inlineStr">
        <is>
          <t>Oclean</t>
        </is>
      </c>
      <c r="X16" s="20" t="inlineStr">
        <is>
          <t>Sonique à lévitation magnétique</t>
        </is>
      </c>
      <c r="Y16" s="20" t="inlineStr">
        <is>
          <t>42 000 mouvements/min</t>
        </is>
      </c>
      <c r="Z16" s="20" t="inlineStr">
        <is>
          <t>4 modes x 32 intensités</t>
        </is>
      </c>
      <c r="AA16" s="20" t="n">
        <v>35</v>
      </c>
      <c r="AB16" s="37" t="inlineStr">
        <is>
          <t>N/D</t>
        </is>
      </c>
      <c r="AC16" s="37" t="inlineStr">
        <is>
          <t>N/D</t>
        </is>
      </c>
      <c r="AD16" s="20" t="inlineStr">
        <is>
          <t>Inductive, batterie 800 mAh</t>
        </is>
      </c>
      <c r="AE16" s="20" t="inlineStr">
        <is>
          <t>Non vérifié sur CI, SN, BF, CM, BJ.</t>
        </is>
      </c>
      <c r="AF16" s="20" t="inlineStr">
        <is>
          <t>Marketplaces, e-commerce spécialisé</t>
        </is>
      </c>
      <c r="AG16" s="21" t="inlineStr">
        <is>
          <t>https://www.electricteeth.com/oclean-x-pro-elite-review/</t>
        </is>
      </c>
      <c r="AH16" s="21" t="inlineStr">
        <is>
          <t>https://www.techradar.com/reviews/oclean-x-pro-elite</t>
        </is>
      </c>
      <c r="AI16" s="20" t="inlineStr">
        <is>
          <t>Rapprochement sur la présence d'un écran de pilotage et le haut niveau de modes. Écran tactile couleur et pilotage par application, équivalent des SEAGO à écran LCD.</t>
        </is>
      </c>
      <c r="AJ16" s="22">
        <f>IFERROR(IF(IF('Relevé prix'!$B$1="SN",VLOOKUP($U16,'Relevé prix'!$A$4:$N$60,11,FALSE),VLOOKUP($U16,'Relevé prix'!$A$4:$N$60,7,FALSE))=0,"",IF('Relevé prix'!$B$1="SN",VLOOKUP($U16,'Relevé prix'!$A$4:$N$60,11,FALSE),VLOOKUP($U16,'Relevé prix'!$A$4:$N$60,7,FALSE))),"")</f>
        <v/>
      </c>
      <c r="AK16" s="23">
        <f>IFERROR(IF(IF('Relevé prix'!$B$1="SN",VLOOKUP($U16,'Relevé prix'!$A$4:$N$60,12,FALSE),VLOOKUP($U16,'Relevé prix'!$A$4:$N$60,8,FALSE))=0,"",IF('Relevé prix'!$B$1="SN",VLOOKUP($U16,'Relevé prix'!$A$4:$N$60,12,FALSE),VLOOKUP($U16,'Relevé prix'!$A$4:$N$60,8,FALSE))),"")</f>
        <v/>
      </c>
      <c r="AL16" s="24" t="n"/>
      <c r="AM16" s="25" t="n"/>
      <c r="AN16" s="25" t="n"/>
      <c r="AO16" s="22">
        <f>IF(OR(AL16="",AJ16=""),"",AL16-AJ16)</f>
        <v/>
      </c>
      <c r="AP16" s="26">
        <f>IF(OR(AL16="",AJ16="",AJ16=0),"",(AL16-AJ16)/AJ16)</f>
        <v/>
      </c>
      <c r="AQ16" s="27">
        <f>IF(AP16="","",IF(AP16&lt;-0.05,"Moins cher",IF(AP16&gt;0.05,"Plus cher","Équivalent")))</f>
        <v/>
      </c>
    </row>
    <row r="17">
      <c r="A17" s="28" t="inlineStr">
        <is>
          <t>SG-2778</t>
        </is>
      </c>
      <c r="B17" s="28" t="inlineStr">
        <is>
          <t>Advanced Clean</t>
        </is>
      </c>
      <c r="C17" s="28" t="inlineStr">
        <is>
          <t>Sonique</t>
        </is>
      </c>
      <c r="D17" s="28" t="inlineStr">
        <is>
          <t>Adulte</t>
        </is>
      </c>
      <c r="E17" s="29" t="n">
        <v>32000</v>
      </c>
      <c r="F17" s="29" t="n">
        <v>32000</v>
      </c>
      <c r="G17" s="30" t="n">
        <v>9</v>
      </c>
      <c r="H17" s="30" t="n">
        <v>21</v>
      </c>
      <c r="I17" s="30" t="n">
        <v>2000</v>
      </c>
      <c r="J17" s="28" t="inlineStr">
        <is>
          <t>Batterie Li-ion rechargeable</t>
        </is>
      </c>
      <c r="K17" s="28" t="inlineStr">
        <is>
          <t>Type-C</t>
        </is>
      </c>
      <c r="L17" s="34" t="inlineStr">
        <is>
          <t>N/D</t>
        </is>
      </c>
      <c r="M17" s="28" t="inlineStr">
        <is>
          <t>IPX7</t>
        </is>
      </c>
      <c r="N17" s="28" t="inlineStr">
        <is>
          <t>Oui</t>
        </is>
      </c>
      <c r="O17" s="28" t="inlineStr">
        <is>
          <t>Écran LCD</t>
        </is>
      </c>
      <c r="P17" s="28" t="inlineStr">
        <is>
          <t>Oui</t>
        </is>
      </c>
      <c r="Q17" s="31" t="n">
        <v>107</v>
      </c>
      <c r="R17" s="28" t="inlineStr">
        <is>
          <t>28*30*253</t>
        </is>
      </c>
      <c r="S17" s="32" t="inlineStr">
        <is>
          <t>Technologie de balayage 3 niveaux d'intensité, oscillation grand angle 60 ± 10°, montée progressive 3 s, 6 langues, mémoire intelligente</t>
        </is>
      </c>
      <c r="T17" s="33" t="n">
        <v>10</v>
      </c>
      <c r="U17" s="20" t="inlineStr">
        <is>
          <t>OCLEAN_XPRO</t>
        </is>
      </c>
      <c r="V17" s="20" t="inlineStr">
        <is>
          <t>X Pro Elite</t>
        </is>
      </c>
      <c r="W17" s="20" t="inlineStr">
        <is>
          <t>Oclean</t>
        </is>
      </c>
      <c r="X17" s="20" t="inlineStr">
        <is>
          <t>Sonique à lévitation magnétique</t>
        </is>
      </c>
      <c r="Y17" s="20" t="inlineStr">
        <is>
          <t>42 000 mouvements/min</t>
        </is>
      </c>
      <c r="Z17" s="20" t="inlineStr">
        <is>
          <t>4 modes x 32 intensités</t>
        </is>
      </c>
      <c r="AA17" s="20" t="n">
        <v>35</v>
      </c>
      <c r="AB17" s="37" t="inlineStr">
        <is>
          <t>N/D</t>
        </is>
      </c>
      <c r="AC17" s="37" t="inlineStr">
        <is>
          <t>N/D</t>
        </is>
      </c>
      <c r="AD17" s="20" t="inlineStr">
        <is>
          <t>Inductive, batterie 800 mAh</t>
        </is>
      </c>
      <c r="AE17" s="20" t="inlineStr">
        <is>
          <t>Non vérifié sur CI, SN, BF, CM, BJ.</t>
        </is>
      </c>
      <c r="AF17" s="20" t="inlineStr">
        <is>
          <t>Marketplaces, e-commerce spécialisé</t>
        </is>
      </c>
      <c r="AG17" s="21" t="inlineStr">
        <is>
          <t>https://www.electricteeth.com/oclean-x-pro-elite-review/</t>
        </is>
      </c>
      <c r="AH17" s="21" t="inlineStr">
        <is>
          <t>https://www.techradar.com/reviews/oclean-x-pro-elite</t>
        </is>
      </c>
      <c r="AI17" s="20" t="inlineStr">
        <is>
          <t>Rapprochement sur la présence d'un écran de pilotage et le haut niveau de modes. Écran tactile couleur et pilotage par application, équivalent des SEAGO à écran LCD.</t>
        </is>
      </c>
      <c r="AJ17" s="22">
        <f>IFERROR(IF(IF('Relevé prix'!$B$1="SN",VLOOKUP($U17,'Relevé prix'!$A$4:$N$60,11,FALSE),VLOOKUP($U17,'Relevé prix'!$A$4:$N$60,7,FALSE))=0,"",IF('Relevé prix'!$B$1="SN",VLOOKUP($U17,'Relevé prix'!$A$4:$N$60,11,FALSE),VLOOKUP($U17,'Relevé prix'!$A$4:$N$60,7,FALSE))),"")</f>
        <v/>
      </c>
      <c r="AK17" s="23">
        <f>IFERROR(IF(IF('Relevé prix'!$B$1="SN",VLOOKUP($U17,'Relevé prix'!$A$4:$N$60,12,FALSE),VLOOKUP($U17,'Relevé prix'!$A$4:$N$60,8,FALSE))=0,"",IF('Relevé prix'!$B$1="SN",VLOOKUP($U17,'Relevé prix'!$A$4:$N$60,12,FALSE),VLOOKUP($U17,'Relevé prix'!$A$4:$N$60,8,FALSE))),"")</f>
        <v/>
      </c>
      <c r="AL17" s="24" t="n"/>
      <c r="AM17" s="25" t="n"/>
      <c r="AN17" s="25" t="n"/>
      <c r="AO17" s="22">
        <f>IF(OR(AL17="",AJ17=""),"",AL17-AJ17)</f>
        <v/>
      </c>
      <c r="AP17" s="26">
        <f>IF(OR(AL17="",AJ17="",AJ17=0),"",(AL17-AJ17)/AJ17)</f>
        <v/>
      </c>
      <c r="AQ17" s="27">
        <f>IF(AP17="","",IF(AP17&lt;-0.05,"Moins cher",IF(AP17&gt;0.05,"Plus cher","Équivalent")))</f>
        <v/>
      </c>
    </row>
    <row r="18">
      <c r="A18" s="13" t="inlineStr">
        <is>
          <t>SG-2767</t>
        </is>
      </c>
      <c r="B18" s="13" t="inlineStr">
        <is>
          <t>Advanced Clean</t>
        </is>
      </c>
      <c r="C18" s="13" t="inlineStr">
        <is>
          <t>Sonique</t>
        </is>
      </c>
      <c r="D18" s="13" t="inlineStr">
        <is>
          <t>Adulte</t>
        </is>
      </c>
      <c r="E18" s="14" t="n">
        <v>32000</v>
      </c>
      <c r="F18" s="14" t="n">
        <v>40000</v>
      </c>
      <c r="G18" s="15" t="n">
        <v>5</v>
      </c>
      <c r="H18" s="15" t="n">
        <v>60</v>
      </c>
      <c r="I18" s="15" t="n">
        <v>1600</v>
      </c>
      <c r="J18" s="13" t="inlineStr">
        <is>
          <t>Batterie Li-ion rechargeable</t>
        </is>
      </c>
      <c r="K18" s="13" t="inlineStr">
        <is>
          <t>USB</t>
        </is>
      </c>
      <c r="L18" s="16" t="inlineStr">
        <is>
          <t>N/D</t>
        </is>
      </c>
      <c r="M18" s="13" t="inlineStr">
        <is>
          <t>IPX7</t>
        </is>
      </c>
      <c r="N18" s="13" t="inlineStr">
        <is>
          <t>Oui</t>
        </is>
      </c>
      <c r="O18" s="13" t="inlineStr">
        <is>
          <t>Écran digital</t>
        </is>
      </c>
      <c r="P18" s="13" t="inlineStr">
        <is>
          <t>Oui</t>
        </is>
      </c>
      <c r="Q18" s="17" t="n">
        <v>135</v>
      </c>
      <c r="R18" s="13" t="inlineStr">
        <is>
          <t>30.0*29.3*252.3</t>
        </is>
      </c>
      <c r="S18" s="18" t="inlineStr">
        <is>
          <t>Panneau digital de changement de mode, réveil à la prise en main, montée progressive 3 s, protection surcharge et décharge profonde, indicateur batterie</t>
        </is>
      </c>
      <c r="T18" s="19" t="n">
        <v>11</v>
      </c>
      <c r="U18" s="20" t="inlineStr">
        <is>
          <t>OCLEAN_XPRO</t>
        </is>
      </c>
      <c r="V18" s="20" t="inlineStr">
        <is>
          <t>X Pro Elite</t>
        </is>
      </c>
      <c r="W18" s="20" t="inlineStr">
        <is>
          <t>Oclean</t>
        </is>
      </c>
      <c r="X18" s="20" t="inlineStr">
        <is>
          <t>Sonique à lévitation magnétique</t>
        </is>
      </c>
      <c r="Y18" s="20" t="inlineStr">
        <is>
          <t>42 000 mouvements/min</t>
        </is>
      </c>
      <c r="Z18" s="20" t="inlineStr">
        <is>
          <t>4 modes x 32 intensités</t>
        </is>
      </c>
      <c r="AA18" s="20" t="n">
        <v>35</v>
      </c>
      <c r="AB18" s="37" t="inlineStr">
        <is>
          <t>N/D</t>
        </is>
      </c>
      <c r="AC18" s="37" t="inlineStr">
        <is>
          <t>N/D</t>
        </is>
      </c>
      <c r="AD18" s="20" t="inlineStr">
        <is>
          <t>Inductive, batterie 800 mAh</t>
        </is>
      </c>
      <c r="AE18" s="20" t="inlineStr">
        <is>
          <t>Non vérifié sur CI, SN, BF, CM, BJ.</t>
        </is>
      </c>
      <c r="AF18" s="20" t="inlineStr">
        <is>
          <t>Marketplaces, e-commerce spécialisé</t>
        </is>
      </c>
      <c r="AG18" s="21" t="inlineStr">
        <is>
          <t>https://www.electricteeth.com/oclean-x-pro-elite-review/</t>
        </is>
      </c>
      <c r="AH18" s="21" t="inlineStr">
        <is>
          <t>https://www.techradar.com/reviews/oclean-x-pro-elite</t>
        </is>
      </c>
      <c r="AI18" s="20" t="inlineStr">
        <is>
          <t>Rapprochement sur la présence d'un écran de pilotage et le haut niveau de modes. Écran tactile couleur et pilotage par application, équivalent des SEAGO à écran LCD.</t>
        </is>
      </c>
      <c r="AJ18" s="22">
        <f>IFERROR(IF(IF('Relevé prix'!$B$1="SN",VLOOKUP($U18,'Relevé prix'!$A$4:$N$60,11,FALSE),VLOOKUP($U18,'Relevé prix'!$A$4:$N$60,7,FALSE))=0,"",IF('Relevé prix'!$B$1="SN",VLOOKUP($U18,'Relevé prix'!$A$4:$N$60,11,FALSE),VLOOKUP($U18,'Relevé prix'!$A$4:$N$60,7,FALSE))),"")</f>
        <v/>
      </c>
      <c r="AK18" s="23">
        <f>IFERROR(IF(IF('Relevé prix'!$B$1="SN",VLOOKUP($U18,'Relevé prix'!$A$4:$N$60,12,FALSE),VLOOKUP($U18,'Relevé prix'!$A$4:$N$60,8,FALSE))=0,"",IF('Relevé prix'!$B$1="SN",VLOOKUP($U18,'Relevé prix'!$A$4:$N$60,12,FALSE),VLOOKUP($U18,'Relevé prix'!$A$4:$N$60,8,FALSE))),"")</f>
        <v/>
      </c>
      <c r="AL18" s="24" t="n"/>
      <c r="AM18" s="25" t="n"/>
      <c r="AN18" s="25" t="n"/>
      <c r="AO18" s="22">
        <f>IF(OR(AL18="",AJ18=""),"",AL18-AJ18)</f>
        <v/>
      </c>
      <c r="AP18" s="26">
        <f>IF(OR(AL18="",AJ18="",AJ18=0),"",(AL18-AJ18)/AJ18)</f>
        <v/>
      </c>
      <c r="AQ18" s="27">
        <f>IF(AP18="","",IF(AP18&lt;-0.05,"Moins cher",IF(AP18&gt;0.05,"Plus cher","Équivalent")))</f>
        <v/>
      </c>
    </row>
    <row r="19">
      <c r="A19" s="28" t="inlineStr">
        <is>
          <t>SG-553</t>
        </is>
      </c>
      <c r="B19" s="28" t="inlineStr">
        <is>
          <t>Advanced Clean</t>
        </is>
      </c>
      <c r="C19" s="28" t="inlineStr">
        <is>
          <t>Sonique</t>
        </is>
      </c>
      <c r="D19" s="28" t="inlineStr">
        <is>
          <t>Adulte</t>
        </is>
      </c>
      <c r="E19" s="29" t="n">
        <v>32000</v>
      </c>
      <c r="F19" s="29" t="n">
        <v>40000</v>
      </c>
      <c r="G19" s="30" t="n">
        <v>5</v>
      </c>
      <c r="H19" s="30" t="n">
        <v>21</v>
      </c>
      <c r="I19" s="30" t="n">
        <v>700</v>
      </c>
      <c r="J19" s="28" t="inlineStr">
        <is>
          <t>Batterie Li-ion rechargeable</t>
        </is>
      </c>
      <c r="K19" s="28" t="inlineStr">
        <is>
          <t>Inductive (socle)</t>
        </is>
      </c>
      <c r="L19" s="34" t="inlineStr">
        <is>
          <t>N/D</t>
        </is>
      </c>
      <c r="M19" s="28" t="inlineStr">
        <is>
          <t>IPX7</t>
        </is>
      </c>
      <c r="N19" s="28" t="inlineStr">
        <is>
          <t>Oui</t>
        </is>
      </c>
      <c r="O19" s="28" t="inlineStr">
        <is>
          <t>Aucun</t>
        </is>
      </c>
      <c r="P19" s="28" t="inlineStr">
        <is>
          <t>Oui</t>
        </is>
      </c>
      <c r="Q19" s="31" t="n">
        <v>126.6</v>
      </c>
      <c r="R19" s="28" t="inlineStr">
        <is>
          <t>29.4*27.6*250 ; chargeur 4019 : 66.8*66.8*32.6</t>
        </is>
      </c>
      <c r="S19" s="32" t="inlineStr">
        <is>
          <t>Moteur à lévitation magnétique, amplitude 6 mm, bouton tactile sans joint, implantation sans métal, mémoire intelligente</t>
        </is>
      </c>
      <c r="T19" s="33" t="n">
        <v>11</v>
      </c>
      <c r="U19" s="20" t="inlineStr">
        <is>
          <t>SONICARE_4100</t>
        </is>
      </c>
      <c r="V19" s="20" t="inlineStr">
        <is>
          <t>Sonicare ProtectiveClean 4100 (HX6817)</t>
        </is>
      </c>
      <c r="W19" s="20" t="inlineStr">
        <is>
          <t>Philips</t>
        </is>
      </c>
      <c r="X19" s="20" t="inlineStr">
        <is>
          <t>Sonique</t>
        </is>
      </c>
      <c r="Y19" s="20" t="inlineStr">
        <is>
          <t>31 000 strokes/min (62 000 mouvements/min)</t>
        </is>
      </c>
      <c r="Z19" s="20" t="inlineStr">
        <is>
          <t>1 mode Clean (2 intensités selon version)</t>
        </is>
      </c>
      <c r="AA19" s="20" t="n">
        <v>14</v>
      </c>
      <c r="AB19" s="20" t="inlineStr">
        <is>
          <t>IPX7</t>
        </is>
      </c>
      <c r="AC19" s="20" t="inlineStr">
        <is>
          <t>Oui (alerte sonore)</t>
        </is>
      </c>
      <c r="AD19" s="20" t="inlineStr">
        <is>
          <t>Socle inductif</t>
        </is>
      </c>
      <c r="AE19" s="20" t="inlineStr">
        <is>
          <t>Non vérifié sur CI, SN, BF, CM, BJ. Présence confirmée aux EAU (Noon).</t>
        </is>
      </c>
      <c r="AF19" s="20" t="inlineStr">
        <is>
          <t>Noon UAE, pharmacies et GMS</t>
        </is>
      </c>
      <c r="AG19" s="21" t="inlineStr">
        <is>
          <t>https://www.usa.philips.com/c-p/HX6817_01/sonicare-protectiveclean-4100-sonic-electric-toothbrush</t>
        </is>
      </c>
      <c r="AH19" s="21" t="inlineStr">
        <is>
          <t>https://www.noon.com/uae-en/beauty/personal-care-16343/oral-hygiene/power-toothbrushes/philips_sonicare/</t>
        </is>
      </c>
      <c r="AI19" s="20" t="inlineStr">
        <is>
          <t>Rapprochement sur la charge par socle inductif et le positionnement premium du segment sonique. Technologie BrushSync (rappel de remplacement de tête). Référence premium du segment sonique.</t>
        </is>
      </c>
      <c r="AJ19" s="22">
        <f>IFERROR(IF(IF('Relevé prix'!$B$1="SN",VLOOKUP($U19,'Relevé prix'!$A$4:$N$60,11,FALSE),VLOOKUP($U19,'Relevé prix'!$A$4:$N$60,7,FALSE))=0,"",IF('Relevé prix'!$B$1="SN",VLOOKUP($U19,'Relevé prix'!$A$4:$N$60,11,FALSE),VLOOKUP($U19,'Relevé prix'!$A$4:$N$60,7,FALSE))),"")</f>
        <v/>
      </c>
      <c r="AK19" s="23">
        <f>IFERROR(IF(IF('Relevé prix'!$B$1="SN",VLOOKUP($U19,'Relevé prix'!$A$4:$N$60,12,FALSE),VLOOKUP($U19,'Relevé prix'!$A$4:$N$60,8,FALSE))=0,"",IF('Relevé prix'!$B$1="SN",VLOOKUP($U19,'Relevé prix'!$A$4:$N$60,12,FALSE),VLOOKUP($U19,'Relevé prix'!$A$4:$N$60,8,FALSE))),"")</f>
        <v/>
      </c>
      <c r="AL19" s="24" t="n"/>
      <c r="AM19" s="25" t="n"/>
      <c r="AN19" s="25" t="n"/>
      <c r="AO19" s="22">
        <f>IF(OR(AL19="",AJ19=""),"",AL19-AJ19)</f>
        <v/>
      </c>
      <c r="AP19" s="26">
        <f>IF(OR(AL19="",AJ19="",AJ19=0),"",(AL19-AJ19)/AJ19)</f>
        <v/>
      </c>
      <c r="AQ19" s="27">
        <f>IF(AP19="","",IF(AP19&lt;-0.05,"Moins cher",IF(AP19&gt;0.05,"Plus cher","Équivalent")))</f>
        <v/>
      </c>
    </row>
    <row r="20">
      <c r="A20" s="13" t="inlineStr">
        <is>
          <t>SG-2775</t>
        </is>
      </c>
      <c r="B20" s="13" t="inlineStr">
        <is>
          <t>Advanced Clean</t>
        </is>
      </c>
      <c r="C20" s="13" t="inlineStr">
        <is>
          <t>Sonique</t>
        </is>
      </c>
      <c r="D20" s="13" t="inlineStr">
        <is>
          <t>Adulte</t>
        </is>
      </c>
      <c r="E20" s="14" t="n">
        <v>32000</v>
      </c>
      <c r="F20" s="14" t="n">
        <v>40000</v>
      </c>
      <c r="G20" s="15" t="n">
        <v>5</v>
      </c>
      <c r="H20" s="15" t="n">
        <v>21</v>
      </c>
      <c r="I20" s="15" t="n">
        <v>700</v>
      </c>
      <c r="J20" s="13" t="inlineStr">
        <is>
          <t>Batterie Li-ion rechargeable</t>
        </is>
      </c>
      <c r="K20" s="13" t="inlineStr">
        <is>
          <t>Type-C</t>
        </is>
      </c>
      <c r="L20" s="17" t="n">
        <v>4</v>
      </c>
      <c r="M20" s="13" t="inlineStr">
        <is>
          <t>IPX7</t>
        </is>
      </c>
      <c r="N20" s="13" t="inlineStr">
        <is>
          <t>Oui</t>
        </is>
      </c>
      <c r="O20" s="13" t="inlineStr">
        <is>
          <t>Aucun</t>
        </is>
      </c>
      <c r="P20" s="13" t="inlineStr">
        <is>
          <t>Oui</t>
        </is>
      </c>
      <c r="Q20" s="17" t="n">
        <v>105</v>
      </c>
      <c r="R20" s="13" t="inlineStr">
        <is>
          <t>27*27*250.3</t>
        </is>
      </c>
      <c r="S20" s="18" t="inlineStr">
        <is>
          <t>Capteur de pression avec alerte sonore, fonction anti-projection 3 s, charge complète en 4 h, mémoire intelligente</t>
        </is>
      </c>
      <c r="T20" s="19" t="n">
        <v>12</v>
      </c>
      <c r="U20" s="20" t="inlineStr">
        <is>
          <t>ADDIGOES</t>
        </is>
      </c>
      <c r="V20" s="20" t="inlineStr">
        <is>
          <t>Brosse sonique USB 6 modes, 4 têtes</t>
        </is>
      </c>
      <c r="W20" s="20" t="inlineStr">
        <is>
          <t>Addigoes (marketplace)</t>
        </is>
      </c>
      <c r="X20" s="20" t="inlineStr">
        <is>
          <t>Sonique</t>
        </is>
      </c>
      <c r="Y20" s="20" t="inlineStr">
        <is>
          <t>42 000 vibrations/min</t>
        </is>
      </c>
      <c r="Z20" s="20" t="inlineStr">
        <is>
          <t>6 modes</t>
        </is>
      </c>
      <c r="AA20" s="20" t="n">
        <v>60</v>
      </c>
      <c r="AB20" s="20" t="inlineStr">
        <is>
          <t>Étanche (indice non précisé)</t>
        </is>
      </c>
      <c r="AC20" s="20" t="inlineStr">
        <is>
          <t>Non</t>
        </is>
      </c>
      <c r="AD20" s="20" t="inlineStr">
        <is>
          <t>USB</t>
        </is>
      </c>
      <c r="AE20" s="20" t="inlineStr">
        <is>
          <t>CI vérifié (Jumia). Équivalent générique vérifié au SN (sonique X3, 8 têtes). BF, CM, BJ non vérifiés.</t>
        </is>
      </c>
      <c r="AF20" s="20" t="inlineStr">
        <is>
          <t>Jumia CI</t>
        </is>
      </c>
      <c r="AG20" s="21" t="inlineStr">
        <is>
          <t>https://www.jumia.ci/addigoes-brosse-a-dents-electrique-sonique-rechargeable-usb-6-modes-etanche-haute-frequence-4-tetes-de-brosse-nettoyage-dentaire-professionnel-noir-30497266.html</t>
        </is>
      </c>
      <c r="AH20" s="21" t="inlineStr">
        <is>
          <t>https://www.jumia.ci/brosse-a-dents-electrique/</t>
        </is>
      </c>
      <c r="AI20" s="20" t="inlineStr">
        <is>
          <t>Rapprochement sur la haute fréquence (40 000 mouvements/min et plus) et le nombre élevé de modes. Amplitude 6 mm annoncée et pack 4 têtes, concurrent frontal des SEAGO à moteur magnétique.</t>
        </is>
      </c>
      <c r="AJ20" s="22">
        <f>IFERROR(IF(IF('Relevé prix'!$B$1="SN",VLOOKUP($U20,'Relevé prix'!$A$4:$N$60,11,FALSE),VLOOKUP($U20,'Relevé prix'!$A$4:$N$60,7,FALSE))=0,"",IF('Relevé prix'!$B$1="SN",VLOOKUP($U20,'Relevé prix'!$A$4:$N$60,11,FALSE),VLOOKUP($U20,'Relevé prix'!$A$4:$N$60,7,FALSE))),"")</f>
        <v/>
      </c>
      <c r="AK20" s="23">
        <f>IFERROR(IF(IF('Relevé prix'!$B$1="SN",VLOOKUP($U20,'Relevé prix'!$A$4:$N$60,12,FALSE),VLOOKUP($U20,'Relevé prix'!$A$4:$N$60,8,FALSE))=0,"",IF('Relevé prix'!$B$1="SN",VLOOKUP($U20,'Relevé prix'!$A$4:$N$60,12,FALSE),VLOOKUP($U20,'Relevé prix'!$A$4:$N$60,8,FALSE))),"")</f>
        <v/>
      </c>
      <c r="AL20" s="24" t="n"/>
      <c r="AM20" s="25" t="n"/>
      <c r="AN20" s="25" t="n"/>
      <c r="AO20" s="22">
        <f>IF(OR(AL20="",AJ20=""),"",AL20-AJ20)</f>
        <v/>
      </c>
      <c r="AP20" s="26">
        <f>IF(OR(AL20="",AJ20="",AJ20=0),"",(AL20-AJ20)/AJ20)</f>
        <v/>
      </c>
      <c r="AQ20" s="27">
        <f>IF(AP20="","",IF(AP20&lt;-0.05,"Moins cher",IF(AP20&gt;0.05,"Plus cher","Équivalent")))</f>
        <v/>
      </c>
    </row>
    <row r="21">
      <c r="A21" s="28" t="inlineStr">
        <is>
          <t>SG-2782</t>
        </is>
      </c>
      <c r="B21" s="28" t="inlineStr">
        <is>
          <t>Advanced Clean</t>
        </is>
      </c>
      <c r="C21" s="28" t="inlineStr">
        <is>
          <t>Sonique</t>
        </is>
      </c>
      <c r="D21" s="28" t="inlineStr">
        <is>
          <t>Adulte</t>
        </is>
      </c>
      <c r="E21" s="29" t="n">
        <v>32000</v>
      </c>
      <c r="F21" s="29" t="n">
        <v>40000</v>
      </c>
      <c r="G21" s="30" t="n">
        <v>5</v>
      </c>
      <c r="H21" s="30" t="n">
        <v>21</v>
      </c>
      <c r="I21" s="30" t="n">
        <v>700</v>
      </c>
      <c r="J21" s="28" t="inlineStr">
        <is>
          <t>Batterie Li-ion rechargeable</t>
        </is>
      </c>
      <c r="K21" s="28" t="inlineStr">
        <is>
          <t>Type-C</t>
        </is>
      </c>
      <c r="L21" s="34" t="inlineStr">
        <is>
          <t>N/D</t>
        </is>
      </c>
      <c r="M21" s="28" t="inlineStr">
        <is>
          <t>IPX7</t>
        </is>
      </c>
      <c r="N21" s="28" t="inlineStr">
        <is>
          <t>Oui</t>
        </is>
      </c>
      <c r="O21" s="28" t="inlineStr">
        <is>
          <t>Aucun</t>
        </is>
      </c>
      <c r="P21" s="28" t="inlineStr">
        <is>
          <t>Oui</t>
        </is>
      </c>
      <c r="Q21" s="31" t="n">
        <v>125</v>
      </c>
      <c r="R21" s="28" t="inlineStr">
        <is>
          <t>26.8*26.7*253</t>
        </is>
      </c>
      <c r="S21" s="32" t="inlineStr">
        <is>
          <t>Moteur magnétique nouvelle génération, amplitude 6 mm, montée progressive 3 s, mémoire intelligente</t>
        </is>
      </c>
      <c r="T21" s="33" t="n">
        <v>12</v>
      </c>
      <c r="U21" s="20" t="inlineStr">
        <is>
          <t>ADDIGOES</t>
        </is>
      </c>
      <c r="V21" s="20" t="inlineStr">
        <is>
          <t>Brosse sonique USB 6 modes, 4 têtes</t>
        </is>
      </c>
      <c r="W21" s="20" t="inlineStr">
        <is>
          <t>Addigoes (marketplace)</t>
        </is>
      </c>
      <c r="X21" s="20" t="inlineStr">
        <is>
          <t>Sonique</t>
        </is>
      </c>
      <c r="Y21" s="20" t="inlineStr">
        <is>
          <t>42 000 vibrations/min</t>
        </is>
      </c>
      <c r="Z21" s="20" t="inlineStr">
        <is>
          <t>6 modes</t>
        </is>
      </c>
      <c r="AA21" s="20" t="n">
        <v>60</v>
      </c>
      <c r="AB21" s="20" t="inlineStr">
        <is>
          <t>Étanche (indice non précisé)</t>
        </is>
      </c>
      <c r="AC21" s="20" t="inlineStr">
        <is>
          <t>Non</t>
        </is>
      </c>
      <c r="AD21" s="20" t="inlineStr">
        <is>
          <t>USB</t>
        </is>
      </c>
      <c r="AE21" s="20" t="inlineStr">
        <is>
          <t>CI vérifié (Jumia). Équivalent générique vérifié au SN (sonique X3, 8 têtes). BF, CM, BJ non vérifiés.</t>
        </is>
      </c>
      <c r="AF21" s="20" t="inlineStr">
        <is>
          <t>Jumia CI</t>
        </is>
      </c>
      <c r="AG21" s="21" t="inlineStr">
        <is>
          <t>https://www.jumia.ci/addigoes-brosse-a-dents-electrique-sonique-rechargeable-usb-6-modes-etanche-haute-frequence-4-tetes-de-brosse-nettoyage-dentaire-professionnel-noir-30497266.html</t>
        </is>
      </c>
      <c r="AH21" s="21" t="inlineStr">
        <is>
          <t>https://www.jumia.ci/brosse-a-dents-electrique/</t>
        </is>
      </c>
      <c r="AI21" s="20" t="inlineStr">
        <is>
          <t>Rapprochement sur la haute fréquence (40 000 mouvements/min et plus) et le nombre élevé de modes. Amplitude 6 mm annoncée et pack 4 têtes, concurrent frontal des SEAGO à moteur magnétique.</t>
        </is>
      </c>
      <c r="AJ21" s="22">
        <f>IFERROR(IF(IF('Relevé prix'!$B$1="SN",VLOOKUP($U21,'Relevé prix'!$A$4:$N$60,11,FALSE),VLOOKUP($U21,'Relevé prix'!$A$4:$N$60,7,FALSE))=0,"",IF('Relevé prix'!$B$1="SN",VLOOKUP($U21,'Relevé prix'!$A$4:$N$60,11,FALSE),VLOOKUP($U21,'Relevé prix'!$A$4:$N$60,7,FALSE))),"")</f>
        <v/>
      </c>
      <c r="AK21" s="23">
        <f>IFERROR(IF(IF('Relevé prix'!$B$1="SN",VLOOKUP($U21,'Relevé prix'!$A$4:$N$60,12,FALSE),VLOOKUP($U21,'Relevé prix'!$A$4:$N$60,8,FALSE))=0,"",IF('Relevé prix'!$B$1="SN",VLOOKUP($U21,'Relevé prix'!$A$4:$N$60,12,FALSE),VLOOKUP($U21,'Relevé prix'!$A$4:$N$60,8,FALSE))),"")</f>
        <v/>
      </c>
      <c r="AL21" s="24" t="n"/>
      <c r="AM21" s="25" t="n"/>
      <c r="AN21" s="25" t="n"/>
      <c r="AO21" s="22">
        <f>IF(OR(AL21="",AJ21=""),"",AL21-AJ21)</f>
        <v/>
      </c>
      <c r="AP21" s="26">
        <f>IF(OR(AL21="",AJ21="",AJ21=0),"",(AL21-AJ21)/AJ21)</f>
        <v/>
      </c>
      <c r="AQ21" s="27">
        <f>IF(AP21="","",IF(AP21&lt;-0.05,"Moins cher",IF(AP21&gt;0.05,"Plus cher","Équivalent")))</f>
        <v/>
      </c>
    </row>
    <row r="22">
      <c r="A22" s="13" t="inlineStr">
        <is>
          <t>SG-2750</t>
        </is>
      </c>
      <c r="B22" s="13" t="inlineStr">
        <is>
          <t>Advanced Clean</t>
        </is>
      </c>
      <c r="C22" s="13" t="inlineStr">
        <is>
          <t>Sonique</t>
        </is>
      </c>
      <c r="D22" s="13" t="inlineStr">
        <is>
          <t>Adulte</t>
        </is>
      </c>
      <c r="E22" s="14" t="n">
        <v>35000</v>
      </c>
      <c r="F22" s="14" t="n">
        <v>42000</v>
      </c>
      <c r="G22" s="15" t="n">
        <v>5</v>
      </c>
      <c r="H22" s="15" t="n">
        <v>21</v>
      </c>
      <c r="I22" s="15" t="n">
        <v>700</v>
      </c>
      <c r="J22" s="13" t="inlineStr">
        <is>
          <t>Batterie Li-ion rechargeable</t>
        </is>
      </c>
      <c r="K22" s="13" t="inlineStr">
        <is>
          <t>USB</t>
        </is>
      </c>
      <c r="L22" s="16" t="inlineStr">
        <is>
          <t>N/D</t>
        </is>
      </c>
      <c r="M22" s="13" t="inlineStr">
        <is>
          <t>IPX7</t>
        </is>
      </c>
      <c r="N22" s="13" t="inlineStr">
        <is>
          <t>Non</t>
        </is>
      </c>
      <c r="O22" s="13" t="inlineStr">
        <is>
          <t>Indicateur batterie</t>
        </is>
      </c>
      <c r="P22" s="13" t="inlineStr">
        <is>
          <t>Oui</t>
        </is>
      </c>
      <c r="Q22" s="17" t="n">
        <v>98</v>
      </c>
      <c r="R22" s="13" t="inlineStr">
        <is>
          <t>26.9*26.4*179.8</t>
        </is>
      </c>
      <c r="S22" s="18" t="inlineStr">
        <is>
          <t>Moteur à lévitation magnétique, amplitude 6 mm, mémoire intelligente, protection surcharge et décharge profonde</t>
        </is>
      </c>
      <c r="T22" s="19" t="n">
        <v>13</v>
      </c>
      <c r="U22" s="20" t="inlineStr">
        <is>
          <t>ADDIGOES</t>
        </is>
      </c>
      <c r="V22" s="20" t="inlineStr">
        <is>
          <t>Brosse sonique USB 6 modes, 4 têtes</t>
        </is>
      </c>
      <c r="W22" s="20" t="inlineStr">
        <is>
          <t>Addigoes (marketplace)</t>
        </is>
      </c>
      <c r="X22" s="20" t="inlineStr">
        <is>
          <t>Sonique</t>
        </is>
      </c>
      <c r="Y22" s="20" t="inlineStr">
        <is>
          <t>42 000 vibrations/min</t>
        </is>
      </c>
      <c r="Z22" s="20" t="inlineStr">
        <is>
          <t>6 modes</t>
        </is>
      </c>
      <c r="AA22" s="20" t="n">
        <v>60</v>
      </c>
      <c r="AB22" s="20" t="inlineStr">
        <is>
          <t>Étanche (indice non précisé)</t>
        </is>
      </c>
      <c r="AC22" s="20" t="inlineStr">
        <is>
          <t>Non</t>
        </is>
      </c>
      <c r="AD22" s="20" t="inlineStr">
        <is>
          <t>USB</t>
        </is>
      </c>
      <c r="AE22" s="20" t="inlineStr">
        <is>
          <t>CI vérifié (Jumia). Équivalent générique vérifié au SN (sonique X3, 8 têtes). BF, CM, BJ non vérifiés.</t>
        </is>
      </c>
      <c r="AF22" s="20" t="inlineStr">
        <is>
          <t>Jumia CI</t>
        </is>
      </c>
      <c r="AG22" s="21" t="inlineStr">
        <is>
          <t>https://www.jumia.ci/addigoes-brosse-a-dents-electrique-sonique-rechargeable-usb-6-modes-etanche-haute-frequence-4-tetes-de-brosse-nettoyage-dentaire-professionnel-noir-30497266.html</t>
        </is>
      </c>
      <c r="AH22" s="21" t="inlineStr">
        <is>
          <t>https://www.jumia.ci/brosse-a-dents-electrique/</t>
        </is>
      </c>
      <c r="AI22" s="20" t="inlineStr">
        <is>
          <t>Rapprochement sur la haute fréquence (40 000 mouvements/min et plus) et le nombre élevé de modes. Amplitude 6 mm annoncée et pack 4 têtes, concurrent frontal des SEAGO à moteur magnétique.</t>
        </is>
      </c>
      <c r="AJ22" s="22">
        <f>IFERROR(IF(IF('Relevé prix'!$B$1="SN",VLOOKUP($U22,'Relevé prix'!$A$4:$N$60,11,FALSE),VLOOKUP($U22,'Relevé prix'!$A$4:$N$60,7,FALSE))=0,"",IF('Relevé prix'!$B$1="SN",VLOOKUP($U22,'Relevé prix'!$A$4:$N$60,11,FALSE),VLOOKUP($U22,'Relevé prix'!$A$4:$N$60,7,FALSE))),"")</f>
        <v/>
      </c>
      <c r="AK22" s="23">
        <f>IFERROR(IF(IF('Relevé prix'!$B$1="SN",VLOOKUP($U22,'Relevé prix'!$A$4:$N$60,12,FALSE),VLOOKUP($U22,'Relevé prix'!$A$4:$N$60,8,FALSE))=0,"",IF('Relevé prix'!$B$1="SN",VLOOKUP($U22,'Relevé prix'!$A$4:$N$60,12,FALSE),VLOOKUP($U22,'Relevé prix'!$A$4:$N$60,8,FALSE))),"")</f>
        <v/>
      </c>
      <c r="AL22" s="24" t="n"/>
      <c r="AM22" s="25" t="n"/>
      <c r="AN22" s="25" t="n"/>
      <c r="AO22" s="22">
        <f>IF(OR(AL22="",AJ22=""),"",AL22-AJ22)</f>
        <v/>
      </c>
      <c r="AP22" s="26">
        <f>IF(OR(AL22="",AJ22="",AJ22=0),"",(AL22-AJ22)/AJ22)</f>
        <v/>
      </c>
      <c r="AQ22" s="27">
        <f>IF(AP22="","",IF(AP22&lt;-0.05,"Moins cher",IF(AP22&gt;0.05,"Plus cher","Équivalent")))</f>
        <v/>
      </c>
    </row>
    <row r="23">
      <c r="A23" s="28" t="inlineStr">
        <is>
          <t>SG-2716</t>
        </is>
      </c>
      <c r="B23" s="28" t="inlineStr">
        <is>
          <t>Advanced Clean</t>
        </is>
      </c>
      <c r="C23" s="28" t="inlineStr">
        <is>
          <t>Sonique</t>
        </is>
      </c>
      <c r="D23" s="28" t="inlineStr">
        <is>
          <t>Adulte</t>
        </is>
      </c>
      <c r="E23" s="29" t="n">
        <v>32000</v>
      </c>
      <c r="F23" s="29" t="n">
        <v>40000</v>
      </c>
      <c r="G23" s="30" t="n">
        <v>15</v>
      </c>
      <c r="H23" s="30" t="n">
        <v>35</v>
      </c>
      <c r="I23" s="30" t="n">
        <v>2000</v>
      </c>
      <c r="J23" s="28" t="inlineStr">
        <is>
          <t>Batterie Li-ion rechargeable</t>
        </is>
      </c>
      <c r="K23" s="28" t="inlineStr">
        <is>
          <t>Inductive (socle)</t>
        </is>
      </c>
      <c r="L23" s="34" t="inlineStr">
        <is>
          <t>N/D</t>
        </is>
      </c>
      <c r="M23" s="28" t="inlineStr">
        <is>
          <t>IPX7</t>
        </is>
      </c>
      <c r="N23" s="28" t="inlineStr">
        <is>
          <t>Oui</t>
        </is>
      </c>
      <c r="O23" s="28" t="inlineStr">
        <is>
          <t>Aucun</t>
        </is>
      </c>
      <c r="P23" s="28" t="inlineStr">
        <is>
          <t>Oui</t>
        </is>
      </c>
      <c r="Q23" s="31" t="n">
        <v>125</v>
      </c>
      <c r="R23" s="28" t="inlineStr">
        <is>
          <t>27*27*245 ; chargeur 4017 : 58*58*28</t>
        </is>
      </c>
      <c r="S23" s="32" t="inlineStr">
        <is>
          <t>15 combinaisons (5 modes x 3 intensités), montée progressive 3 s, réveil automatique à la prise en main, moteur à lévitation magnétique amplitude 6 mm</t>
        </is>
      </c>
      <c r="T23" s="33" t="n">
        <v>13</v>
      </c>
      <c r="U23" s="20" t="inlineStr">
        <is>
          <t>SONICARE_4100</t>
        </is>
      </c>
      <c r="V23" s="20" t="inlineStr">
        <is>
          <t>Sonicare ProtectiveClean 4100 (HX6817)</t>
        </is>
      </c>
      <c r="W23" s="20" t="inlineStr">
        <is>
          <t>Philips</t>
        </is>
      </c>
      <c r="X23" s="20" t="inlineStr">
        <is>
          <t>Sonique</t>
        </is>
      </c>
      <c r="Y23" s="20" t="inlineStr">
        <is>
          <t>31 000 strokes/min (62 000 mouvements/min)</t>
        </is>
      </c>
      <c r="Z23" s="20" t="inlineStr">
        <is>
          <t>1 mode Clean (2 intensités selon version)</t>
        </is>
      </c>
      <c r="AA23" s="20" t="n">
        <v>14</v>
      </c>
      <c r="AB23" s="20" t="inlineStr">
        <is>
          <t>IPX7</t>
        </is>
      </c>
      <c r="AC23" s="20" t="inlineStr">
        <is>
          <t>Oui (alerte sonore)</t>
        </is>
      </c>
      <c r="AD23" s="20" t="inlineStr">
        <is>
          <t>Socle inductif</t>
        </is>
      </c>
      <c r="AE23" s="20" t="inlineStr">
        <is>
          <t>Non vérifié sur CI, SN, BF, CM, BJ. Présence confirmée aux EAU (Noon).</t>
        </is>
      </c>
      <c r="AF23" s="20" t="inlineStr">
        <is>
          <t>Noon UAE, pharmacies et GMS</t>
        </is>
      </c>
      <c r="AG23" s="21" t="inlineStr">
        <is>
          <t>https://www.usa.philips.com/c-p/HX6817_01/sonicare-protectiveclean-4100-sonic-electric-toothbrush</t>
        </is>
      </c>
      <c r="AH23" s="21" t="inlineStr">
        <is>
          <t>https://www.noon.com/uae-en/beauty/personal-care-16343/oral-hygiene/power-toothbrushes/philips_sonicare/</t>
        </is>
      </c>
      <c r="AI23" s="20" t="inlineStr">
        <is>
          <t>Rapprochement sur la charge par socle inductif et le positionnement premium du segment sonique. Technologie BrushSync (rappel de remplacement de tête). Référence premium du segment sonique.</t>
        </is>
      </c>
      <c r="AJ23" s="22">
        <f>IFERROR(IF(IF('Relevé prix'!$B$1="SN",VLOOKUP($U23,'Relevé prix'!$A$4:$N$60,11,FALSE),VLOOKUP($U23,'Relevé prix'!$A$4:$N$60,7,FALSE))=0,"",IF('Relevé prix'!$B$1="SN",VLOOKUP($U23,'Relevé prix'!$A$4:$N$60,11,FALSE),VLOOKUP($U23,'Relevé prix'!$A$4:$N$60,7,FALSE))),"")</f>
        <v/>
      </c>
      <c r="AK23" s="23">
        <f>IFERROR(IF(IF('Relevé prix'!$B$1="SN",VLOOKUP($U23,'Relevé prix'!$A$4:$N$60,12,FALSE),VLOOKUP($U23,'Relevé prix'!$A$4:$N$60,8,FALSE))=0,"",IF('Relevé prix'!$B$1="SN",VLOOKUP($U23,'Relevé prix'!$A$4:$N$60,12,FALSE),VLOOKUP($U23,'Relevé prix'!$A$4:$N$60,8,FALSE))),"")</f>
        <v/>
      </c>
      <c r="AL23" s="24" t="n"/>
      <c r="AM23" s="25" t="n"/>
      <c r="AN23" s="25" t="n"/>
      <c r="AO23" s="22">
        <f>IF(OR(AL23="",AJ23=""),"",AL23-AJ23)</f>
        <v/>
      </c>
      <c r="AP23" s="26">
        <f>IF(OR(AL23="",AJ23="",AJ23=0),"",(AL23-AJ23)/AJ23)</f>
        <v/>
      </c>
      <c r="AQ23" s="27">
        <f>IF(AP23="","",IF(AP23&lt;-0.05,"Moins cher",IF(AP23&gt;0.05,"Plus cher","Équivalent")))</f>
        <v/>
      </c>
    </row>
    <row r="24">
      <c r="A24" s="13" t="inlineStr">
        <is>
          <t>SG-2752</t>
        </is>
      </c>
      <c r="B24" s="13" t="inlineStr">
        <is>
          <t>Advanced Clean</t>
        </is>
      </c>
      <c r="C24" s="13" t="inlineStr">
        <is>
          <t>Sonique</t>
        </is>
      </c>
      <c r="D24" s="13" t="inlineStr">
        <is>
          <t>Adulte</t>
        </is>
      </c>
      <c r="E24" s="14" t="n">
        <v>32000</v>
      </c>
      <c r="F24" s="14" t="n">
        <v>40000</v>
      </c>
      <c r="G24" s="15" t="n">
        <v>5</v>
      </c>
      <c r="H24" s="15" t="n">
        <v>21</v>
      </c>
      <c r="I24" s="15" t="n">
        <v>700</v>
      </c>
      <c r="J24" s="13" t="inlineStr">
        <is>
          <t>Batterie Li-ion rechargeable</t>
        </is>
      </c>
      <c r="K24" s="13" t="inlineStr">
        <is>
          <t>Type-C</t>
        </is>
      </c>
      <c r="L24" s="16" t="inlineStr">
        <is>
          <t>N/D</t>
        </is>
      </c>
      <c r="M24" s="13" t="inlineStr">
        <is>
          <t>IPX7</t>
        </is>
      </c>
      <c r="N24" s="13" t="inlineStr">
        <is>
          <t>Oui</t>
        </is>
      </c>
      <c r="O24" s="13" t="inlineStr">
        <is>
          <t>Aucun</t>
        </is>
      </c>
      <c r="P24" s="13" t="inlineStr">
        <is>
          <t>Oui</t>
        </is>
      </c>
      <c r="Q24" s="17" t="n">
        <v>101.5</v>
      </c>
      <c r="R24" s="13" t="inlineStr">
        <is>
          <t>27.6*27.6*255</t>
        </is>
      </c>
      <c r="S24" s="18" t="inlineStr">
        <is>
          <t>Bouton tactile sans joint, montée progressive 3 s, double moteur magnétique, implantation sans métal, mémoire intelligente</t>
        </is>
      </c>
      <c r="T24" s="19" t="n">
        <v>14</v>
      </c>
      <c r="U24" s="20" t="inlineStr">
        <is>
          <t>ADDIGOES</t>
        </is>
      </c>
      <c r="V24" s="20" t="inlineStr">
        <is>
          <t>Brosse sonique USB 6 modes, 4 têtes</t>
        </is>
      </c>
      <c r="W24" s="20" t="inlineStr">
        <is>
          <t>Addigoes (marketplace)</t>
        </is>
      </c>
      <c r="X24" s="20" t="inlineStr">
        <is>
          <t>Sonique</t>
        </is>
      </c>
      <c r="Y24" s="20" t="inlineStr">
        <is>
          <t>42 000 vibrations/min</t>
        </is>
      </c>
      <c r="Z24" s="20" t="inlineStr">
        <is>
          <t>6 modes</t>
        </is>
      </c>
      <c r="AA24" s="20" t="n">
        <v>60</v>
      </c>
      <c r="AB24" s="20" t="inlineStr">
        <is>
          <t>Étanche (indice non précisé)</t>
        </is>
      </c>
      <c r="AC24" s="20" t="inlineStr">
        <is>
          <t>Non</t>
        </is>
      </c>
      <c r="AD24" s="20" t="inlineStr">
        <is>
          <t>USB</t>
        </is>
      </c>
      <c r="AE24" s="20" t="inlineStr">
        <is>
          <t>CI vérifié (Jumia). Équivalent générique vérifié au SN (sonique X3, 8 têtes). BF, CM, BJ non vérifiés.</t>
        </is>
      </c>
      <c r="AF24" s="20" t="inlineStr">
        <is>
          <t>Jumia CI</t>
        </is>
      </c>
      <c r="AG24" s="21" t="inlineStr">
        <is>
          <t>https://www.jumia.ci/addigoes-brosse-a-dents-electrique-sonique-rechargeable-usb-6-modes-etanche-haute-frequence-4-tetes-de-brosse-nettoyage-dentaire-professionnel-noir-30497266.html</t>
        </is>
      </c>
      <c r="AH24" s="21" t="inlineStr">
        <is>
          <t>https://www.jumia.ci/brosse-a-dents-electrique/</t>
        </is>
      </c>
      <c r="AI24" s="20" t="inlineStr">
        <is>
          <t>Rapprochement sur la haute fréquence (40 000 mouvements/min et plus) et le nombre élevé de modes. Amplitude 6 mm annoncée et pack 4 têtes, concurrent frontal des SEAGO à moteur magnétique.</t>
        </is>
      </c>
      <c r="AJ24" s="22">
        <f>IFERROR(IF(IF('Relevé prix'!$B$1="SN",VLOOKUP($U24,'Relevé prix'!$A$4:$N$60,11,FALSE),VLOOKUP($U24,'Relevé prix'!$A$4:$N$60,7,FALSE))=0,"",IF('Relevé prix'!$B$1="SN",VLOOKUP($U24,'Relevé prix'!$A$4:$N$60,11,FALSE),VLOOKUP($U24,'Relevé prix'!$A$4:$N$60,7,FALSE))),"")</f>
        <v/>
      </c>
      <c r="AK24" s="23">
        <f>IFERROR(IF(IF('Relevé prix'!$B$1="SN",VLOOKUP($U24,'Relevé prix'!$A$4:$N$60,12,FALSE),VLOOKUP($U24,'Relevé prix'!$A$4:$N$60,8,FALSE))=0,"",IF('Relevé prix'!$B$1="SN",VLOOKUP($U24,'Relevé prix'!$A$4:$N$60,12,FALSE),VLOOKUP($U24,'Relevé prix'!$A$4:$N$60,8,FALSE))),"")</f>
        <v/>
      </c>
      <c r="AL24" s="24" t="n"/>
      <c r="AM24" s="25" t="n"/>
      <c r="AN24" s="25" t="n"/>
      <c r="AO24" s="22">
        <f>IF(OR(AL24="",AJ24=""),"",AL24-AJ24)</f>
        <v/>
      </c>
      <c r="AP24" s="26">
        <f>IF(OR(AL24="",AJ24="",AJ24=0),"",(AL24-AJ24)/AJ24)</f>
        <v/>
      </c>
      <c r="AQ24" s="27">
        <f>IF(AP24="","",IF(AP24&lt;-0.05,"Moins cher",IF(AP24&gt;0.05,"Plus cher","Équivalent")))</f>
        <v/>
      </c>
    </row>
    <row r="25">
      <c r="A25" s="28" t="inlineStr">
        <is>
          <t>SG-2753</t>
        </is>
      </c>
      <c r="B25" s="28" t="inlineStr">
        <is>
          <t>Advanced Clean</t>
        </is>
      </c>
      <c r="C25" s="28" t="inlineStr">
        <is>
          <t>Sonique</t>
        </is>
      </c>
      <c r="D25" s="28" t="inlineStr">
        <is>
          <t>Adulte</t>
        </is>
      </c>
      <c r="E25" s="29" t="n">
        <v>32000</v>
      </c>
      <c r="F25" s="29" t="n">
        <v>40000</v>
      </c>
      <c r="G25" s="30" t="n">
        <v>5</v>
      </c>
      <c r="H25" s="30" t="n">
        <v>21</v>
      </c>
      <c r="I25" s="30" t="n">
        <v>700</v>
      </c>
      <c r="J25" s="28" t="inlineStr">
        <is>
          <t>Batterie Li-ion rechargeable</t>
        </is>
      </c>
      <c r="K25" s="28" t="inlineStr">
        <is>
          <t>Type-C</t>
        </is>
      </c>
      <c r="L25" s="34" t="inlineStr">
        <is>
          <t>N/D</t>
        </is>
      </c>
      <c r="M25" s="28" t="inlineStr">
        <is>
          <t>IPX7</t>
        </is>
      </c>
      <c r="N25" s="28" t="inlineStr">
        <is>
          <t>Oui</t>
        </is>
      </c>
      <c r="O25" s="28" t="inlineStr">
        <is>
          <t>Aucun</t>
        </is>
      </c>
      <c r="P25" s="28" t="inlineStr">
        <is>
          <t>Oui</t>
        </is>
      </c>
      <c r="Q25" s="31" t="n">
        <v>102</v>
      </c>
      <c r="R25" s="28" t="inlineStr">
        <is>
          <t>26.5*30.0*255</t>
        </is>
      </c>
      <c r="S25" s="32" t="inlineStr">
        <is>
          <t>Bouton tactile sans joint, montée progressive 3 s, double moteur magnétique, implantation sans métal, mémoire intelligente</t>
        </is>
      </c>
      <c r="T25" s="33" t="n">
        <v>14</v>
      </c>
      <c r="U25" s="20" t="inlineStr">
        <is>
          <t>ADDIGOES</t>
        </is>
      </c>
      <c r="V25" s="20" t="inlineStr">
        <is>
          <t>Brosse sonique USB 6 modes, 4 têtes</t>
        </is>
      </c>
      <c r="W25" s="20" t="inlineStr">
        <is>
          <t>Addigoes (marketplace)</t>
        </is>
      </c>
      <c r="X25" s="20" t="inlineStr">
        <is>
          <t>Sonique</t>
        </is>
      </c>
      <c r="Y25" s="20" t="inlineStr">
        <is>
          <t>42 000 vibrations/min</t>
        </is>
      </c>
      <c r="Z25" s="20" t="inlineStr">
        <is>
          <t>6 modes</t>
        </is>
      </c>
      <c r="AA25" s="20" t="n">
        <v>60</v>
      </c>
      <c r="AB25" s="20" t="inlineStr">
        <is>
          <t>Étanche (indice non précisé)</t>
        </is>
      </c>
      <c r="AC25" s="20" t="inlineStr">
        <is>
          <t>Non</t>
        </is>
      </c>
      <c r="AD25" s="20" t="inlineStr">
        <is>
          <t>USB</t>
        </is>
      </c>
      <c r="AE25" s="20" t="inlineStr">
        <is>
          <t>CI vérifié (Jumia). Équivalent générique vérifié au SN (sonique X3, 8 têtes). BF, CM, BJ non vérifiés.</t>
        </is>
      </c>
      <c r="AF25" s="20" t="inlineStr">
        <is>
          <t>Jumia CI</t>
        </is>
      </c>
      <c r="AG25" s="21" t="inlineStr">
        <is>
          <t>https://www.jumia.ci/addigoes-brosse-a-dents-electrique-sonique-rechargeable-usb-6-modes-etanche-haute-frequence-4-tetes-de-brosse-nettoyage-dentaire-professionnel-noir-30497266.html</t>
        </is>
      </c>
      <c r="AH25" s="21" t="inlineStr">
        <is>
          <t>https://www.jumia.ci/brosse-a-dents-electrique/</t>
        </is>
      </c>
      <c r="AI25" s="20" t="inlineStr">
        <is>
          <t>Rapprochement sur la haute fréquence (40 000 mouvements/min et plus) et le nombre élevé de modes. Amplitude 6 mm annoncée et pack 4 têtes, concurrent frontal des SEAGO à moteur magnétique.</t>
        </is>
      </c>
      <c r="AJ25" s="22">
        <f>IFERROR(IF(IF('Relevé prix'!$B$1="SN",VLOOKUP($U25,'Relevé prix'!$A$4:$N$60,11,FALSE),VLOOKUP($U25,'Relevé prix'!$A$4:$N$60,7,FALSE))=0,"",IF('Relevé prix'!$B$1="SN",VLOOKUP($U25,'Relevé prix'!$A$4:$N$60,11,FALSE),VLOOKUP($U25,'Relevé prix'!$A$4:$N$60,7,FALSE))),"")</f>
        <v/>
      </c>
      <c r="AK25" s="23">
        <f>IFERROR(IF(IF('Relevé prix'!$B$1="SN",VLOOKUP($U25,'Relevé prix'!$A$4:$N$60,12,FALSE),VLOOKUP($U25,'Relevé prix'!$A$4:$N$60,8,FALSE))=0,"",IF('Relevé prix'!$B$1="SN",VLOOKUP($U25,'Relevé prix'!$A$4:$N$60,12,FALSE),VLOOKUP($U25,'Relevé prix'!$A$4:$N$60,8,FALSE))),"")</f>
        <v/>
      </c>
      <c r="AL25" s="24" t="n"/>
      <c r="AM25" s="25" t="n"/>
      <c r="AN25" s="25" t="n"/>
      <c r="AO25" s="22">
        <f>IF(OR(AL25="",AJ25=""),"",AL25-AJ25)</f>
        <v/>
      </c>
      <c r="AP25" s="26">
        <f>IF(OR(AL25="",AJ25="",AJ25=0),"",(AL25-AJ25)/AJ25)</f>
        <v/>
      </c>
      <c r="AQ25" s="27">
        <f>IF(AP25="","",IF(AP25&lt;-0.05,"Moins cher",IF(AP25&gt;0.05,"Plus cher","Équivalent")))</f>
        <v/>
      </c>
    </row>
    <row r="26">
      <c r="A26" s="13" t="inlineStr">
        <is>
          <t>SG-2725</t>
        </is>
      </c>
      <c r="B26" s="13" t="inlineStr">
        <is>
          <t>Advanced Clean</t>
        </is>
      </c>
      <c r="C26" s="13" t="inlineStr">
        <is>
          <t>Sonique</t>
        </is>
      </c>
      <c r="D26" s="13" t="inlineStr">
        <is>
          <t>Adulte</t>
        </is>
      </c>
      <c r="E26" s="14" t="n">
        <v>32000</v>
      </c>
      <c r="F26" s="14" t="n">
        <v>47000</v>
      </c>
      <c r="G26" s="15" t="n">
        <v>5</v>
      </c>
      <c r="H26" s="15" t="n">
        <v>60</v>
      </c>
      <c r="I26" s="15" t="n">
        <v>1500</v>
      </c>
      <c r="J26" s="13" t="inlineStr">
        <is>
          <t>Batterie Li-ion rechargeable</t>
        </is>
      </c>
      <c r="K26" s="13" t="inlineStr">
        <is>
          <t>Type-C</t>
        </is>
      </c>
      <c r="L26" s="16" t="inlineStr">
        <is>
          <t>N/D</t>
        </is>
      </c>
      <c r="M26" s="13" t="inlineStr">
        <is>
          <t>IPX7</t>
        </is>
      </c>
      <c r="N26" s="13" t="inlineStr">
        <is>
          <t>Non</t>
        </is>
      </c>
      <c r="O26" s="13" t="inlineStr">
        <is>
          <t>Aucun</t>
        </is>
      </c>
      <c r="P26" s="13" t="inlineStr">
        <is>
          <t>Oui</t>
        </is>
      </c>
      <c r="Q26" s="17" t="n">
        <v>222</v>
      </c>
      <c r="R26" s="13" t="inlineStr">
        <is>
          <t>28.3*28.3*252</t>
        </is>
      </c>
      <c r="S26" s="18" t="inlineStr">
        <is>
          <t>Moteur magnétique renforcé, implantation sans métal avec plus de 90 % de brins arrondis, manche compatible motifs 3D, rythme de vibration cadence</t>
        </is>
      </c>
      <c r="T26" s="19" t="n">
        <v>15</v>
      </c>
      <c r="U26" s="20" t="inlineStr">
        <is>
          <t>ADDIGOES</t>
        </is>
      </c>
      <c r="V26" s="20" t="inlineStr">
        <is>
          <t>Brosse sonique USB 6 modes, 4 têtes</t>
        </is>
      </c>
      <c r="W26" s="20" t="inlineStr">
        <is>
          <t>Addigoes (marketplace)</t>
        </is>
      </c>
      <c r="X26" s="20" t="inlineStr">
        <is>
          <t>Sonique</t>
        </is>
      </c>
      <c r="Y26" s="20" t="inlineStr">
        <is>
          <t>42 000 vibrations/min</t>
        </is>
      </c>
      <c r="Z26" s="20" t="inlineStr">
        <is>
          <t>6 modes</t>
        </is>
      </c>
      <c r="AA26" s="20" t="n">
        <v>60</v>
      </c>
      <c r="AB26" s="20" t="inlineStr">
        <is>
          <t>Étanche (indice non précisé)</t>
        </is>
      </c>
      <c r="AC26" s="20" t="inlineStr">
        <is>
          <t>Non</t>
        </is>
      </c>
      <c r="AD26" s="20" t="inlineStr">
        <is>
          <t>USB</t>
        </is>
      </c>
      <c r="AE26" s="20" t="inlineStr">
        <is>
          <t>CI vérifié (Jumia). Équivalent générique vérifié au SN (sonique X3, 8 têtes). BF, CM, BJ non vérifiés.</t>
        </is>
      </c>
      <c r="AF26" s="20" t="inlineStr">
        <is>
          <t>Jumia CI</t>
        </is>
      </c>
      <c r="AG26" s="21" t="inlineStr">
        <is>
          <t>https://www.jumia.ci/addigoes-brosse-a-dents-electrique-sonique-rechargeable-usb-6-modes-etanche-haute-frequence-4-tetes-de-brosse-nettoyage-dentaire-professionnel-noir-30497266.html</t>
        </is>
      </c>
      <c r="AH26" s="21" t="inlineStr">
        <is>
          <t>https://www.jumia.ci/brosse-a-dents-electrique/</t>
        </is>
      </c>
      <c r="AI26" s="20" t="inlineStr">
        <is>
          <t>Rapprochement sur la haute fréquence (40 000 mouvements/min et plus) et le nombre élevé de modes. Amplitude 6 mm annoncée et pack 4 têtes, concurrent frontal des SEAGO à moteur magnétique.</t>
        </is>
      </c>
      <c r="AJ26" s="22">
        <f>IFERROR(IF(IF('Relevé prix'!$B$1="SN",VLOOKUP($U26,'Relevé prix'!$A$4:$N$60,11,FALSE),VLOOKUP($U26,'Relevé prix'!$A$4:$N$60,7,FALSE))=0,"",IF('Relevé prix'!$B$1="SN",VLOOKUP($U26,'Relevé prix'!$A$4:$N$60,11,FALSE),VLOOKUP($U26,'Relevé prix'!$A$4:$N$60,7,FALSE))),"")</f>
        <v/>
      </c>
      <c r="AK26" s="23">
        <f>IFERROR(IF(IF('Relevé prix'!$B$1="SN",VLOOKUP($U26,'Relevé prix'!$A$4:$N$60,12,FALSE),VLOOKUP($U26,'Relevé prix'!$A$4:$N$60,8,FALSE))=0,"",IF('Relevé prix'!$B$1="SN",VLOOKUP($U26,'Relevé prix'!$A$4:$N$60,12,FALSE),VLOOKUP($U26,'Relevé prix'!$A$4:$N$60,8,FALSE))),"")</f>
        <v/>
      </c>
      <c r="AL26" s="24" t="n"/>
      <c r="AM26" s="25" t="n"/>
      <c r="AN26" s="25" t="n"/>
      <c r="AO26" s="22">
        <f>IF(OR(AL26="",AJ26=""),"",AL26-AJ26)</f>
        <v/>
      </c>
      <c r="AP26" s="26">
        <f>IF(OR(AL26="",AJ26="",AJ26=0),"",(AL26-AJ26)/AJ26)</f>
        <v/>
      </c>
      <c r="AQ26" s="27">
        <f>IF(AP26="","",IF(AP26&lt;-0.05,"Moins cher",IF(AP26&gt;0.05,"Plus cher","Équivalent")))</f>
        <v/>
      </c>
    </row>
    <row r="27">
      <c r="A27" s="28" t="inlineStr">
        <is>
          <t>SG-2015</t>
        </is>
      </c>
      <c r="B27" s="28" t="inlineStr">
        <is>
          <t>Advanced Clean</t>
        </is>
      </c>
      <c r="C27" s="28" t="inlineStr">
        <is>
          <t>Sonique</t>
        </is>
      </c>
      <c r="D27" s="28" t="inlineStr">
        <is>
          <t>Adulte</t>
        </is>
      </c>
      <c r="E27" s="29" t="n">
        <v>40000</v>
      </c>
      <c r="F27" s="29" t="n">
        <v>40000</v>
      </c>
      <c r="G27" s="30" t="n">
        <v>15</v>
      </c>
      <c r="H27" s="30" t="n">
        <v>21</v>
      </c>
      <c r="I27" s="30" t="n">
        <v>700</v>
      </c>
      <c r="J27" s="28" t="inlineStr">
        <is>
          <t>Batterie Li-ion rechargeable</t>
        </is>
      </c>
      <c r="K27" s="28" t="inlineStr">
        <is>
          <t>Inductive (socle)</t>
        </is>
      </c>
      <c r="L27" s="34" t="inlineStr">
        <is>
          <t>N/D</t>
        </is>
      </c>
      <c r="M27" s="28" t="inlineStr">
        <is>
          <t>IPX7</t>
        </is>
      </c>
      <c r="N27" s="28" t="inlineStr">
        <is>
          <t>Non</t>
        </is>
      </c>
      <c r="O27" s="28" t="inlineStr">
        <is>
          <t>Affichage digital</t>
        </is>
      </c>
      <c r="P27" s="28" t="inlineStr">
        <is>
          <t>Oui</t>
        </is>
      </c>
      <c r="Q27" s="31" t="n">
        <v>287</v>
      </c>
      <c r="R27" s="28" t="inlineStr">
        <is>
          <t>27.5*26.4*255 ; stérilisateur UV 135*60*131</t>
        </is>
      </c>
      <c r="S27" s="32" t="inlineStr">
        <is>
          <t>Socle et boîtier UV 2 en 1 (3-4 min, 99,9 % des bactéries), 15 combinaisons (3 modes x 5 intensités), double moteur magnétique</t>
        </is>
      </c>
      <c r="T27" s="33" t="n">
        <v>16</v>
      </c>
      <c r="U27" s="20" t="inlineStr">
        <is>
          <t>OCLEAN_XPRO</t>
        </is>
      </c>
      <c r="V27" s="20" t="inlineStr">
        <is>
          <t>X Pro Elite</t>
        </is>
      </c>
      <c r="W27" s="20" t="inlineStr">
        <is>
          <t>Oclean</t>
        </is>
      </c>
      <c r="X27" s="20" t="inlineStr">
        <is>
          <t>Sonique à lévitation magnétique</t>
        </is>
      </c>
      <c r="Y27" s="20" t="inlineStr">
        <is>
          <t>42 000 mouvements/min</t>
        </is>
      </c>
      <c r="Z27" s="20" t="inlineStr">
        <is>
          <t>4 modes x 32 intensités</t>
        </is>
      </c>
      <c r="AA27" s="20" t="n">
        <v>35</v>
      </c>
      <c r="AB27" s="37" t="inlineStr">
        <is>
          <t>N/D</t>
        </is>
      </c>
      <c r="AC27" s="37" t="inlineStr">
        <is>
          <t>N/D</t>
        </is>
      </c>
      <c r="AD27" s="20" t="inlineStr">
        <is>
          <t>Inductive, batterie 800 mAh</t>
        </is>
      </c>
      <c r="AE27" s="20" t="inlineStr">
        <is>
          <t>Non vérifié sur CI, SN, BF, CM, BJ.</t>
        </is>
      </c>
      <c r="AF27" s="20" t="inlineStr">
        <is>
          <t>Marketplaces, e-commerce spécialisé</t>
        </is>
      </c>
      <c r="AG27" s="21" t="inlineStr">
        <is>
          <t>https://www.electricteeth.com/oclean-x-pro-elite-review/</t>
        </is>
      </c>
      <c r="AH27" s="21" t="inlineStr">
        <is>
          <t>https://www.techradar.com/reviews/oclean-x-pro-elite</t>
        </is>
      </c>
      <c r="AI27" s="20" t="inlineStr">
        <is>
          <t>Rapprochement sur la présence d'un écran de pilotage et le haut niveau de modes. Écran tactile couleur et pilotage par application, équivalent des SEAGO à écran LCD.</t>
        </is>
      </c>
      <c r="AJ27" s="22">
        <f>IFERROR(IF(IF('Relevé prix'!$B$1="SN",VLOOKUP($U27,'Relevé prix'!$A$4:$N$60,11,FALSE),VLOOKUP($U27,'Relevé prix'!$A$4:$N$60,7,FALSE))=0,"",IF('Relevé prix'!$B$1="SN",VLOOKUP($U27,'Relevé prix'!$A$4:$N$60,11,FALSE),VLOOKUP($U27,'Relevé prix'!$A$4:$N$60,7,FALSE))),"")</f>
        <v/>
      </c>
      <c r="AK27" s="23">
        <f>IFERROR(IF(IF('Relevé prix'!$B$1="SN",VLOOKUP($U27,'Relevé prix'!$A$4:$N$60,12,FALSE),VLOOKUP($U27,'Relevé prix'!$A$4:$N$60,8,FALSE))=0,"",IF('Relevé prix'!$B$1="SN",VLOOKUP($U27,'Relevé prix'!$A$4:$N$60,12,FALSE),VLOOKUP($U27,'Relevé prix'!$A$4:$N$60,8,FALSE))),"")</f>
        <v/>
      </c>
      <c r="AL27" s="24" t="n"/>
      <c r="AM27" s="25" t="n"/>
      <c r="AN27" s="25" t="n"/>
      <c r="AO27" s="22">
        <f>IF(OR(AL27="",AJ27=""),"",AL27-AJ27)</f>
        <v/>
      </c>
      <c r="AP27" s="26">
        <f>IF(OR(AL27="",AJ27="",AJ27=0),"",(AL27-AJ27)/AJ27)</f>
        <v/>
      </c>
      <c r="AQ27" s="27">
        <f>IF(AP27="","",IF(AP27&lt;-0.05,"Moins cher",IF(AP27&gt;0.05,"Plus cher","Équivalent")))</f>
        <v/>
      </c>
    </row>
    <row r="28">
      <c r="A28" s="13" t="inlineStr">
        <is>
          <t>SG-2017</t>
        </is>
      </c>
      <c r="B28" s="13" t="inlineStr">
        <is>
          <t>Advanced Clean</t>
        </is>
      </c>
      <c r="C28" s="13" t="inlineStr">
        <is>
          <t>Sonique</t>
        </is>
      </c>
      <c r="D28" s="13" t="inlineStr">
        <is>
          <t>Adulte</t>
        </is>
      </c>
      <c r="E28" s="14" t="n">
        <v>32000</v>
      </c>
      <c r="F28" s="14" t="n">
        <v>40000</v>
      </c>
      <c r="G28" s="15" t="n">
        <v>15</v>
      </c>
      <c r="H28" s="15" t="n">
        <v>21</v>
      </c>
      <c r="I28" s="15" t="n">
        <v>700</v>
      </c>
      <c r="J28" s="13" t="inlineStr">
        <is>
          <t>Batterie Li-ion rechargeable</t>
        </is>
      </c>
      <c r="K28" s="13" t="inlineStr">
        <is>
          <t>Inductive (socle)</t>
        </is>
      </c>
      <c r="L28" s="16" t="inlineStr">
        <is>
          <t>N/D</t>
        </is>
      </c>
      <c r="M28" s="13" t="inlineStr">
        <is>
          <t>IPX7</t>
        </is>
      </c>
      <c r="N28" s="13" t="inlineStr">
        <is>
          <t>Non</t>
        </is>
      </c>
      <c r="O28" s="13" t="inlineStr">
        <is>
          <t>Affichage digital</t>
        </is>
      </c>
      <c r="P28" s="13" t="inlineStr">
        <is>
          <t>Oui</t>
        </is>
      </c>
      <c r="Q28" s="17" t="n">
        <v>222</v>
      </c>
      <c r="R28" s="13" t="inlineStr">
        <is>
          <t>27.1*28.1*255 ; chargeur 400 : 62*62*41</t>
        </is>
      </c>
      <c r="S28" s="18" t="inlineStr">
        <is>
          <t>15 combinaisons (3 modes x 5 intensités), moteur à lévitation magnétique amplitude 6 mm, double moteur magnétique, système super silencieux</t>
        </is>
      </c>
      <c r="T28" s="19" t="n">
        <v>16</v>
      </c>
      <c r="U28" s="20" t="inlineStr">
        <is>
          <t>OCLEAN_XPRO</t>
        </is>
      </c>
      <c r="V28" s="20" t="inlineStr">
        <is>
          <t>X Pro Elite</t>
        </is>
      </c>
      <c r="W28" s="20" t="inlineStr">
        <is>
          <t>Oclean</t>
        </is>
      </c>
      <c r="X28" s="20" t="inlineStr">
        <is>
          <t>Sonique à lévitation magnétique</t>
        </is>
      </c>
      <c r="Y28" s="20" t="inlineStr">
        <is>
          <t>42 000 mouvements/min</t>
        </is>
      </c>
      <c r="Z28" s="20" t="inlineStr">
        <is>
          <t>4 modes x 32 intensités</t>
        </is>
      </c>
      <c r="AA28" s="20" t="n">
        <v>35</v>
      </c>
      <c r="AB28" s="37" t="inlineStr">
        <is>
          <t>N/D</t>
        </is>
      </c>
      <c r="AC28" s="37" t="inlineStr">
        <is>
          <t>N/D</t>
        </is>
      </c>
      <c r="AD28" s="20" t="inlineStr">
        <is>
          <t>Inductive, batterie 800 mAh</t>
        </is>
      </c>
      <c r="AE28" s="20" t="inlineStr">
        <is>
          <t>Non vérifié sur CI, SN, BF, CM, BJ.</t>
        </is>
      </c>
      <c r="AF28" s="20" t="inlineStr">
        <is>
          <t>Marketplaces, e-commerce spécialisé</t>
        </is>
      </c>
      <c r="AG28" s="21" t="inlineStr">
        <is>
          <t>https://www.electricteeth.com/oclean-x-pro-elite-review/</t>
        </is>
      </c>
      <c r="AH28" s="21" t="inlineStr">
        <is>
          <t>https://www.techradar.com/reviews/oclean-x-pro-elite</t>
        </is>
      </c>
      <c r="AI28" s="20" t="inlineStr">
        <is>
          <t>Rapprochement sur la présence d'un écran de pilotage et le haut niveau de modes. Écran tactile couleur et pilotage par application, équivalent des SEAGO à écran LCD.</t>
        </is>
      </c>
      <c r="AJ28" s="22">
        <f>IFERROR(IF(IF('Relevé prix'!$B$1="SN",VLOOKUP($U28,'Relevé prix'!$A$4:$N$60,11,FALSE),VLOOKUP($U28,'Relevé prix'!$A$4:$N$60,7,FALSE))=0,"",IF('Relevé prix'!$B$1="SN",VLOOKUP($U28,'Relevé prix'!$A$4:$N$60,11,FALSE),VLOOKUP($U28,'Relevé prix'!$A$4:$N$60,7,FALSE))),"")</f>
        <v/>
      </c>
      <c r="AK28" s="23">
        <f>IFERROR(IF(IF('Relevé prix'!$B$1="SN",VLOOKUP($U28,'Relevé prix'!$A$4:$N$60,12,FALSE),VLOOKUP($U28,'Relevé prix'!$A$4:$N$60,8,FALSE))=0,"",IF('Relevé prix'!$B$1="SN",VLOOKUP($U28,'Relevé prix'!$A$4:$N$60,12,FALSE),VLOOKUP($U28,'Relevé prix'!$A$4:$N$60,8,FALSE))),"")</f>
        <v/>
      </c>
      <c r="AL28" s="24" t="n"/>
      <c r="AM28" s="25" t="n"/>
      <c r="AN28" s="25" t="n"/>
      <c r="AO28" s="22">
        <f>IF(OR(AL28="",AJ28=""),"",AL28-AJ28)</f>
        <v/>
      </c>
      <c r="AP28" s="26">
        <f>IF(OR(AL28="",AJ28="",AJ28=0),"",(AL28-AJ28)/AJ28)</f>
        <v/>
      </c>
      <c r="AQ28" s="27">
        <f>IF(AP28="","",IF(AP28&lt;-0.05,"Moins cher",IF(AP28&gt;0.05,"Plus cher","Équivalent")))</f>
        <v/>
      </c>
    </row>
    <row r="29">
      <c r="A29" s="28" t="inlineStr">
        <is>
          <t>SG-2701</t>
        </is>
      </c>
      <c r="B29" s="28" t="inlineStr">
        <is>
          <t>Advanced Clean</t>
        </is>
      </c>
      <c r="C29" s="28" t="inlineStr">
        <is>
          <t>Sonique</t>
        </is>
      </c>
      <c r="D29" s="28" t="inlineStr">
        <is>
          <t>Adulte</t>
        </is>
      </c>
      <c r="E29" s="29" t="n">
        <v>32000</v>
      </c>
      <c r="F29" s="29" t="n">
        <v>42000</v>
      </c>
      <c r="G29" s="30" t="n">
        <v>15</v>
      </c>
      <c r="H29" s="30" t="n">
        <v>60</v>
      </c>
      <c r="I29" s="30" t="n">
        <v>1500</v>
      </c>
      <c r="J29" s="28" t="inlineStr">
        <is>
          <t>Batterie Li-ion rechargeable</t>
        </is>
      </c>
      <c r="K29" s="28" t="inlineStr">
        <is>
          <t>Inductive (socle) ou USB</t>
        </is>
      </c>
      <c r="L29" s="34" t="inlineStr">
        <is>
          <t>N/D</t>
        </is>
      </c>
      <c r="M29" s="28" t="inlineStr">
        <is>
          <t>IPX7</t>
        </is>
      </c>
      <c r="N29" s="28" t="inlineStr">
        <is>
          <t>Oui</t>
        </is>
      </c>
      <c r="O29" s="28" t="inlineStr">
        <is>
          <t>Aucun</t>
        </is>
      </c>
      <c r="P29" s="28" t="inlineStr">
        <is>
          <t>Oui</t>
        </is>
      </c>
      <c r="Q29" s="31" t="n">
        <v>193</v>
      </c>
      <c r="R29" s="28" t="inlineStr">
        <is>
          <t>28*29.8*250 ; chargeur 4019 : 66.8*66.8*32.6</t>
        </is>
      </c>
      <c r="S29" s="32" t="inlineStr">
        <is>
          <t>15 combinaisons (5 modes x 3 intensités), montée progressive 3 s, résistant aux projections, mémoire intelligente</t>
        </is>
      </c>
      <c r="T29" s="33" t="n">
        <v>17</v>
      </c>
      <c r="U29" s="20" t="inlineStr">
        <is>
          <t>SONICARE_4100</t>
        </is>
      </c>
      <c r="V29" s="20" t="inlineStr">
        <is>
          <t>Sonicare ProtectiveClean 4100 (HX6817)</t>
        </is>
      </c>
      <c r="W29" s="20" t="inlineStr">
        <is>
          <t>Philips</t>
        </is>
      </c>
      <c r="X29" s="20" t="inlineStr">
        <is>
          <t>Sonique</t>
        </is>
      </c>
      <c r="Y29" s="20" t="inlineStr">
        <is>
          <t>31 000 strokes/min (62 000 mouvements/min)</t>
        </is>
      </c>
      <c r="Z29" s="20" t="inlineStr">
        <is>
          <t>1 mode Clean (2 intensités selon version)</t>
        </is>
      </c>
      <c r="AA29" s="20" t="n">
        <v>14</v>
      </c>
      <c r="AB29" s="20" t="inlineStr">
        <is>
          <t>IPX7</t>
        </is>
      </c>
      <c r="AC29" s="20" t="inlineStr">
        <is>
          <t>Oui (alerte sonore)</t>
        </is>
      </c>
      <c r="AD29" s="20" t="inlineStr">
        <is>
          <t>Socle inductif</t>
        </is>
      </c>
      <c r="AE29" s="20" t="inlineStr">
        <is>
          <t>Non vérifié sur CI, SN, BF, CM, BJ. Présence confirmée aux EAU (Noon).</t>
        </is>
      </c>
      <c r="AF29" s="20" t="inlineStr">
        <is>
          <t>Noon UAE, pharmacies et GMS</t>
        </is>
      </c>
      <c r="AG29" s="21" t="inlineStr">
        <is>
          <t>https://www.usa.philips.com/c-p/HX6817_01/sonicare-protectiveclean-4100-sonic-electric-toothbrush</t>
        </is>
      </c>
      <c r="AH29" s="21" t="inlineStr">
        <is>
          <t>https://www.noon.com/uae-en/beauty/personal-care-16343/oral-hygiene/power-toothbrushes/philips_sonicare/</t>
        </is>
      </c>
      <c r="AI29" s="20" t="inlineStr">
        <is>
          <t>Rapprochement sur la charge par socle inductif et le positionnement premium du segment sonique. Technologie BrushSync (rappel de remplacement de tête). Référence premium du segment sonique.</t>
        </is>
      </c>
      <c r="AJ29" s="22">
        <f>IFERROR(IF(IF('Relevé prix'!$B$1="SN",VLOOKUP($U29,'Relevé prix'!$A$4:$N$60,11,FALSE),VLOOKUP($U29,'Relevé prix'!$A$4:$N$60,7,FALSE))=0,"",IF('Relevé prix'!$B$1="SN",VLOOKUP($U29,'Relevé prix'!$A$4:$N$60,11,FALSE),VLOOKUP($U29,'Relevé prix'!$A$4:$N$60,7,FALSE))),"")</f>
        <v/>
      </c>
      <c r="AK29" s="23">
        <f>IFERROR(IF(IF('Relevé prix'!$B$1="SN",VLOOKUP($U29,'Relevé prix'!$A$4:$N$60,12,FALSE),VLOOKUP($U29,'Relevé prix'!$A$4:$N$60,8,FALSE))=0,"",IF('Relevé prix'!$B$1="SN",VLOOKUP($U29,'Relevé prix'!$A$4:$N$60,12,FALSE),VLOOKUP($U29,'Relevé prix'!$A$4:$N$60,8,FALSE))),"")</f>
        <v/>
      </c>
      <c r="AL29" s="24" t="n"/>
      <c r="AM29" s="25" t="n"/>
      <c r="AN29" s="25" t="n"/>
      <c r="AO29" s="22">
        <f>IF(OR(AL29="",AJ29=""),"",AL29-AJ29)</f>
        <v/>
      </c>
      <c r="AP29" s="26">
        <f>IF(OR(AL29="",AJ29="",AJ29=0),"",(AL29-AJ29)/AJ29)</f>
        <v/>
      </c>
      <c r="AQ29" s="27">
        <f>IF(AP29="","",IF(AP29&lt;-0.05,"Moins cher",IF(AP29&gt;0.05,"Plus cher","Équivalent")))</f>
        <v/>
      </c>
    </row>
    <row r="30">
      <c r="A30" s="13" t="inlineStr">
        <is>
          <t>SG-982</t>
        </is>
      </c>
      <c r="B30" s="13" t="inlineStr">
        <is>
          <t>Advanced Clean</t>
        </is>
      </c>
      <c r="C30" s="13" t="inlineStr">
        <is>
          <t>Sonique</t>
        </is>
      </c>
      <c r="D30" s="13" t="inlineStr">
        <is>
          <t>Adulte</t>
        </is>
      </c>
      <c r="E30" s="14" t="n">
        <v>32000</v>
      </c>
      <c r="F30" s="14" t="n">
        <v>42000</v>
      </c>
      <c r="G30" s="15" t="n">
        <v>9</v>
      </c>
      <c r="H30" s="15" t="n">
        <v>21</v>
      </c>
      <c r="I30" s="15" t="n">
        <v>700</v>
      </c>
      <c r="J30" s="13" t="inlineStr">
        <is>
          <t>Batterie Li-ion rechargeable</t>
        </is>
      </c>
      <c r="K30" s="13" t="inlineStr">
        <is>
          <t>Inductive (socle)</t>
        </is>
      </c>
      <c r="L30" s="16" t="inlineStr">
        <is>
          <t>N/D</t>
        </is>
      </c>
      <c r="M30" s="13" t="inlineStr">
        <is>
          <t>IPX7</t>
        </is>
      </c>
      <c r="N30" s="13" t="inlineStr">
        <is>
          <t>Non</t>
        </is>
      </c>
      <c r="O30" s="13" t="inlineStr">
        <is>
          <t>Aucun</t>
        </is>
      </c>
      <c r="P30" s="13" t="inlineStr">
        <is>
          <t>Non</t>
        </is>
      </c>
      <c r="Q30" s="17" t="n">
        <v>217</v>
      </c>
      <c r="R30" s="13" t="inlineStr">
        <is>
          <t>27.1*27.1*255 ; chargeur 400 : 62*62*41</t>
        </is>
      </c>
      <c r="S30" s="18" t="inlineStr">
        <is>
          <t>9 combinaisons (3 modes x 3 intensités), moteur à lévitation magnétique amplitude 6 mm, double moteur magnétique, système super silencieux</t>
        </is>
      </c>
      <c r="T30" s="19" t="n">
        <v>17</v>
      </c>
      <c r="U30" s="20" t="inlineStr">
        <is>
          <t>SONICARE_4100</t>
        </is>
      </c>
      <c r="V30" s="20" t="inlineStr">
        <is>
          <t>Sonicare ProtectiveClean 4100 (HX6817)</t>
        </is>
      </c>
      <c r="W30" s="20" t="inlineStr">
        <is>
          <t>Philips</t>
        </is>
      </c>
      <c r="X30" s="20" t="inlineStr">
        <is>
          <t>Sonique</t>
        </is>
      </c>
      <c r="Y30" s="20" t="inlineStr">
        <is>
          <t>31 000 strokes/min (62 000 mouvements/min)</t>
        </is>
      </c>
      <c r="Z30" s="20" t="inlineStr">
        <is>
          <t>1 mode Clean (2 intensités selon version)</t>
        </is>
      </c>
      <c r="AA30" s="20" t="n">
        <v>14</v>
      </c>
      <c r="AB30" s="20" t="inlineStr">
        <is>
          <t>IPX7</t>
        </is>
      </c>
      <c r="AC30" s="20" t="inlineStr">
        <is>
          <t>Oui (alerte sonore)</t>
        </is>
      </c>
      <c r="AD30" s="20" t="inlineStr">
        <is>
          <t>Socle inductif</t>
        </is>
      </c>
      <c r="AE30" s="20" t="inlineStr">
        <is>
          <t>Non vérifié sur CI, SN, BF, CM, BJ. Présence confirmée aux EAU (Noon).</t>
        </is>
      </c>
      <c r="AF30" s="20" t="inlineStr">
        <is>
          <t>Noon UAE, pharmacies et GMS</t>
        </is>
      </c>
      <c r="AG30" s="21" t="inlineStr">
        <is>
          <t>https://www.usa.philips.com/c-p/HX6817_01/sonicare-protectiveclean-4100-sonic-electric-toothbrush</t>
        </is>
      </c>
      <c r="AH30" s="21" t="inlineStr">
        <is>
          <t>https://www.noon.com/uae-en/beauty/personal-care-16343/oral-hygiene/power-toothbrushes/philips_sonicare/</t>
        </is>
      </c>
      <c r="AI30" s="20" t="inlineStr">
        <is>
          <t>Rapprochement sur la charge par socle inductif et le positionnement premium du segment sonique. Technologie BrushSync (rappel de remplacement de tête). Référence premium du segment sonique.</t>
        </is>
      </c>
      <c r="AJ30" s="22">
        <f>IFERROR(IF(IF('Relevé prix'!$B$1="SN",VLOOKUP($U30,'Relevé prix'!$A$4:$N$60,11,FALSE),VLOOKUP($U30,'Relevé prix'!$A$4:$N$60,7,FALSE))=0,"",IF('Relevé prix'!$B$1="SN",VLOOKUP($U30,'Relevé prix'!$A$4:$N$60,11,FALSE),VLOOKUP($U30,'Relevé prix'!$A$4:$N$60,7,FALSE))),"")</f>
        <v/>
      </c>
      <c r="AK30" s="23">
        <f>IFERROR(IF(IF('Relevé prix'!$B$1="SN",VLOOKUP($U30,'Relevé prix'!$A$4:$N$60,12,FALSE),VLOOKUP($U30,'Relevé prix'!$A$4:$N$60,8,FALSE))=0,"",IF('Relevé prix'!$B$1="SN",VLOOKUP($U30,'Relevé prix'!$A$4:$N$60,12,FALSE),VLOOKUP($U30,'Relevé prix'!$A$4:$N$60,8,FALSE))),"")</f>
        <v/>
      </c>
      <c r="AL30" s="24" t="n"/>
      <c r="AM30" s="25" t="n"/>
      <c r="AN30" s="25" t="n"/>
      <c r="AO30" s="22">
        <f>IF(OR(AL30="",AJ30=""),"",AL30-AJ30)</f>
        <v/>
      </c>
      <c r="AP30" s="26">
        <f>IF(OR(AL30="",AJ30="",AJ30=0),"",(AL30-AJ30)/AJ30)</f>
        <v/>
      </c>
      <c r="AQ30" s="27">
        <f>IF(AP30="","",IF(AP30&lt;-0.05,"Moins cher",IF(AP30&gt;0.05,"Plus cher","Équivalent")))</f>
        <v/>
      </c>
    </row>
    <row r="31">
      <c r="A31" s="28" t="inlineStr">
        <is>
          <t>SG-2009</t>
        </is>
      </c>
      <c r="B31" s="28" t="inlineStr">
        <is>
          <t>Advanced Clean</t>
        </is>
      </c>
      <c r="C31" s="28" t="inlineStr">
        <is>
          <t>Sonique</t>
        </is>
      </c>
      <c r="D31" s="28" t="inlineStr">
        <is>
          <t>Adulte</t>
        </is>
      </c>
      <c r="E31" s="29" t="n">
        <v>31000</v>
      </c>
      <c r="F31" s="29" t="n">
        <v>31000</v>
      </c>
      <c r="G31" s="30" t="n">
        <v>5</v>
      </c>
      <c r="H31" s="30" t="n">
        <v>21</v>
      </c>
      <c r="I31" s="30" t="n">
        <v>700</v>
      </c>
      <c r="J31" s="28" t="inlineStr">
        <is>
          <t>Batterie Li-ion rechargeable</t>
        </is>
      </c>
      <c r="K31" s="28" t="inlineStr">
        <is>
          <t>Inductive (socle)</t>
        </is>
      </c>
      <c r="L31" s="34" t="inlineStr">
        <is>
          <t>N/D</t>
        </is>
      </c>
      <c r="M31" s="28" t="inlineStr">
        <is>
          <t>IPX7</t>
        </is>
      </c>
      <c r="N31" s="28" t="inlineStr">
        <is>
          <t>Non</t>
        </is>
      </c>
      <c r="O31" s="28" t="inlineStr">
        <is>
          <t>Aucun</t>
        </is>
      </c>
      <c r="P31" s="28" t="inlineStr">
        <is>
          <t>Non</t>
        </is>
      </c>
      <c r="Q31" s="31" t="n">
        <v>238</v>
      </c>
      <c r="R31" s="28" t="inlineStr">
        <is>
          <t>26.7*26.7*252 ; chargeur 416 : 69*69*26.2</t>
        </is>
      </c>
      <c r="S31" s="32" t="inlineStr">
        <is>
          <t>Moteur à lévitation magnétique amplitude 6 mm, socle inductif haut de gamme avec éclairage LED, système super silencieux</t>
        </is>
      </c>
      <c r="T31" s="33" t="n">
        <v>18</v>
      </c>
      <c r="U31" s="20" t="inlineStr">
        <is>
          <t>SONICARE_4100</t>
        </is>
      </c>
      <c r="V31" s="20" t="inlineStr">
        <is>
          <t>Sonicare ProtectiveClean 4100 (HX6817)</t>
        </is>
      </c>
      <c r="W31" s="20" t="inlineStr">
        <is>
          <t>Philips</t>
        </is>
      </c>
      <c r="X31" s="20" t="inlineStr">
        <is>
          <t>Sonique</t>
        </is>
      </c>
      <c r="Y31" s="20" t="inlineStr">
        <is>
          <t>31 000 strokes/min (62 000 mouvements/min)</t>
        </is>
      </c>
      <c r="Z31" s="20" t="inlineStr">
        <is>
          <t>1 mode Clean (2 intensités selon version)</t>
        </is>
      </c>
      <c r="AA31" s="20" t="n">
        <v>14</v>
      </c>
      <c r="AB31" s="20" t="inlineStr">
        <is>
          <t>IPX7</t>
        </is>
      </c>
      <c r="AC31" s="20" t="inlineStr">
        <is>
          <t>Oui (alerte sonore)</t>
        </is>
      </c>
      <c r="AD31" s="20" t="inlineStr">
        <is>
          <t>Socle inductif</t>
        </is>
      </c>
      <c r="AE31" s="20" t="inlineStr">
        <is>
          <t>Non vérifié sur CI, SN, BF, CM, BJ. Présence confirmée aux EAU (Noon).</t>
        </is>
      </c>
      <c r="AF31" s="20" t="inlineStr">
        <is>
          <t>Noon UAE, pharmacies et GMS</t>
        </is>
      </c>
      <c r="AG31" s="21" t="inlineStr">
        <is>
          <t>https://www.usa.philips.com/c-p/HX6817_01/sonicare-protectiveclean-4100-sonic-electric-toothbrush</t>
        </is>
      </c>
      <c r="AH31" s="21" t="inlineStr">
        <is>
          <t>https://www.noon.com/uae-en/beauty/personal-care-16343/oral-hygiene/power-toothbrushes/philips_sonicare/</t>
        </is>
      </c>
      <c r="AI31" s="20" t="inlineStr">
        <is>
          <t>Rapprochement sur la charge par socle inductif et le positionnement premium du segment sonique. Technologie BrushSync (rappel de remplacement de tête). Référence premium du segment sonique.</t>
        </is>
      </c>
      <c r="AJ31" s="22">
        <f>IFERROR(IF(IF('Relevé prix'!$B$1="SN",VLOOKUP($U31,'Relevé prix'!$A$4:$N$60,11,FALSE),VLOOKUP($U31,'Relevé prix'!$A$4:$N$60,7,FALSE))=0,"",IF('Relevé prix'!$B$1="SN",VLOOKUP($U31,'Relevé prix'!$A$4:$N$60,11,FALSE),VLOOKUP($U31,'Relevé prix'!$A$4:$N$60,7,FALSE))),"")</f>
        <v/>
      </c>
      <c r="AK31" s="23">
        <f>IFERROR(IF(IF('Relevé prix'!$B$1="SN",VLOOKUP($U31,'Relevé prix'!$A$4:$N$60,12,FALSE),VLOOKUP($U31,'Relevé prix'!$A$4:$N$60,8,FALSE))=0,"",IF('Relevé prix'!$B$1="SN",VLOOKUP($U31,'Relevé prix'!$A$4:$N$60,12,FALSE),VLOOKUP($U31,'Relevé prix'!$A$4:$N$60,8,FALSE))),"")</f>
        <v/>
      </c>
      <c r="AL31" s="24" t="n"/>
      <c r="AM31" s="25" t="n"/>
      <c r="AN31" s="25" t="n"/>
      <c r="AO31" s="22">
        <f>IF(OR(AL31="",AJ31=""),"",AL31-AJ31)</f>
        <v/>
      </c>
      <c r="AP31" s="26">
        <f>IF(OR(AL31="",AJ31="",AJ31=0),"",(AL31-AJ31)/AJ31)</f>
        <v/>
      </c>
      <c r="AQ31" s="27">
        <f>IF(AP31="","",IF(AP31&lt;-0.05,"Moins cher",IF(AP31&gt;0.05,"Plus cher","Équivalent")))</f>
        <v/>
      </c>
    </row>
    <row r="32">
      <c r="A32" s="13" t="inlineStr">
        <is>
          <t>SG-998</t>
        </is>
      </c>
      <c r="B32" s="13" t="inlineStr">
        <is>
          <t>Advanced Clean</t>
        </is>
      </c>
      <c r="C32" s="13" t="inlineStr">
        <is>
          <t>Sonique</t>
        </is>
      </c>
      <c r="D32" s="13" t="inlineStr">
        <is>
          <t>Adulte</t>
        </is>
      </c>
      <c r="E32" s="14" t="n">
        <v>31000</v>
      </c>
      <c r="F32" s="14" t="n">
        <v>42000</v>
      </c>
      <c r="G32" s="15" t="n">
        <v>5</v>
      </c>
      <c r="H32" s="15" t="n">
        <v>21</v>
      </c>
      <c r="I32" s="15" t="n">
        <v>700</v>
      </c>
      <c r="J32" s="13" t="inlineStr">
        <is>
          <t>Batterie Li-ion rechargeable</t>
        </is>
      </c>
      <c r="K32" s="13" t="inlineStr">
        <is>
          <t>Inductive (socle)</t>
        </is>
      </c>
      <c r="L32" s="16" t="inlineStr">
        <is>
          <t>N/D</t>
        </is>
      </c>
      <c r="M32" s="13" t="inlineStr">
        <is>
          <t>IPX7</t>
        </is>
      </c>
      <c r="N32" s="13" t="inlineStr">
        <is>
          <t>Non</t>
        </is>
      </c>
      <c r="O32" s="13" t="inlineStr">
        <is>
          <t>Aucun</t>
        </is>
      </c>
      <c r="P32" s="13" t="inlineStr">
        <is>
          <t>Non</t>
        </is>
      </c>
      <c r="Q32" s="17" t="n">
        <v>230</v>
      </c>
      <c r="R32" s="13" t="inlineStr">
        <is>
          <t>25.6*25.7*280 ; chargeur 416 : 69*69*26.2</t>
        </is>
      </c>
      <c r="S32" s="18" t="inlineStr">
        <is>
          <t>Moteur à lévitation magnétique amplitude 6 mm, socle inductif avec éclairage LED, double moteur magnétique</t>
        </is>
      </c>
      <c r="T32" s="19" t="n">
        <v>18</v>
      </c>
      <c r="U32" s="20" t="inlineStr">
        <is>
          <t>SONICARE_4100</t>
        </is>
      </c>
      <c r="V32" s="20" t="inlineStr">
        <is>
          <t>Sonicare ProtectiveClean 4100 (HX6817)</t>
        </is>
      </c>
      <c r="W32" s="20" t="inlineStr">
        <is>
          <t>Philips</t>
        </is>
      </c>
      <c r="X32" s="20" t="inlineStr">
        <is>
          <t>Sonique</t>
        </is>
      </c>
      <c r="Y32" s="20" t="inlineStr">
        <is>
          <t>31 000 strokes/min (62 000 mouvements/min)</t>
        </is>
      </c>
      <c r="Z32" s="20" t="inlineStr">
        <is>
          <t>1 mode Clean (2 intensités selon version)</t>
        </is>
      </c>
      <c r="AA32" s="20" t="n">
        <v>14</v>
      </c>
      <c r="AB32" s="20" t="inlineStr">
        <is>
          <t>IPX7</t>
        </is>
      </c>
      <c r="AC32" s="20" t="inlineStr">
        <is>
          <t>Oui (alerte sonore)</t>
        </is>
      </c>
      <c r="AD32" s="20" t="inlineStr">
        <is>
          <t>Socle inductif</t>
        </is>
      </c>
      <c r="AE32" s="20" t="inlineStr">
        <is>
          <t>Non vérifié sur CI, SN, BF, CM, BJ. Présence confirmée aux EAU (Noon).</t>
        </is>
      </c>
      <c r="AF32" s="20" t="inlineStr">
        <is>
          <t>Noon UAE, pharmacies et GMS</t>
        </is>
      </c>
      <c r="AG32" s="21" t="inlineStr">
        <is>
          <t>https://www.usa.philips.com/c-p/HX6817_01/sonicare-protectiveclean-4100-sonic-electric-toothbrush</t>
        </is>
      </c>
      <c r="AH32" s="21" t="inlineStr">
        <is>
          <t>https://www.noon.com/uae-en/beauty/personal-care-16343/oral-hygiene/power-toothbrushes/philips_sonicare/</t>
        </is>
      </c>
      <c r="AI32" s="20" t="inlineStr">
        <is>
          <t>Rapprochement sur la charge par socle inductif et le positionnement premium du segment sonique. Technologie BrushSync (rappel de remplacement de tête). Référence premium du segment sonique.</t>
        </is>
      </c>
      <c r="AJ32" s="22">
        <f>IFERROR(IF(IF('Relevé prix'!$B$1="SN",VLOOKUP($U32,'Relevé prix'!$A$4:$N$60,11,FALSE),VLOOKUP($U32,'Relevé prix'!$A$4:$N$60,7,FALSE))=0,"",IF('Relevé prix'!$B$1="SN",VLOOKUP($U32,'Relevé prix'!$A$4:$N$60,11,FALSE),VLOOKUP($U32,'Relevé prix'!$A$4:$N$60,7,FALSE))),"")</f>
        <v/>
      </c>
      <c r="AK32" s="23">
        <f>IFERROR(IF(IF('Relevé prix'!$B$1="SN",VLOOKUP($U32,'Relevé prix'!$A$4:$N$60,12,FALSE),VLOOKUP($U32,'Relevé prix'!$A$4:$N$60,8,FALSE))=0,"",IF('Relevé prix'!$B$1="SN",VLOOKUP($U32,'Relevé prix'!$A$4:$N$60,12,FALSE),VLOOKUP($U32,'Relevé prix'!$A$4:$N$60,8,FALSE))),"")</f>
        <v/>
      </c>
      <c r="AL32" s="24" t="n"/>
      <c r="AM32" s="25" t="n"/>
      <c r="AN32" s="25" t="n"/>
      <c r="AO32" s="22">
        <f>IF(OR(AL32="",AJ32=""),"",AL32-AJ32)</f>
        <v/>
      </c>
      <c r="AP32" s="26">
        <f>IF(OR(AL32="",AJ32="",AJ32=0),"",(AL32-AJ32)/AJ32)</f>
        <v/>
      </c>
      <c r="AQ32" s="27">
        <f>IF(AP32="","",IF(AP32&lt;-0.05,"Moins cher",IF(AP32&gt;0.05,"Plus cher","Équivalent")))</f>
        <v/>
      </c>
    </row>
    <row r="33">
      <c r="A33" s="28" t="inlineStr">
        <is>
          <t>SG-986</t>
        </is>
      </c>
      <c r="B33" s="28" t="inlineStr">
        <is>
          <t>Advanced Clean</t>
        </is>
      </c>
      <c r="C33" s="28" t="inlineStr">
        <is>
          <t>Sonique</t>
        </is>
      </c>
      <c r="D33" s="28" t="inlineStr">
        <is>
          <t>Adulte</t>
        </is>
      </c>
      <c r="E33" s="29" t="n">
        <v>31000</v>
      </c>
      <c r="F33" s="29" t="n">
        <v>31000</v>
      </c>
      <c r="G33" s="30" t="n">
        <v>5</v>
      </c>
      <c r="H33" s="30" t="n">
        <v>21</v>
      </c>
      <c r="I33" s="30" t="n">
        <v>700</v>
      </c>
      <c r="J33" s="28" t="inlineStr">
        <is>
          <t>Batterie Li-ion rechargeable</t>
        </is>
      </c>
      <c r="K33" s="28" t="inlineStr">
        <is>
          <t>Inductive (socle)</t>
        </is>
      </c>
      <c r="L33" s="34" t="inlineStr">
        <is>
          <t>N/D</t>
        </is>
      </c>
      <c r="M33" s="28" t="inlineStr">
        <is>
          <t>IPX7</t>
        </is>
      </c>
      <c r="N33" s="28" t="inlineStr">
        <is>
          <t>Non</t>
        </is>
      </c>
      <c r="O33" s="28" t="inlineStr">
        <is>
          <t>Aucun</t>
        </is>
      </c>
      <c r="P33" s="28" t="inlineStr">
        <is>
          <t>Non</t>
        </is>
      </c>
      <c r="Q33" s="31" t="n">
        <v>213</v>
      </c>
      <c r="R33" s="28" t="inlineStr">
        <is>
          <t>26.4*27.6*255 ; chargeur 400 : 62*62*41</t>
        </is>
      </c>
      <c r="S33" s="32" t="inlineStr">
        <is>
          <t>Moteur à lévitation magnétique amplitude 6 mm, double moteur magnétique, système super silencieux</t>
        </is>
      </c>
      <c r="T33" s="33" t="n">
        <v>19</v>
      </c>
      <c r="U33" s="20" t="inlineStr">
        <is>
          <t>SONICARE_4100</t>
        </is>
      </c>
      <c r="V33" s="20" t="inlineStr">
        <is>
          <t>Sonicare ProtectiveClean 4100 (HX6817)</t>
        </is>
      </c>
      <c r="W33" s="20" t="inlineStr">
        <is>
          <t>Philips</t>
        </is>
      </c>
      <c r="X33" s="20" t="inlineStr">
        <is>
          <t>Sonique</t>
        </is>
      </c>
      <c r="Y33" s="20" t="inlineStr">
        <is>
          <t>31 000 strokes/min (62 000 mouvements/min)</t>
        </is>
      </c>
      <c r="Z33" s="20" t="inlineStr">
        <is>
          <t>1 mode Clean (2 intensités selon version)</t>
        </is>
      </c>
      <c r="AA33" s="20" t="n">
        <v>14</v>
      </c>
      <c r="AB33" s="20" t="inlineStr">
        <is>
          <t>IPX7</t>
        </is>
      </c>
      <c r="AC33" s="20" t="inlineStr">
        <is>
          <t>Oui (alerte sonore)</t>
        </is>
      </c>
      <c r="AD33" s="20" t="inlineStr">
        <is>
          <t>Socle inductif</t>
        </is>
      </c>
      <c r="AE33" s="20" t="inlineStr">
        <is>
          <t>Non vérifié sur CI, SN, BF, CM, BJ. Présence confirmée aux EAU (Noon).</t>
        </is>
      </c>
      <c r="AF33" s="20" t="inlineStr">
        <is>
          <t>Noon UAE, pharmacies et GMS</t>
        </is>
      </c>
      <c r="AG33" s="21" t="inlineStr">
        <is>
          <t>https://www.usa.philips.com/c-p/HX6817_01/sonicare-protectiveclean-4100-sonic-electric-toothbrush</t>
        </is>
      </c>
      <c r="AH33" s="21" t="inlineStr">
        <is>
          <t>https://www.noon.com/uae-en/beauty/personal-care-16343/oral-hygiene/power-toothbrushes/philips_sonicare/</t>
        </is>
      </c>
      <c r="AI33" s="20" t="inlineStr">
        <is>
          <t>Rapprochement sur la charge par socle inductif et le positionnement premium du segment sonique. Technologie BrushSync (rappel de remplacement de tête). Référence premium du segment sonique.</t>
        </is>
      </c>
      <c r="AJ33" s="22">
        <f>IFERROR(IF(IF('Relevé prix'!$B$1="SN",VLOOKUP($U33,'Relevé prix'!$A$4:$N$60,11,FALSE),VLOOKUP($U33,'Relevé prix'!$A$4:$N$60,7,FALSE))=0,"",IF('Relevé prix'!$B$1="SN",VLOOKUP($U33,'Relevé prix'!$A$4:$N$60,11,FALSE),VLOOKUP($U33,'Relevé prix'!$A$4:$N$60,7,FALSE))),"")</f>
        <v/>
      </c>
      <c r="AK33" s="23">
        <f>IFERROR(IF(IF('Relevé prix'!$B$1="SN",VLOOKUP($U33,'Relevé prix'!$A$4:$N$60,12,FALSE),VLOOKUP($U33,'Relevé prix'!$A$4:$N$60,8,FALSE))=0,"",IF('Relevé prix'!$B$1="SN",VLOOKUP($U33,'Relevé prix'!$A$4:$N$60,12,FALSE),VLOOKUP($U33,'Relevé prix'!$A$4:$N$60,8,FALSE))),"")</f>
        <v/>
      </c>
      <c r="AL33" s="24" t="n"/>
      <c r="AM33" s="25" t="n"/>
      <c r="AN33" s="25" t="n"/>
      <c r="AO33" s="22">
        <f>IF(OR(AL33="",AJ33=""),"",AL33-AJ33)</f>
        <v/>
      </c>
      <c r="AP33" s="26">
        <f>IF(OR(AL33="",AJ33="",AJ33=0),"",(AL33-AJ33)/AJ33)</f>
        <v/>
      </c>
      <c r="AQ33" s="27">
        <f>IF(AP33="","",IF(AP33&lt;-0.05,"Moins cher",IF(AP33&gt;0.05,"Plus cher","Équivalent")))</f>
        <v/>
      </c>
    </row>
    <row r="34">
      <c r="A34" s="13" t="inlineStr">
        <is>
          <t>SG-972</t>
        </is>
      </c>
      <c r="B34" s="13" t="inlineStr">
        <is>
          <t>Advanced Clean</t>
        </is>
      </c>
      <c r="C34" s="13" t="inlineStr">
        <is>
          <t>Sonique</t>
        </is>
      </c>
      <c r="D34" s="13" t="inlineStr">
        <is>
          <t>Adulte</t>
        </is>
      </c>
      <c r="E34" s="14" t="n">
        <v>35000</v>
      </c>
      <c r="F34" s="14" t="n">
        <v>42000</v>
      </c>
      <c r="G34" s="15" t="n">
        <v>5</v>
      </c>
      <c r="H34" s="15" t="n">
        <v>21</v>
      </c>
      <c r="I34" s="15" t="n">
        <v>700</v>
      </c>
      <c r="J34" s="13" t="inlineStr">
        <is>
          <t>Batterie Li-ion rechargeable</t>
        </is>
      </c>
      <c r="K34" s="13" t="inlineStr">
        <is>
          <t>USB ou inductive</t>
        </is>
      </c>
      <c r="L34" s="16" t="inlineStr">
        <is>
          <t>N/D</t>
        </is>
      </c>
      <c r="M34" s="13" t="inlineStr">
        <is>
          <t>IPX7</t>
        </is>
      </c>
      <c r="N34" s="13" t="inlineStr">
        <is>
          <t>Non</t>
        </is>
      </c>
      <c r="O34" s="13" t="inlineStr">
        <is>
          <t>Aucun</t>
        </is>
      </c>
      <c r="P34" s="13" t="inlineStr">
        <is>
          <t>Non</t>
        </is>
      </c>
      <c r="Q34" s="17" t="n">
        <v>102</v>
      </c>
      <c r="R34" s="13" t="inlineStr">
        <is>
          <t>26.9*26.4*253</t>
        </is>
      </c>
      <c r="S34" s="18" t="inlineStr">
        <is>
          <t>Moteur à lévitation magnétique amplitude 6 mm, impression intégrale du manche possible, double moteur magnétique</t>
        </is>
      </c>
      <c r="T34" s="19" t="n">
        <v>19</v>
      </c>
      <c r="U34" s="20" t="inlineStr">
        <is>
          <t>ADDIGOES</t>
        </is>
      </c>
      <c r="V34" s="20" t="inlineStr">
        <is>
          <t>Brosse sonique USB 6 modes, 4 têtes</t>
        </is>
      </c>
      <c r="W34" s="20" t="inlineStr">
        <is>
          <t>Addigoes (marketplace)</t>
        </is>
      </c>
      <c r="X34" s="20" t="inlineStr">
        <is>
          <t>Sonique</t>
        </is>
      </c>
      <c r="Y34" s="20" t="inlineStr">
        <is>
          <t>42 000 vibrations/min</t>
        </is>
      </c>
      <c r="Z34" s="20" t="inlineStr">
        <is>
          <t>6 modes</t>
        </is>
      </c>
      <c r="AA34" s="20" t="n">
        <v>60</v>
      </c>
      <c r="AB34" s="20" t="inlineStr">
        <is>
          <t>Étanche (indice non précisé)</t>
        </is>
      </c>
      <c r="AC34" s="20" t="inlineStr">
        <is>
          <t>Non</t>
        </is>
      </c>
      <c r="AD34" s="20" t="inlineStr">
        <is>
          <t>USB</t>
        </is>
      </c>
      <c r="AE34" s="20" t="inlineStr">
        <is>
          <t>CI vérifié (Jumia). Équivalent générique vérifié au SN (sonique X3, 8 têtes). BF, CM, BJ non vérifiés.</t>
        </is>
      </c>
      <c r="AF34" s="20" t="inlineStr">
        <is>
          <t>Jumia CI</t>
        </is>
      </c>
      <c r="AG34" s="21" t="inlineStr">
        <is>
          <t>https://www.jumia.ci/addigoes-brosse-a-dents-electrique-sonique-rechargeable-usb-6-modes-etanche-haute-frequence-4-tetes-de-brosse-nettoyage-dentaire-professionnel-noir-30497266.html</t>
        </is>
      </c>
      <c r="AH34" s="21" t="inlineStr">
        <is>
          <t>https://www.jumia.ci/brosse-a-dents-electrique/</t>
        </is>
      </c>
      <c r="AI34" s="20" t="inlineStr">
        <is>
          <t>Rapprochement sur la haute fréquence (40 000 mouvements/min et plus) et le nombre élevé de modes. Amplitude 6 mm annoncée et pack 4 têtes, concurrent frontal des SEAGO à moteur magnétique.</t>
        </is>
      </c>
      <c r="AJ34" s="22">
        <f>IFERROR(IF(IF('Relevé prix'!$B$1="SN",VLOOKUP($U34,'Relevé prix'!$A$4:$N$60,11,FALSE),VLOOKUP($U34,'Relevé prix'!$A$4:$N$60,7,FALSE))=0,"",IF('Relevé prix'!$B$1="SN",VLOOKUP($U34,'Relevé prix'!$A$4:$N$60,11,FALSE),VLOOKUP($U34,'Relevé prix'!$A$4:$N$60,7,FALSE))),"")</f>
        <v/>
      </c>
      <c r="AK34" s="23">
        <f>IFERROR(IF(IF('Relevé prix'!$B$1="SN",VLOOKUP($U34,'Relevé prix'!$A$4:$N$60,12,FALSE),VLOOKUP($U34,'Relevé prix'!$A$4:$N$60,8,FALSE))=0,"",IF('Relevé prix'!$B$1="SN",VLOOKUP($U34,'Relevé prix'!$A$4:$N$60,12,FALSE),VLOOKUP($U34,'Relevé prix'!$A$4:$N$60,8,FALSE))),"")</f>
        <v/>
      </c>
      <c r="AL34" s="24" t="n"/>
      <c r="AM34" s="25" t="n"/>
      <c r="AN34" s="25" t="n"/>
      <c r="AO34" s="22">
        <f>IF(OR(AL34="",AJ34=""),"",AL34-AJ34)</f>
        <v/>
      </c>
      <c r="AP34" s="26">
        <f>IF(OR(AL34="",AJ34="",AJ34=0),"",(AL34-AJ34)/AJ34)</f>
        <v/>
      </c>
      <c r="AQ34" s="27">
        <f>IF(AP34="","",IF(AP34&lt;-0.05,"Moins cher",IF(AP34&gt;0.05,"Plus cher","Équivalent")))</f>
        <v/>
      </c>
    </row>
    <row r="35">
      <c r="A35" s="28" t="inlineStr">
        <is>
          <t>SG-987</t>
        </is>
      </c>
      <c r="B35" s="28" t="inlineStr">
        <is>
          <t>Advanced Clean</t>
        </is>
      </c>
      <c r="C35" s="28" t="inlineStr">
        <is>
          <t>Sonique</t>
        </is>
      </c>
      <c r="D35" s="28" t="inlineStr">
        <is>
          <t>Adulte</t>
        </is>
      </c>
      <c r="E35" s="29" t="n">
        <v>31000</v>
      </c>
      <c r="F35" s="29" t="n">
        <v>31000</v>
      </c>
      <c r="G35" s="30" t="n">
        <v>3</v>
      </c>
      <c r="H35" s="35" t="inlineStr">
        <is>
          <t>N/D</t>
        </is>
      </c>
      <c r="I35" s="30" t="n">
        <v>700</v>
      </c>
      <c r="J35" s="28" t="inlineStr">
        <is>
          <t>Batterie Li-ion rechargeable</t>
        </is>
      </c>
      <c r="K35" s="28" t="inlineStr">
        <is>
          <t>Inductive (socle)</t>
        </is>
      </c>
      <c r="L35" s="34" t="inlineStr">
        <is>
          <t>N/D</t>
        </is>
      </c>
      <c r="M35" s="28" t="inlineStr">
        <is>
          <t>IPX7</t>
        </is>
      </c>
      <c r="N35" s="28" t="inlineStr">
        <is>
          <t>Non</t>
        </is>
      </c>
      <c r="O35" s="28" t="inlineStr">
        <is>
          <t>Aucun</t>
        </is>
      </c>
      <c r="P35" s="28" t="inlineStr">
        <is>
          <t>Non</t>
        </is>
      </c>
      <c r="Q35" s="31" t="n">
        <v>210</v>
      </c>
      <c r="R35" s="28" t="inlineStr">
        <is>
          <t>28.3*27.6*252.5 ; chargeur 400 : 62*62*41</t>
        </is>
      </c>
      <c r="S35" s="32" t="inlineStr">
        <is>
          <t>Design diamant, moteur à lévitation magnétique amplitude 6 mm, double moteur magnétique, système super silencieux</t>
        </is>
      </c>
      <c r="T35" s="33" t="n">
        <v>20</v>
      </c>
      <c r="U35" s="20" t="inlineStr">
        <is>
          <t>SONICARE_4100</t>
        </is>
      </c>
      <c r="V35" s="20" t="inlineStr">
        <is>
          <t>Sonicare ProtectiveClean 4100 (HX6817)</t>
        </is>
      </c>
      <c r="W35" s="20" t="inlineStr">
        <is>
          <t>Philips</t>
        </is>
      </c>
      <c r="X35" s="20" t="inlineStr">
        <is>
          <t>Sonique</t>
        </is>
      </c>
      <c r="Y35" s="20" t="inlineStr">
        <is>
          <t>31 000 strokes/min (62 000 mouvements/min)</t>
        </is>
      </c>
      <c r="Z35" s="20" t="inlineStr">
        <is>
          <t>1 mode Clean (2 intensités selon version)</t>
        </is>
      </c>
      <c r="AA35" s="20" t="n">
        <v>14</v>
      </c>
      <c r="AB35" s="20" t="inlineStr">
        <is>
          <t>IPX7</t>
        </is>
      </c>
      <c r="AC35" s="20" t="inlineStr">
        <is>
          <t>Oui (alerte sonore)</t>
        </is>
      </c>
      <c r="AD35" s="20" t="inlineStr">
        <is>
          <t>Socle inductif</t>
        </is>
      </c>
      <c r="AE35" s="20" t="inlineStr">
        <is>
          <t>Non vérifié sur CI, SN, BF, CM, BJ. Présence confirmée aux EAU (Noon).</t>
        </is>
      </c>
      <c r="AF35" s="20" t="inlineStr">
        <is>
          <t>Noon UAE, pharmacies et GMS</t>
        </is>
      </c>
      <c r="AG35" s="21" t="inlineStr">
        <is>
          <t>https://www.usa.philips.com/c-p/HX6817_01/sonicare-protectiveclean-4100-sonic-electric-toothbrush</t>
        </is>
      </c>
      <c r="AH35" s="21" t="inlineStr">
        <is>
          <t>https://www.noon.com/uae-en/beauty/personal-care-16343/oral-hygiene/power-toothbrushes/philips_sonicare/</t>
        </is>
      </c>
      <c r="AI35" s="20" t="inlineStr">
        <is>
          <t>Rapprochement sur la charge par socle inductif et le positionnement premium du segment sonique. Technologie BrushSync (rappel de remplacement de tête). Référence premium du segment sonique.</t>
        </is>
      </c>
      <c r="AJ35" s="22">
        <f>IFERROR(IF(IF('Relevé prix'!$B$1="SN",VLOOKUP($U35,'Relevé prix'!$A$4:$N$60,11,FALSE),VLOOKUP($U35,'Relevé prix'!$A$4:$N$60,7,FALSE))=0,"",IF('Relevé prix'!$B$1="SN",VLOOKUP($U35,'Relevé prix'!$A$4:$N$60,11,FALSE),VLOOKUP($U35,'Relevé prix'!$A$4:$N$60,7,FALSE))),"")</f>
        <v/>
      </c>
      <c r="AK35" s="23">
        <f>IFERROR(IF(IF('Relevé prix'!$B$1="SN",VLOOKUP($U35,'Relevé prix'!$A$4:$N$60,12,FALSE),VLOOKUP($U35,'Relevé prix'!$A$4:$N$60,8,FALSE))=0,"",IF('Relevé prix'!$B$1="SN",VLOOKUP($U35,'Relevé prix'!$A$4:$N$60,12,FALSE),VLOOKUP($U35,'Relevé prix'!$A$4:$N$60,8,FALSE))),"")</f>
        <v/>
      </c>
      <c r="AL35" s="24" t="n"/>
      <c r="AM35" s="25" t="n"/>
      <c r="AN35" s="25" t="n"/>
      <c r="AO35" s="22">
        <f>IF(OR(AL35="",AJ35=""),"",AL35-AJ35)</f>
        <v/>
      </c>
      <c r="AP35" s="26">
        <f>IF(OR(AL35="",AJ35="",AJ35=0),"",(AL35-AJ35)/AJ35)</f>
        <v/>
      </c>
      <c r="AQ35" s="27">
        <f>IF(AP35="","",IF(AP35&lt;-0.05,"Moins cher",IF(AP35&gt;0.05,"Plus cher","Équivalent")))</f>
        <v/>
      </c>
    </row>
    <row r="36">
      <c r="A36" s="13" t="inlineStr">
        <is>
          <t>SG-585</t>
        </is>
      </c>
      <c r="B36" s="13" t="inlineStr">
        <is>
          <t>Advanced Clean</t>
        </is>
      </c>
      <c r="C36" s="13" t="inlineStr">
        <is>
          <t>Sonique</t>
        </is>
      </c>
      <c r="D36" s="13" t="inlineStr">
        <is>
          <t>Adulte</t>
        </is>
      </c>
      <c r="E36" s="14" t="n">
        <v>35000</v>
      </c>
      <c r="F36" s="14" t="n">
        <v>35000</v>
      </c>
      <c r="G36" s="15" t="n">
        <v>3</v>
      </c>
      <c r="H36" s="15" t="n">
        <v>21</v>
      </c>
      <c r="I36" s="15" t="n">
        <v>600</v>
      </c>
      <c r="J36" s="13" t="inlineStr">
        <is>
          <t>Batterie Li-ion rechargeable</t>
        </is>
      </c>
      <c r="K36" s="13" t="inlineStr">
        <is>
          <t>Magnétique</t>
        </is>
      </c>
      <c r="L36" s="16" t="inlineStr">
        <is>
          <t>N/D</t>
        </is>
      </c>
      <c r="M36" s="13" t="inlineStr">
        <is>
          <t>IPX7</t>
        </is>
      </c>
      <c r="N36" s="13" t="inlineStr">
        <is>
          <t>Non</t>
        </is>
      </c>
      <c r="O36" s="13" t="inlineStr">
        <is>
          <t>Aucun</t>
        </is>
      </c>
      <c r="P36" s="13" t="inlineStr">
        <is>
          <t>Non</t>
        </is>
      </c>
      <c r="Q36" s="17" t="n">
        <v>80</v>
      </c>
      <c r="R36" s="13" t="inlineStr">
        <is>
          <t>23.8*21.1*193.3</t>
        </is>
      </c>
      <c r="S36" s="18" t="inlineStr">
        <is>
          <t>Format voyage, moteur à lévitation magnétique, charge par aimantation, double moteur magnétique</t>
        </is>
      </c>
      <c r="T36" s="19" t="n">
        <v>20</v>
      </c>
      <c r="U36" s="20" t="inlineStr">
        <is>
          <t>SURI_JUMIA</t>
        </is>
      </c>
      <c r="V36" s="20" t="inlineStr">
        <is>
          <t>Brosse à dents électrique sonique durable</t>
        </is>
      </c>
      <c r="W36" s="20" t="inlineStr">
        <is>
          <t>Suri (marketplace)</t>
        </is>
      </c>
      <c r="X36" s="20" t="inlineStr">
        <is>
          <t>Sonique</t>
        </is>
      </c>
      <c r="Y36" s="20" t="inlineStr">
        <is>
          <t>40 000 VPM</t>
        </is>
      </c>
      <c r="Z36" s="20" t="inlineStr">
        <is>
          <t>5 modes (Clean, White, Polish, Soft, Gum Care)</t>
        </is>
      </c>
      <c r="AA36" s="20" t="n">
        <v>30</v>
      </c>
      <c r="AB36" s="37" t="inlineStr">
        <is>
          <t>N/D</t>
        </is>
      </c>
      <c r="AC36" s="20" t="inlineStr">
        <is>
          <t>Non</t>
        </is>
      </c>
      <c r="AD36" s="20" t="inlineStr">
        <is>
          <t>Li-ion, charge rapide 4 h</t>
        </is>
      </c>
      <c r="AE36" s="20" t="inlineStr">
        <is>
          <t>CI vérifié (Jumia). SN, BF, CM, BJ non vérifiés.</t>
        </is>
      </c>
      <c r="AF36" s="20" t="inlineStr">
        <is>
          <t>Jumia CI</t>
        </is>
      </c>
      <c r="AG36" s="21" t="inlineStr">
        <is>
          <t>https://www.jumia.ci/slp/brosse-a-dents-electrique-durable-suri</t>
        </is>
      </c>
      <c r="AH36" s="21" t="inlineStr">
        <is>
          <t>https://www.jumia.ci/brosse-a-dents-electrique/</t>
        </is>
      </c>
      <c r="AI36" s="20" t="inlineStr">
        <is>
          <t>Rapprochement sur le positionnement marketplace : specs proches, marque non installée. Offre marketplace au positionnement identique à SEAGO : mêmes specs annoncées, marque non installée.</t>
        </is>
      </c>
      <c r="AJ36" s="22">
        <f>IFERROR(IF(IF('Relevé prix'!$B$1="SN",VLOOKUP($U36,'Relevé prix'!$A$4:$N$60,11,FALSE),VLOOKUP($U36,'Relevé prix'!$A$4:$N$60,7,FALSE))=0,"",IF('Relevé prix'!$B$1="SN",VLOOKUP($U36,'Relevé prix'!$A$4:$N$60,11,FALSE),VLOOKUP($U36,'Relevé prix'!$A$4:$N$60,7,FALSE))),"")</f>
        <v/>
      </c>
      <c r="AK36" s="23">
        <f>IFERROR(IF(IF('Relevé prix'!$B$1="SN",VLOOKUP($U36,'Relevé prix'!$A$4:$N$60,12,FALSE),VLOOKUP($U36,'Relevé prix'!$A$4:$N$60,8,FALSE))=0,"",IF('Relevé prix'!$B$1="SN",VLOOKUP($U36,'Relevé prix'!$A$4:$N$60,12,FALSE),VLOOKUP($U36,'Relevé prix'!$A$4:$N$60,8,FALSE))),"")</f>
        <v/>
      </c>
      <c r="AL36" s="24" t="n"/>
      <c r="AM36" s="25" t="n"/>
      <c r="AN36" s="25" t="n"/>
      <c r="AO36" s="22">
        <f>IF(OR(AL36="",AJ36=""),"",AL36-AJ36)</f>
        <v/>
      </c>
      <c r="AP36" s="26">
        <f>IF(OR(AL36="",AJ36="",AJ36=0),"",(AL36-AJ36)/AJ36)</f>
        <v/>
      </c>
      <c r="AQ36" s="27">
        <f>IF(AP36="","",IF(AP36&lt;-0.05,"Moins cher",IF(AP36&gt;0.05,"Plus cher","Équivalent")))</f>
        <v/>
      </c>
    </row>
    <row r="37">
      <c r="A37" s="28" t="inlineStr">
        <is>
          <t>SG-539</t>
        </is>
      </c>
      <c r="B37" s="28" t="inlineStr">
        <is>
          <t>Advanced Clean</t>
        </is>
      </c>
      <c r="C37" s="28" t="inlineStr">
        <is>
          <t>Sonique</t>
        </is>
      </c>
      <c r="D37" s="28" t="inlineStr">
        <is>
          <t>Adulte (senior)</t>
        </is>
      </c>
      <c r="E37" s="29" t="n">
        <v>32000</v>
      </c>
      <c r="F37" s="29" t="n">
        <v>42000</v>
      </c>
      <c r="G37" s="30" t="n">
        <v>2</v>
      </c>
      <c r="H37" s="30" t="n">
        <v>21</v>
      </c>
      <c r="I37" s="30" t="n">
        <v>700</v>
      </c>
      <c r="J37" s="28" t="inlineStr">
        <is>
          <t>Batterie Li-ion rechargeable</t>
        </is>
      </c>
      <c r="K37" s="28" t="inlineStr">
        <is>
          <t>Inductive (socle)</t>
        </is>
      </c>
      <c r="L37" s="34" t="inlineStr">
        <is>
          <t>N/D</t>
        </is>
      </c>
      <c r="M37" s="28" t="inlineStr">
        <is>
          <t>IPX7</t>
        </is>
      </c>
      <c r="N37" s="28" t="inlineStr">
        <is>
          <t>Non</t>
        </is>
      </c>
      <c r="O37" s="28" t="inlineStr">
        <is>
          <t>Aucun</t>
        </is>
      </c>
      <c r="P37" s="28" t="inlineStr">
        <is>
          <t>Oui</t>
        </is>
      </c>
      <c r="Q37" s="31" t="n">
        <v>244</v>
      </c>
      <c r="R37" s="28" t="inlineStr">
        <is>
          <t>34.0*29.8*220</t>
        </is>
      </c>
      <c r="S37" s="32" t="inlineStr">
        <is>
          <t>Utilisation simplifiée pensée pour les seniors, moteur à lévitation magnétique amplitude 6 mm, étui de voyage fourni</t>
        </is>
      </c>
      <c r="T37" s="33" t="n">
        <v>21</v>
      </c>
      <c r="U37" s="20" t="inlineStr">
        <is>
          <t>SONICARE_4100</t>
        </is>
      </c>
      <c r="V37" s="20" t="inlineStr">
        <is>
          <t>Sonicare ProtectiveClean 4100 (HX6817)</t>
        </is>
      </c>
      <c r="W37" s="20" t="inlineStr">
        <is>
          <t>Philips</t>
        </is>
      </c>
      <c r="X37" s="20" t="inlineStr">
        <is>
          <t>Sonique</t>
        </is>
      </c>
      <c r="Y37" s="20" t="inlineStr">
        <is>
          <t>31 000 strokes/min (62 000 mouvements/min)</t>
        </is>
      </c>
      <c r="Z37" s="20" t="inlineStr">
        <is>
          <t>1 mode Clean (2 intensités selon version)</t>
        </is>
      </c>
      <c r="AA37" s="20" t="n">
        <v>14</v>
      </c>
      <c r="AB37" s="20" t="inlineStr">
        <is>
          <t>IPX7</t>
        </is>
      </c>
      <c r="AC37" s="20" t="inlineStr">
        <is>
          <t>Oui (alerte sonore)</t>
        </is>
      </c>
      <c r="AD37" s="20" t="inlineStr">
        <is>
          <t>Socle inductif</t>
        </is>
      </c>
      <c r="AE37" s="20" t="inlineStr">
        <is>
          <t>Non vérifié sur CI, SN, BF, CM, BJ. Présence confirmée aux EAU (Noon).</t>
        </is>
      </c>
      <c r="AF37" s="20" t="inlineStr">
        <is>
          <t>Noon UAE, pharmacies et GMS</t>
        </is>
      </c>
      <c r="AG37" s="21" t="inlineStr">
        <is>
          <t>https://www.usa.philips.com/c-p/HX6817_01/sonicare-protectiveclean-4100-sonic-electric-toothbrush</t>
        </is>
      </c>
      <c r="AH37" s="21" t="inlineStr">
        <is>
          <t>https://www.noon.com/uae-en/beauty/personal-care-16343/oral-hygiene/power-toothbrushes/philips_sonicare/</t>
        </is>
      </c>
      <c r="AI37" s="20" t="inlineStr">
        <is>
          <t>Rapprochement sur la charge par socle inductif et le positionnement premium du segment sonique. Technologie BrushSync (rappel de remplacement de tête). Référence premium du segment sonique.</t>
        </is>
      </c>
      <c r="AJ37" s="22">
        <f>IFERROR(IF(IF('Relevé prix'!$B$1="SN",VLOOKUP($U37,'Relevé prix'!$A$4:$N$60,11,FALSE),VLOOKUP($U37,'Relevé prix'!$A$4:$N$60,7,FALSE))=0,"",IF('Relevé prix'!$B$1="SN",VLOOKUP($U37,'Relevé prix'!$A$4:$N$60,11,FALSE),VLOOKUP($U37,'Relevé prix'!$A$4:$N$60,7,FALSE))),"")</f>
        <v/>
      </c>
      <c r="AK37" s="23">
        <f>IFERROR(IF(IF('Relevé prix'!$B$1="SN",VLOOKUP($U37,'Relevé prix'!$A$4:$N$60,12,FALSE),VLOOKUP($U37,'Relevé prix'!$A$4:$N$60,8,FALSE))=0,"",IF('Relevé prix'!$B$1="SN",VLOOKUP($U37,'Relevé prix'!$A$4:$N$60,12,FALSE),VLOOKUP($U37,'Relevé prix'!$A$4:$N$60,8,FALSE))),"")</f>
        <v/>
      </c>
      <c r="AL37" s="24" t="n"/>
      <c r="AM37" s="25" t="n"/>
      <c r="AN37" s="25" t="n"/>
      <c r="AO37" s="22">
        <f>IF(OR(AL37="",AJ37=""),"",AL37-AJ37)</f>
        <v/>
      </c>
      <c r="AP37" s="26">
        <f>IF(OR(AL37="",AJ37="",AJ37=0),"",(AL37-AJ37)/AJ37)</f>
        <v/>
      </c>
      <c r="AQ37" s="27">
        <f>IF(AP37="","",IF(AP37&lt;-0.05,"Moins cher",IF(AP37&gt;0.05,"Plus cher","Équivalent")))</f>
        <v/>
      </c>
    </row>
    <row r="38">
      <c r="A38" s="13" t="inlineStr">
        <is>
          <t>SG-540</t>
        </is>
      </c>
      <c r="B38" s="13" t="inlineStr">
        <is>
          <t>Advanced Clean</t>
        </is>
      </c>
      <c r="C38" s="13" t="inlineStr">
        <is>
          <t>Sonique</t>
        </is>
      </c>
      <c r="D38" s="13" t="inlineStr">
        <is>
          <t>Adulte</t>
        </is>
      </c>
      <c r="E38" s="14" t="n">
        <v>32000</v>
      </c>
      <c r="F38" s="14" t="n">
        <v>42000</v>
      </c>
      <c r="G38" s="15" t="n">
        <v>5</v>
      </c>
      <c r="H38" s="15" t="n">
        <v>21</v>
      </c>
      <c r="I38" s="15" t="n">
        <v>700</v>
      </c>
      <c r="J38" s="13" t="inlineStr">
        <is>
          <t>Batterie Li-ion rechargeable</t>
        </is>
      </c>
      <c r="K38" s="13" t="inlineStr">
        <is>
          <t>Inductive (socle) ou USB</t>
        </is>
      </c>
      <c r="L38" s="16" t="inlineStr">
        <is>
          <t>N/D</t>
        </is>
      </c>
      <c r="M38" s="13" t="inlineStr">
        <is>
          <t>IPX7</t>
        </is>
      </c>
      <c r="N38" s="13" t="inlineStr">
        <is>
          <t>Non</t>
        </is>
      </c>
      <c r="O38" s="13" t="inlineStr">
        <is>
          <t>Aucun</t>
        </is>
      </c>
      <c r="P38" s="13" t="inlineStr">
        <is>
          <t>Non</t>
        </is>
      </c>
      <c r="Q38" s="17" t="n">
        <v>220</v>
      </c>
      <c r="R38" s="13" t="inlineStr">
        <is>
          <t>27.2*28.6*226</t>
        </is>
      </c>
      <c r="S38" s="18" t="inlineStr">
        <is>
          <t>Moteur à lévitation magnétique amplitude 6 mm, manche antidérapant, double moteur magnétique, version USB en option</t>
        </is>
      </c>
      <c r="T38" s="19" t="n">
        <v>21</v>
      </c>
      <c r="U38" s="20" t="inlineStr">
        <is>
          <t>SONICARE_4100</t>
        </is>
      </c>
      <c r="V38" s="20" t="inlineStr">
        <is>
          <t>Sonicare ProtectiveClean 4100 (HX6817)</t>
        </is>
      </c>
      <c r="W38" s="20" t="inlineStr">
        <is>
          <t>Philips</t>
        </is>
      </c>
      <c r="X38" s="20" t="inlineStr">
        <is>
          <t>Sonique</t>
        </is>
      </c>
      <c r="Y38" s="20" t="inlineStr">
        <is>
          <t>31 000 strokes/min (62 000 mouvements/min)</t>
        </is>
      </c>
      <c r="Z38" s="20" t="inlineStr">
        <is>
          <t>1 mode Clean (2 intensités selon version)</t>
        </is>
      </c>
      <c r="AA38" s="20" t="n">
        <v>14</v>
      </c>
      <c r="AB38" s="20" t="inlineStr">
        <is>
          <t>IPX7</t>
        </is>
      </c>
      <c r="AC38" s="20" t="inlineStr">
        <is>
          <t>Oui (alerte sonore)</t>
        </is>
      </c>
      <c r="AD38" s="20" t="inlineStr">
        <is>
          <t>Socle inductif</t>
        </is>
      </c>
      <c r="AE38" s="20" t="inlineStr">
        <is>
          <t>Non vérifié sur CI, SN, BF, CM, BJ. Présence confirmée aux EAU (Noon).</t>
        </is>
      </c>
      <c r="AF38" s="20" t="inlineStr">
        <is>
          <t>Noon UAE, pharmacies et GMS</t>
        </is>
      </c>
      <c r="AG38" s="21" t="inlineStr">
        <is>
          <t>https://www.usa.philips.com/c-p/HX6817_01/sonicare-protectiveclean-4100-sonic-electric-toothbrush</t>
        </is>
      </c>
      <c r="AH38" s="21" t="inlineStr">
        <is>
          <t>https://www.noon.com/uae-en/beauty/personal-care-16343/oral-hygiene/power-toothbrushes/philips_sonicare/</t>
        </is>
      </c>
      <c r="AI38" s="20" t="inlineStr">
        <is>
          <t>Rapprochement sur la charge par socle inductif et le positionnement premium du segment sonique. Technologie BrushSync (rappel de remplacement de tête). Référence premium du segment sonique.</t>
        </is>
      </c>
      <c r="AJ38" s="22">
        <f>IFERROR(IF(IF('Relevé prix'!$B$1="SN",VLOOKUP($U38,'Relevé prix'!$A$4:$N$60,11,FALSE),VLOOKUP($U38,'Relevé prix'!$A$4:$N$60,7,FALSE))=0,"",IF('Relevé prix'!$B$1="SN",VLOOKUP($U38,'Relevé prix'!$A$4:$N$60,11,FALSE),VLOOKUP($U38,'Relevé prix'!$A$4:$N$60,7,FALSE))),"")</f>
        <v/>
      </c>
      <c r="AK38" s="23">
        <f>IFERROR(IF(IF('Relevé prix'!$B$1="SN",VLOOKUP($U38,'Relevé prix'!$A$4:$N$60,12,FALSE),VLOOKUP($U38,'Relevé prix'!$A$4:$N$60,8,FALSE))=0,"",IF('Relevé prix'!$B$1="SN",VLOOKUP($U38,'Relevé prix'!$A$4:$N$60,12,FALSE),VLOOKUP($U38,'Relevé prix'!$A$4:$N$60,8,FALSE))),"")</f>
        <v/>
      </c>
      <c r="AL38" s="24" t="n"/>
      <c r="AM38" s="25" t="n"/>
      <c r="AN38" s="25" t="n"/>
      <c r="AO38" s="22">
        <f>IF(OR(AL38="",AJ38=""),"",AL38-AJ38)</f>
        <v/>
      </c>
      <c r="AP38" s="26">
        <f>IF(OR(AL38="",AJ38="",AJ38=0),"",(AL38-AJ38)/AJ38)</f>
        <v/>
      </c>
      <c r="AQ38" s="27">
        <f>IF(AP38="","",IF(AP38&lt;-0.05,"Moins cher",IF(AP38&gt;0.05,"Plus cher","Équivalent")))</f>
        <v/>
      </c>
    </row>
    <row r="39">
      <c r="A39" s="28" t="inlineStr">
        <is>
          <t>SG-2316</t>
        </is>
      </c>
      <c r="B39" s="28" t="inlineStr">
        <is>
          <t>Pro Sonic</t>
        </is>
      </c>
      <c r="C39" s="28" t="inlineStr">
        <is>
          <t>Sonique</t>
        </is>
      </c>
      <c r="D39" s="28" t="inlineStr">
        <is>
          <t>Adulte</t>
        </is>
      </c>
      <c r="E39" s="29" t="n">
        <v>35000</v>
      </c>
      <c r="F39" s="29" t="n">
        <v>35000</v>
      </c>
      <c r="G39" s="30" t="n">
        <v>3</v>
      </c>
      <c r="H39" s="30" t="n">
        <v>30</v>
      </c>
      <c r="I39" s="30" t="n">
        <v>360</v>
      </c>
      <c r="J39" s="28" t="inlineStr">
        <is>
          <t>Batterie Li-ion rechargeable</t>
        </is>
      </c>
      <c r="K39" s="28" t="inlineStr">
        <is>
          <t>Type-C</t>
        </is>
      </c>
      <c r="L39" s="31" t="n">
        <v>2.5</v>
      </c>
      <c r="M39" s="28" t="inlineStr">
        <is>
          <t>IPX7</t>
        </is>
      </c>
      <c r="N39" s="28" t="inlineStr">
        <is>
          <t>Non</t>
        </is>
      </c>
      <c r="O39" s="28" t="inlineStr">
        <is>
          <t>Aucun</t>
        </is>
      </c>
      <c r="P39" s="28" t="inlineStr">
        <is>
          <t>Oui</t>
        </is>
      </c>
      <c r="Q39" s="31" t="n">
        <v>167</v>
      </c>
      <c r="R39" s="28" t="inlineStr">
        <is>
          <t>25*25*224</t>
        </is>
      </c>
      <c r="S39" s="32" t="inlineStr">
        <is>
          <t>Charge rapide 2,5 h pour 30 jours, rappel de remplacement de tête, tête sans cuivre</t>
        </is>
      </c>
      <c r="T39" s="33" t="n">
        <v>24</v>
      </c>
      <c r="U39" s="20" t="inlineStr">
        <is>
          <t>SURI_JUMIA</t>
        </is>
      </c>
      <c r="V39" s="20" t="inlineStr">
        <is>
          <t>Brosse à dents électrique sonique durable</t>
        </is>
      </c>
      <c r="W39" s="20" t="inlineStr">
        <is>
          <t>Suri (marketplace)</t>
        </is>
      </c>
      <c r="X39" s="20" t="inlineStr">
        <is>
          <t>Sonique</t>
        </is>
      </c>
      <c r="Y39" s="20" t="inlineStr">
        <is>
          <t>40 000 VPM</t>
        </is>
      </c>
      <c r="Z39" s="20" t="inlineStr">
        <is>
          <t>5 modes (Clean, White, Polish, Soft, Gum Care)</t>
        </is>
      </c>
      <c r="AA39" s="20" t="n">
        <v>30</v>
      </c>
      <c r="AB39" s="37" t="inlineStr">
        <is>
          <t>N/D</t>
        </is>
      </c>
      <c r="AC39" s="20" t="inlineStr">
        <is>
          <t>Non</t>
        </is>
      </c>
      <c r="AD39" s="20" t="inlineStr">
        <is>
          <t>Li-ion, charge rapide 4 h</t>
        </is>
      </c>
      <c r="AE39" s="20" t="inlineStr">
        <is>
          <t>CI vérifié (Jumia). SN, BF, CM, BJ non vérifiés.</t>
        </is>
      </c>
      <c r="AF39" s="20" t="inlineStr">
        <is>
          <t>Jumia CI</t>
        </is>
      </c>
      <c r="AG39" s="21" t="inlineStr">
        <is>
          <t>https://www.jumia.ci/slp/brosse-a-dents-electrique-durable-suri</t>
        </is>
      </c>
      <c r="AH39" s="21" t="inlineStr">
        <is>
          <t>https://www.jumia.ci/brosse-a-dents-electrique/</t>
        </is>
      </c>
      <c r="AI39" s="20" t="inlineStr">
        <is>
          <t>Rapprochement sur le positionnement marketplace : specs proches, marque non installée. Offre marketplace au positionnement identique à SEAGO : mêmes specs annoncées, marque non installée.</t>
        </is>
      </c>
      <c r="AJ39" s="22">
        <f>IFERROR(IF(IF('Relevé prix'!$B$1="SN",VLOOKUP($U39,'Relevé prix'!$A$4:$N$60,11,FALSE),VLOOKUP($U39,'Relevé prix'!$A$4:$N$60,7,FALSE))=0,"",IF('Relevé prix'!$B$1="SN",VLOOKUP($U39,'Relevé prix'!$A$4:$N$60,11,FALSE),VLOOKUP($U39,'Relevé prix'!$A$4:$N$60,7,FALSE))),"")</f>
        <v/>
      </c>
      <c r="AK39" s="23">
        <f>IFERROR(IF(IF('Relevé prix'!$B$1="SN",VLOOKUP($U39,'Relevé prix'!$A$4:$N$60,12,FALSE),VLOOKUP($U39,'Relevé prix'!$A$4:$N$60,8,FALSE))=0,"",IF('Relevé prix'!$B$1="SN",VLOOKUP($U39,'Relevé prix'!$A$4:$N$60,12,FALSE),VLOOKUP($U39,'Relevé prix'!$A$4:$N$60,8,FALSE))),"")</f>
        <v/>
      </c>
      <c r="AL39" s="24" t="n"/>
      <c r="AM39" s="25" t="n"/>
      <c r="AN39" s="25" t="n"/>
      <c r="AO39" s="22">
        <f>IF(OR(AL39="",AJ39=""),"",AL39-AJ39)</f>
        <v/>
      </c>
      <c r="AP39" s="26">
        <f>IF(OR(AL39="",AJ39="",AJ39=0),"",(AL39-AJ39)/AJ39)</f>
        <v/>
      </c>
      <c r="AQ39" s="27">
        <f>IF(AP39="","",IF(AP39&lt;-0.05,"Moins cher",IF(AP39&gt;0.05,"Plus cher","Équivalent")))</f>
        <v/>
      </c>
    </row>
    <row r="40">
      <c r="A40" s="13" t="inlineStr">
        <is>
          <t>SG-2320</t>
        </is>
      </c>
      <c r="B40" s="13" t="inlineStr">
        <is>
          <t>Pro Sonic</t>
        </is>
      </c>
      <c r="C40" s="13" t="inlineStr">
        <is>
          <t>Sonique</t>
        </is>
      </c>
      <c r="D40" s="13" t="inlineStr">
        <is>
          <t>Adulte</t>
        </is>
      </c>
      <c r="E40" s="14" t="n">
        <v>35000</v>
      </c>
      <c r="F40" s="14" t="n">
        <v>35000</v>
      </c>
      <c r="G40" s="15" t="n">
        <v>5</v>
      </c>
      <c r="H40" s="15" t="n">
        <v>200</v>
      </c>
      <c r="I40" s="15" t="n">
        <v>2000</v>
      </c>
      <c r="J40" s="13" t="inlineStr">
        <is>
          <t>Batterie Li-ion rechargeable</t>
        </is>
      </c>
      <c r="K40" s="13" t="inlineStr">
        <is>
          <t>USB</t>
        </is>
      </c>
      <c r="L40" s="17" t="n">
        <v>8</v>
      </c>
      <c r="M40" s="13" t="inlineStr">
        <is>
          <t>IPX7</t>
        </is>
      </c>
      <c r="N40" s="13" t="inlineStr">
        <is>
          <t>Non</t>
        </is>
      </c>
      <c r="O40" s="13" t="inlineStr">
        <is>
          <t>Indicateur batterie</t>
        </is>
      </c>
      <c r="P40" s="13" t="inlineStr">
        <is>
          <t>Oui</t>
        </is>
      </c>
      <c r="Q40" s="17" t="n">
        <v>115.1</v>
      </c>
      <c r="R40" s="13" t="inlineStr">
        <is>
          <t>201.3*29.2*27.0</t>
        </is>
      </c>
      <c r="S40" s="18" t="inlineStr">
        <is>
          <t>Charge 8 h pour 200 jours (2x/j 2 min), mémoire intelligente, protection surcharge et décharge profonde</t>
        </is>
      </c>
      <c r="T40" s="19" t="n">
        <v>24</v>
      </c>
      <c r="U40" s="20" t="inlineStr">
        <is>
          <t>USMILE_Y1S</t>
        </is>
      </c>
      <c r="V40" s="20" t="inlineStr">
        <is>
          <t>Y1S Sonic</t>
        </is>
      </c>
      <c r="W40" s="20" t="inlineStr">
        <is>
          <t>usmile</t>
        </is>
      </c>
      <c r="X40" s="20" t="inlineStr">
        <is>
          <t>Sonique</t>
        </is>
      </c>
      <c r="Y40" s="20" t="inlineStr">
        <is>
          <t>38 000 vibrations/min</t>
        </is>
      </c>
      <c r="Z40" s="20" t="inlineStr">
        <is>
          <t>3 modes (Clean, White, Soft)</t>
        </is>
      </c>
      <c r="AA40" s="20" t="n">
        <v>180</v>
      </c>
      <c r="AB40" s="20" t="inlineStr">
        <is>
          <t>IPX7</t>
        </is>
      </c>
      <c r="AC40" s="20" t="inlineStr">
        <is>
          <t>Non</t>
        </is>
      </c>
      <c r="AD40" s="20" t="inlineStr">
        <is>
          <t>USB Type-C</t>
        </is>
      </c>
      <c r="AE40" s="20" t="inlineStr">
        <is>
          <t>Non vérifié sur CI, SN, BF, CM, BJ.</t>
        </is>
      </c>
      <c r="AF40" s="20" t="inlineStr">
        <is>
          <t>Marketplaces, retail spécialisé</t>
        </is>
      </c>
      <c r="AG40" s="21" t="inlineStr">
        <is>
          <t>https://www.usmile.com/electrictoothbrush/info.html?id=4</t>
        </is>
      </c>
      <c r="AH40" s="21" t="inlineStr">
        <is>
          <t>https://www.ada.org/resources/research/science/ada-seal-of-acceptance/product-search/a065e00000BWImYAAX/usmile-sonic-electric-toothbrush-y1s</t>
        </is>
      </c>
      <c r="AI40" s="20" t="inlineStr">
        <is>
          <t>Rapprochement sur l'argument longue autonomie (au-delà de 100 jours). Référence de l'argument longue autonomie (180 jours), acceptée par l'American Dental Association.</t>
        </is>
      </c>
      <c r="AJ40" s="22">
        <f>IFERROR(IF(IF('Relevé prix'!$B$1="SN",VLOOKUP($U40,'Relevé prix'!$A$4:$N$60,11,FALSE),VLOOKUP($U40,'Relevé prix'!$A$4:$N$60,7,FALSE))=0,"",IF('Relevé prix'!$B$1="SN",VLOOKUP($U40,'Relevé prix'!$A$4:$N$60,11,FALSE),VLOOKUP($U40,'Relevé prix'!$A$4:$N$60,7,FALSE))),"")</f>
        <v/>
      </c>
      <c r="AK40" s="23">
        <f>IFERROR(IF(IF('Relevé prix'!$B$1="SN",VLOOKUP($U40,'Relevé prix'!$A$4:$N$60,12,FALSE),VLOOKUP($U40,'Relevé prix'!$A$4:$N$60,8,FALSE))=0,"",IF('Relevé prix'!$B$1="SN",VLOOKUP($U40,'Relevé prix'!$A$4:$N$60,12,FALSE),VLOOKUP($U40,'Relevé prix'!$A$4:$N$60,8,FALSE))),"")</f>
        <v/>
      </c>
      <c r="AL40" s="24" t="n"/>
      <c r="AM40" s="25" t="n"/>
      <c r="AN40" s="25" t="n"/>
      <c r="AO40" s="22">
        <f>IF(OR(AL40="",AJ40=""),"",AL40-AJ40)</f>
        <v/>
      </c>
      <c r="AP40" s="26">
        <f>IF(OR(AL40="",AJ40="",AJ40=0),"",(AL40-AJ40)/AJ40)</f>
        <v/>
      </c>
      <c r="AQ40" s="27">
        <f>IF(AP40="","",IF(AP40&lt;-0.05,"Moins cher",IF(AP40&gt;0.05,"Plus cher","Équivalent")))</f>
        <v/>
      </c>
    </row>
    <row r="41">
      <c r="A41" s="28" t="inlineStr">
        <is>
          <t>SG-2318</t>
        </is>
      </c>
      <c r="B41" s="28" t="inlineStr">
        <is>
          <t>Pro Sonic</t>
        </is>
      </c>
      <c r="C41" s="28" t="inlineStr">
        <is>
          <t>Sonique</t>
        </is>
      </c>
      <c r="D41" s="28" t="inlineStr">
        <is>
          <t>Adulte</t>
        </is>
      </c>
      <c r="E41" s="29" t="n">
        <v>40000</v>
      </c>
      <c r="F41" s="29" t="n">
        <v>40000</v>
      </c>
      <c r="G41" s="30" t="n">
        <v>3</v>
      </c>
      <c r="H41" s="30" t="n">
        <v>90</v>
      </c>
      <c r="I41" s="35" t="inlineStr">
        <is>
          <t>N/D</t>
        </is>
      </c>
      <c r="J41" s="28" t="inlineStr">
        <is>
          <t>Piles (2x AAA)</t>
        </is>
      </c>
      <c r="K41" s="28" t="inlineStr">
        <is>
          <t>Piles</t>
        </is>
      </c>
      <c r="L41" s="34" t="inlineStr">
        <is>
          <t>N/D</t>
        </is>
      </c>
      <c r="M41" s="28" t="inlineStr">
        <is>
          <t>IPX7</t>
        </is>
      </c>
      <c r="N41" s="28" t="inlineStr">
        <is>
          <t>Non</t>
        </is>
      </c>
      <c r="O41" s="28" t="inlineStr">
        <is>
          <t>Aucun</t>
        </is>
      </c>
      <c r="P41" s="28" t="inlineStr">
        <is>
          <t>Oui</t>
        </is>
      </c>
      <c r="Q41" s="31" t="n">
        <v>59.4</v>
      </c>
      <c r="R41" s="28" t="inlineStr">
        <is>
          <t>22*22*218</t>
        </is>
      </c>
      <c r="S41" s="32" t="inlineStr">
        <is>
          <t>Tête de brosse remplaçable, poids indiqué piles comprises</t>
        </is>
      </c>
      <c r="T41" s="33" t="n">
        <v>25</v>
      </c>
      <c r="U41" s="20" t="inlineStr">
        <is>
          <t>COLGATE_150</t>
        </is>
      </c>
      <c r="V41" s="20" t="inlineStr">
        <is>
          <t>ProClinical 150 (Charcoal / Deep Clean)</t>
        </is>
      </c>
      <c r="W41" s="20" t="inlineStr">
        <is>
          <t>Colgate</t>
        </is>
      </c>
      <c r="X41" s="20" t="inlineStr">
        <is>
          <t>Sonique à piles</t>
        </is>
      </c>
      <c r="Y41" s="20" t="inlineStr">
        <is>
          <t>20 000 strokes/min</t>
        </is>
      </c>
      <c r="Z41" s="20" t="inlineStr">
        <is>
          <t>1 mode</t>
        </is>
      </c>
      <c r="AA41" s="37" t="inlineStr">
        <is>
          <t>N/D</t>
        </is>
      </c>
      <c r="AB41" s="37" t="inlineStr">
        <is>
          <t>N/D</t>
        </is>
      </c>
      <c r="AC41" s="20" t="inlineStr">
        <is>
          <t>Non</t>
        </is>
      </c>
      <c r="AD41" s="20" t="inlineStr">
        <is>
          <t>2 piles AAA</t>
        </is>
      </c>
      <c r="AE41" s="20" t="inlineStr">
        <is>
          <t>Non vérifié sur CI, SN, BF, CM, BJ. Marque Colgate largement distribuée en GMS et pharmacie sur ces marchés.</t>
        </is>
      </c>
      <c r="AF41" s="20" t="inlineStr">
        <is>
          <t>GMS, pharmacies</t>
        </is>
      </c>
      <c r="AG41" s="21" t="inlineStr">
        <is>
          <t>https://www.colgate.com/en-my/products/toothbrush/colgate-proclinical-150-charcoal-battery-powered-toothbrush</t>
        </is>
      </c>
      <c r="AH41" s="21" t="inlineStr">
        <is>
          <t>https://www.colgate.com/en-my/products/toothbrush/colgate-proclinical-150-deepclean-battery-powered-toothbrush</t>
        </is>
      </c>
      <c r="AI41" s="20" t="inlineStr">
        <is>
          <t>Rapprochement sur l'alimentation à piles et le positionnement prix d'entrée de gamme. Concurrent de référence du segment SEAGO à piles : marque installée, prix d'entrée, tête remplaçable.</t>
        </is>
      </c>
      <c r="AJ41" s="22">
        <f>IFERROR(IF(IF('Relevé prix'!$B$1="SN",VLOOKUP($U41,'Relevé prix'!$A$4:$N$60,11,FALSE),VLOOKUP($U41,'Relevé prix'!$A$4:$N$60,7,FALSE))=0,"",IF('Relevé prix'!$B$1="SN",VLOOKUP($U41,'Relevé prix'!$A$4:$N$60,11,FALSE),VLOOKUP($U41,'Relevé prix'!$A$4:$N$60,7,FALSE))),"")</f>
        <v/>
      </c>
      <c r="AK41" s="23">
        <f>IFERROR(IF(IF('Relevé prix'!$B$1="SN",VLOOKUP($U41,'Relevé prix'!$A$4:$N$60,12,FALSE),VLOOKUP($U41,'Relevé prix'!$A$4:$N$60,8,FALSE))=0,"",IF('Relevé prix'!$B$1="SN",VLOOKUP($U41,'Relevé prix'!$A$4:$N$60,12,FALSE),VLOOKUP($U41,'Relevé prix'!$A$4:$N$60,8,FALSE))),"")</f>
        <v/>
      </c>
      <c r="AL41" s="24" t="n"/>
      <c r="AM41" s="25" t="n"/>
      <c r="AN41" s="25" t="n"/>
      <c r="AO41" s="22">
        <f>IF(OR(AL41="",AJ41=""),"",AL41-AJ41)</f>
        <v/>
      </c>
      <c r="AP41" s="26">
        <f>IF(OR(AL41="",AJ41="",AJ41=0),"",(AL41-AJ41)/AJ41)</f>
        <v/>
      </c>
      <c r="AQ41" s="27">
        <f>IF(AP41="","",IF(AP41&lt;-0.05,"Moins cher",IF(AP41&gt;0.05,"Plus cher","Équivalent")))</f>
        <v/>
      </c>
    </row>
    <row r="42">
      <c r="A42" s="13" t="inlineStr">
        <is>
          <t>SG-2319</t>
        </is>
      </c>
      <c r="B42" s="13" t="inlineStr">
        <is>
          <t>Pro Sonic</t>
        </is>
      </c>
      <c r="C42" s="13" t="inlineStr">
        <is>
          <t>Sonique</t>
        </is>
      </c>
      <c r="D42" s="13" t="inlineStr">
        <is>
          <t>Adulte</t>
        </is>
      </c>
      <c r="E42" s="14" t="n">
        <v>40000</v>
      </c>
      <c r="F42" s="14" t="n">
        <v>40000</v>
      </c>
      <c r="G42" s="15" t="n">
        <v>3</v>
      </c>
      <c r="H42" s="15" t="n">
        <v>150</v>
      </c>
      <c r="I42" s="38" t="inlineStr">
        <is>
          <t>N/D</t>
        </is>
      </c>
      <c r="J42" s="13" t="inlineStr">
        <is>
          <t>Piles (2x AA)</t>
        </is>
      </c>
      <c r="K42" s="13" t="inlineStr">
        <is>
          <t>Piles</t>
        </is>
      </c>
      <c r="L42" s="16" t="inlineStr">
        <is>
          <t>N/D</t>
        </is>
      </c>
      <c r="M42" s="13" t="inlineStr">
        <is>
          <t>IPX7</t>
        </is>
      </c>
      <c r="N42" s="13" t="inlineStr">
        <is>
          <t>Non</t>
        </is>
      </c>
      <c r="O42" s="13" t="inlineStr">
        <is>
          <t>Aucun</t>
        </is>
      </c>
      <c r="P42" s="13" t="inlineStr">
        <is>
          <t>Oui</t>
        </is>
      </c>
      <c r="Q42" s="17" t="n">
        <v>91.40000000000001</v>
      </c>
      <c r="R42" s="13" t="inlineStr">
        <is>
          <t>26*26*227</t>
        </is>
      </c>
      <c r="S42" s="18" t="inlineStr">
        <is>
          <t>Tête de brosse remplaçable, poids indiqué piles comprises</t>
        </is>
      </c>
      <c r="T42" s="19" t="n">
        <v>25</v>
      </c>
      <c r="U42" s="20" t="inlineStr">
        <is>
          <t>COLGATE_150</t>
        </is>
      </c>
      <c r="V42" s="20" t="inlineStr">
        <is>
          <t>ProClinical 150 (Charcoal / Deep Clean)</t>
        </is>
      </c>
      <c r="W42" s="20" t="inlineStr">
        <is>
          <t>Colgate</t>
        </is>
      </c>
      <c r="X42" s="20" t="inlineStr">
        <is>
          <t>Sonique à piles</t>
        </is>
      </c>
      <c r="Y42" s="20" t="inlineStr">
        <is>
          <t>20 000 strokes/min</t>
        </is>
      </c>
      <c r="Z42" s="20" t="inlineStr">
        <is>
          <t>1 mode</t>
        </is>
      </c>
      <c r="AA42" s="37" t="inlineStr">
        <is>
          <t>N/D</t>
        </is>
      </c>
      <c r="AB42" s="37" t="inlineStr">
        <is>
          <t>N/D</t>
        </is>
      </c>
      <c r="AC42" s="20" t="inlineStr">
        <is>
          <t>Non</t>
        </is>
      </c>
      <c r="AD42" s="20" t="inlineStr">
        <is>
          <t>2 piles AAA</t>
        </is>
      </c>
      <c r="AE42" s="20" t="inlineStr">
        <is>
          <t>Non vérifié sur CI, SN, BF, CM, BJ. Marque Colgate largement distribuée en GMS et pharmacie sur ces marchés.</t>
        </is>
      </c>
      <c r="AF42" s="20" t="inlineStr">
        <is>
          <t>GMS, pharmacies</t>
        </is>
      </c>
      <c r="AG42" s="21" t="inlineStr">
        <is>
          <t>https://www.colgate.com/en-my/products/toothbrush/colgate-proclinical-150-charcoal-battery-powered-toothbrush</t>
        </is>
      </c>
      <c r="AH42" s="21" t="inlineStr">
        <is>
          <t>https://www.colgate.com/en-my/products/toothbrush/colgate-proclinical-150-deepclean-battery-powered-toothbrush</t>
        </is>
      </c>
      <c r="AI42" s="20" t="inlineStr">
        <is>
          <t>Rapprochement sur l'alimentation à piles et le positionnement prix d'entrée de gamme. Concurrent de référence du segment SEAGO à piles : marque installée, prix d'entrée, tête remplaçable.</t>
        </is>
      </c>
      <c r="AJ42" s="22">
        <f>IFERROR(IF(IF('Relevé prix'!$B$1="SN",VLOOKUP($U42,'Relevé prix'!$A$4:$N$60,11,FALSE),VLOOKUP($U42,'Relevé prix'!$A$4:$N$60,7,FALSE))=0,"",IF('Relevé prix'!$B$1="SN",VLOOKUP($U42,'Relevé prix'!$A$4:$N$60,11,FALSE),VLOOKUP($U42,'Relevé prix'!$A$4:$N$60,7,FALSE))),"")</f>
        <v/>
      </c>
      <c r="AK42" s="23">
        <f>IFERROR(IF(IF('Relevé prix'!$B$1="SN",VLOOKUP($U42,'Relevé prix'!$A$4:$N$60,12,FALSE),VLOOKUP($U42,'Relevé prix'!$A$4:$N$60,8,FALSE))=0,"",IF('Relevé prix'!$B$1="SN",VLOOKUP($U42,'Relevé prix'!$A$4:$N$60,12,FALSE),VLOOKUP($U42,'Relevé prix'!$A$4:$N$60,8,FALSE))),"")</f>
        <v/>
      </c>
      <c r="AL42" s="24" t="n"/>
      <c r="AM42" s="25" t="n"/>
      <c r="AN42" s="25" t="n"/>
      <c r="AO42" s="22">
        <f>IF(OR(AL42="",AJ42=""),"",AL42-AJ42)</f>
        <v/>
      </c>
      <c r="AP42" s="26">
        <f>IF(OR(AL42="",AJ42="",AJ42=0),"",(AL42-AJ42)/AJ42)</f>
        <v/>
      </c>
      <c r="AQ42" s="27">
        <f>IF(AP42="","",IF(AP42&lt;-0.05,"Moins cher",IF(AP42&gt;0.05,"Plus cher","Équivalent")))</f>
        <v/>
      </c>
    </row>
    <row r="43">
      <c r="A43" s="28" t="inlineStr">
        <is>
          <t>SG-917</t>
        </is>
      </c>
      <c r="B43" s="28" t="inlineStr">
        <is>
          <t>Pro Sonic</t>
        </is>
      </c>
      <c r="C43" s="28" t="inlineStr">
        <is>
          <t>Sonique</t>
        </is>
      </c>
      <c r="D43" s="28" t="inlineStr">
        <is>
          <t>Adulte</t>
        </is>
      </c>
      <c r="E43" s="29" t="n">
        <v>40000</v>
      </c>
      <c r="F43" s="29" t="n">
        <v>40000</v>
      </c>
      <c r="G43" s="30" t="n">
        <v>3</v>
      </c>
      <c r="H43" s="30" t="n">
        <v>25</v>
      </c>
      <c r="I43" s="30" t="n">
        <v>260</v>
      </c>
      <c r="J43" s="28" t="inlineStr">
        <is>
          <t>Batterie Li-ion rechargeable</t>
        </is>
      </c>
      <c r="K43" s="28" t="inlineStr">
        <is>
          <t>Adaptateur DC12V</t>
        </is>
      </c>
      <c r="L43" s="34" t="inlineStr">
        <is>
          <t>N/D</t>
        </is>
      </c>
      <c r="M43" s="28" t="inlineStr">
        <is>
          <t>IPX7</t>
        </is>
      </c>
      <c r="N43" s="28" t="inlineStr">
        <is>
          <t>Non</t>
        </is>
      </c>
      <c r="O43" s="28" t="inlineStr">
        <is>
          <t>Aucun</t>
        </is>
      </c>
      <c r="P43" s="28" t="inlineStr">
        <is>
          <t>Oui</t>
        </is>
      </c>
      <c r="Q43" s="31" t="n">
        <v>227.5</v>
      </c>
      <c r="R43" s="28" t="inlineStr">
        <is>
          <t>126*62*261</t>
        </is>
      </c>
      <c r="S43" s="32" t="inlineStr">
        <is>
          <t>Stérilisateur UVC intégré 6-8 min (99,9 % des germes, dont SARS et H1N1), tube UVC à cathode froide longue durée, 3 modes (super, normal, massage)</t>
        </is>
      </c>
      <c r="T43" s="33" t="n">
        <v>26</v>
      </c>
      <c r="U43" s="20" t="inlineStr">
        <is>
          <t>SURI_JUMIA</t>
        </is>
      </c>
      <c r="V43" s="20" t="inlineStr">
        <is>
          <t>Brosse à dents électrique sonique durable</t>
        </is>
      </c>
      <c r="W43" s="20" t="inlineStr">
        <is>
          <t>Suri (marketplace)</t>
        </is>
      </c>
      <c r="X43" s="20" t="inlineStr">
        <is>
          <t>Sonique</t>
        </is>
      </c>
      <c r="Y43" s="20" t="inlineStr">
        <is>
          <t>40 000 VPM</t>
        </is>
      </c>
      <c r="Z43" s="20" t="inlineStr">
        <is>
          <t>5 modes (Clean, White, Polish, Soft, Gum Care)</t>
        </is>
      </c>
      <c r="AA43" s="20" t="n">
        <v>30</v>
      </c>
      <c r="AB43" s="37" t="inlineStr">
        <is>
          <t>N/D</t>
        </is>
      </c>
      <c r="AC43" s="20" t="inlineStr">
        <is>
          <t>Non</t>
        </is>
      </c>
      <c r="AD43" s="20" t="inlineStr">
        <is>
          <t>Li-ion, charge rapide 4 h</t>
        </is>
      </c>
      <c r="AE43" s="20" t="inlineStr">
        <is>
          <t>CI vérifié (Jumia). SN, BF, CM, BJ non vérifiés.</t>
        </is>
      </c>
      <c r="AF43" s="20" t="inlineStr">
        <is>
          <t>Jumia CI</t>
        </is>
      </c>
      <c r="AG43" s="21" t="inlineStr">
        <is>
          <t>https://www.jumia.ci/slp/brosse-a-dents-electrique-durable-suri</t>
        </is>
      </c>
      <c r="AH43" s="21" t="inlineStr">
        <is>
          <t>https://www.jumia.ci/brosse-a-dents-electrique/</t>
        </is>
      </c>
      <c r="AI43" s="20" t="inlineStr">
        <is>
          <t>Rapprochement sur le positionnement marketplace : specs proches, marque non installée. Offre marketplace au positionnement identique à SEAGO : mêmes specs annoncées, marque non installée.</t>
        </is>
      </c>
      <c r="AJ43" s="22">
        <f>IFERROR(IF(IF('Relevé prix'!$B$1="SN",VLOOKUP($U43,'Relevé prix'!$A$4:$N$60,11,FALSE),VLOOKUP($U43,'Relevé prix'!$A$4:$N$60,7,FALSE))=0,"",IF('Relevé prix'!$B$1="SN",VLOOKUP($U43,'Relevé prix'!$A$4:$N$60,11,FALSE),VLOOKUP($U43,'Relevé prix'!$A$4:$N$60,7,FALSE))),"")</f>
        <v/>
      </c>
      <c r="AK43" s="23">
        <f>IFERROR(IF(IF('Relevé prix'!$B$1="SN",VLOOKUP($U43,'Relevé prix'!$A$4:$N$60,12,FALSE),VLOOKUP($U43,'Relevé prix'!$A$4:$N$60,8,FALSE))=0,"",IF('Relevé prix'!$B$1="SN",VLOOKUP($U43,'Relevé prix'!$A$4:$N$60,12,FALSE),VLOOKUP($U43,'Relevé prix'!$A$4:$N$60,8,FALSE))),"")</f>
        <v/>
      </c>
      <c r="AL43" s="24" t="n"/>
      <c r="AM43" s="25" t="n"/>
      <c r="AN43" s="25" t="n"/>
      <c r="AO43" s="22">
        <f>IF(OR(AL43="",AJ43=""),"",AL43-AJ43)</f>
        <v/>
      </c>
      <c r="AP43" s="26">
        <f>IF(OR(AL43="",AJ43="",AJ43=0),"",(AL43-AJ43)/AJ43)</f>
        <v/>
      </c>
      <c r="AQ43" s="27">
        <f>IF(AP43="","",IF(AP43&lt;-0.05,"Moins cher",IF(AP43&gt;0.05,"Plus cher","Équivalent")))</f>
        <v/>
      </c>
    </row>
    <row r="44">
      <c r="A44" s="13" t="inlineStr">
        <is>
          <t>SG-508</t>
        </is>
      </c>
      <c r="B44" s="13" t="inlineStr">
        <is>
          <t>Pro Sonic</t>
        </is>
      </c>
      <c r="C44" s="13" t="inlineStr">
        <is>
          <t>Sonique</t>
        </is>
      </c>
      <c r="D44" s="13" t="inlineStr">
        <is>
          <t>Adulte</t>
        </is>
      </c>
      <c r="E44" s="14" t="n">
        <v>40000</v>
      </c>
      <c r="F44" s="14" t="n">
        <v>40000</v>
      </c>
      <c r="G44" s="15" t="n">
        <v>5</v>
      </c>
      <c r="H44" s="15" t="n">
        <v>25</v>
      </c>
      <c r="I44" s="38" t="inlineStr">
        <is>
          <t>N/D</t>
        </is>
      </c>
      <c r="J44" s="13" t="inlineStr">
        <is>
          <t>Batterie Li-ion rechargeable</t>
        </is>
      </c>
      <c r="K44" s="13" t="inlineStr">
        <is>
          <t>USB + sans fil (socle en option)</t>
        </is>
      </c>
      <c r="L44" s="16" t="inlineStr">
        <is>
          <t>N/D</t>
        </is>
      </c>
      <c r="M44" s="13" t="inlineStr">
        <is>
          <t>IPX7</t>
        </is>
      </c>
      <c r="N44" s="13" t="inlineStr">
        <is>
          <t>Non</t>
        </is>
      </c>
      <c r="O44" s="13" t="inlineStr">
        <is>
          <t>Aucun</t>
        </is>
      </c>
      <c r="P44" s="13" t="inlineStr">
        <is>
          <t>Oui</t>
        </is>
      </c>
      <c r="Q44" s="17" t="n">
        <v>75</v>
      </c>
      <c r="R44" s="13" t="inlineStr">
        <is>
          <t>25.4*26.5*233</t>
        </is>
      </c>
      <c r="S44" s="18" t="inlineStr">
        <is>
          <t>Socle de charge sans fil en option (USB ou inductif), mémoire intelligente</t>
        </is>
      </c>
      <c r="T44" s="19" t="n">
        <v>26</v>
      </c>
      <c r="U44" s="20" t="inlineStr">
        <is>
          <t>ADDIGOES</t>
        </is>
      </c>
      <c r="V44" s="20" t="inlineStr">
        <is>
          <t>Brosse sonique USB 6 modes, 4 têtes</t>
        </is>
      </c>
      <c r="W44" s="20" t="inlineStr">
        <is>
          <t>Addigoes (marketplace)</t>
        </is>
      </c>
      <c r="X44" s="20" t="inlineStr">
        <is>
          <t>Sonique</t>
        </is>
      </c>
      <c r="Y44" s="20" t="inlineStr">
        <is>
          <t>42 000 vibrations/min</t>
        </is>
      </c>
      <c r="Z44" s="20" t="inlineStr">
        <is>
          <t>6 modes</t>
        </is>
      </c>
      <c r="AA44" s="20" t="n">
        <v>60</v>
      </c>
      <c r="AB44" s="20" t="inlineStr">
        <is>
          <t>Étanche (indice non précisé)</t>
        </is>
      </c>
      <c r="AC44" s="20" t="inlineStr">
        <is>
          <t>Non</t>
        </is>
      </c>
      <c r="AD44" s="20" t="inlineStr">
        <is>
          <t>USB</t>
        </is>
      </c>
      <c r="AE44" s="20" t="inlineStr">
        <is>
          <t>CI vérifié (Jumia). Équivalent générique vérifié au SN (sonique X3, 8 têtes). BF, CM, BJ non vérifiés.</t>
        </is>
      </c>
      <c r="AF44" s="20" t="inlineStr">
        <is>
          <t>Jumia CI</t>
        </is>
      </c>
      <c r="AG44" s="21" t="inlineStr">
        <is>
          <t>https://www.jumia.ci/addigoes-brosse-a-dents-electrique-sonique-rechargeable-usb-6-modes-etanche-haute-frequence-4-tetes-de-brosse-nettoyage-dentaire-professionnel-noir-30497266.html</t>
        </is>
      </c>
      <c r="AH44" s="21" t="inlineStr">
        <is>
          <t>https://www.jumia.ci/brosse-a-dents-electrique/</t>
        </is>
      </c>
      <c r="AI44" s="20" t="inlineStr">
        <is>
          <t>Rapprochement sur la haute fréquence (40 000 mouvements/min et plus) et le nombre élevé de modes. Amplitude 6 mm annoncée et pack 4 têtes, concurrent frontal des SEAGO à moteur magnétique.</t>
        </is>
      </c>
      <c r="AJ44" s="22">
        <f>IFERROR(IF(IF('Relevé prix'!$B$1="SN",VLOOKUP($U44,'Relevé prix'!$A$4:$N$60,11,FALSE),VLOOKUP($U44,'Relevé prix'!$A$4:$N$60,7,FALSE))=0,"",IF('Relevé prix'!$B$1="SN",VLOOKUP($U44,'Relevé prix'!$A$4:$N$60,11,FALSE),VLOOKUP($U44,'Relevé prix'!$A$4:$N$60,7,FALSE))),"")</f>
        <v/>
      </c>
      <c r="AK44" s="23">
        <f>IFERROR(IF(IF('Relevé prix'!$B$1="SN",VLOOKUP($U44,'Relevé prix'!$A$4:$N$60,12,FALSE),VLOOKUP($U44,'Relevé prix'!$A$4:$N$60,8,FALSE))=0,"",IF('Relevé prix'!$B$1="SN",VLOOKUP($U44,'Relevé prix'!$A$4:$N$60,12,FALSE),VLOOKUP($U44,'Relevé prix'!$A$4:$N$60,8,FALSE))),"")</f>
        <v/>
      </c>
      <c r="AL44" s="24" t="n"/>
      <c r="AM44" s="25" t="n"/>
      <c r="AN44" s="25" t="n"/>
      <c r="AO44" s="22">
        <f>IF(OR(AL44="",AJ44=""),"",AL44-AJ44)</f>
        <v/>
      </c>
      <c r="AP44" s="26">
        <f>IF(OR(AL44="",AJ44="",AJ44=0),"",(AL44-AJ44)/AJ44)</f>
        <v/>
      </c>
      <c r="AQ44" s="27">
        <f>IF(AP44="","",IF(AP44&lt;-0.05,"Moins cher",IF(AP44&gt;0.05,"Plus cher","Équivalent")))</f>
        <v/>
      </c>
    </row>
    <row r="45">
      <c r="A45" s="28" t="inlineStr">
        <is>
          <t>SG-949</t>
        </is>
      </c>
      <c r="B45" s="28" t="inlineStr">
        <is>
          <t>Pro Sonic</t>
        </is>
      </c>
      <c r="C45" s="28" t="inlineStr">
        <is>
          <t>Sonique</t>
        </is>
      </c>
      <c r="D45" s="28" t="inlineStr">
        <is>
          <t>Adulte</t>
        </is>
      </c>
      <c r="E45" s="29" t="n">
        <v>40000</v>
      </c>
      <c r="F45" s="29" t="n">
        <v>40000</v>
      </c>
      <c r="G45" s="30" t="n">
        <v>5</v>
      </c>
      <c r="H45" s="30" t="n">
        <v>25</v>
      </c>
      <c r="I45" s="30" t="n">
        <v>260</v>
      </c>
      <c r="J45" s="28" t="inlineStr">
        <is>
          <t>Batterie Li-ion rechargeable</t>
        </is>
      </c>
      <c r="K45" s="28" t="inlineStr">
        <is>
          <t>USB</t>
        </is>
      </c>
      <c r="L45" s="34" t="inlineStr">
        <is>
          <t>N/D</t>
        </is>
      </c>
      <c r="M45" s="28" t="inlineStr">
        <is>
          <t>IPX7</t>
        </is>
      </c>
      <c r="N45" s="28" t="inlineStr">
        <is>
          <t>Non</t>
        </is>
      </c>
      <c r="O45" s="28" t="inlineStr">
        <is>
          <t>Aucun</t>
        </is>
      </c>
      <c r="P45" s="28" t="inlineStr">
        <is>
          <t>Oui</t>
        </is>
      </c>
      <c r="Q45" s="31" t="n">
        <v>78.5</v>
      </c>
      <c r="R45" s="28" t="inlineStr">
        <is>
          <t>26.2*26.2*225</t>
        </is>
      </c>
      <c r="S45" s="32" t="inlineStr">
        <is>
          <t>Mémoire intelligente, alerte batterie faible</t>
        </is>
      </c>
      <c r="T45" s="33" t="n">
        <v>27</v>
      </c>
      <c r="U45" s="20" t="inlineStr">
        <is>
          <t>ADDIGOES</t>
        </is>
      </c>
      <c r="V45" s="20" t="inlineStr">
        <is>
          <t>Brosse sonique USB 6 modes, 4 têtes</t>
        </is>
      </c>
      <c r="W45" s="20" t="inlineStr">
        <is>
          <t>Addigoes (marketplace)</t>
        </is>
      </c>
      <c r="X45" s="20" t="inlineStr">
        <is>
          <t>Sonique</t>
        </is>
      </c>
      <c r="Y45" s="20" t="inlineStr">
        <is>
          <t>42 000 vibrations/min</t>
        </is>
      </c>
      <c r="Z45" s="20" t="inlineStr">
        <is>
          <t>6 modes</t>
        </is>
      </c>
      <c r="AA45" s="20" t="n">
        <v>60</v>
      </c>
      <c r="AB45" s="20" t="inlineStr">
        <is>
          <t>Étanche (indice non précisé)</t>
        </is>
      </c>
      <c r="AC45" s="20" t="inlineStr">
        <is>
          <t>Non</t>
        </is>
      </c>
      <c r="AD45" s="20" t="inlineStr">
        <is>
          <t>USB</t>
        </is>
      </c>
      <c r="AE45" s="20" t="inlineStr">
        <is>
          <t>CI vérifié (Jumia). Équivalent générique vérifié au SN (sonique X3, 8 têtes). BF, CM, BJ non vérifiés.</t>
        </is>
      </c>
      <c r="AF45" s="20" t="inlineStr">
        <is>
          <t>Jumia CI</t>
        </is>
      </c>
      <c r="AG45" s="21" t="inlineStr">
        <is>
          <t>https://www.jumia.ci/addigoes-brosse-a-dents-electrique-sonique-rechargeable-usb-6-modes-etanche-haute-frequence-4-tetes-de-brosse-nettoyage-dentaire-professionnel-noir-30497266.html</t>
        </is>
      </c>
      <c r="AH45" s="21" t="inlineStr">
        <is>
          <t>https://www.jumia.ci/brosse-a-dents-electrique/</t>
        </is>
      </c>
      <c r="AI45" s="20" t="inlineStr">
        <is>
          <t>Rapprochement sur la haute fréquence (40 000 mouvements/min et plus) et le nombre élevé de modes. Amplitude 6 mm annoncée et pack 4 têtes, concurrent frontal des SEAGO à moteur magnétique.</t>
        </is>
      </c>
      <c r="AJ45" s="22">
        <f>IFERROR(IF(IF('Relevé prix'!$B$1="SN",VLOOKUP($U45,'Relevé prix'!$A$4:$N$60,11,FALSE),VLOOKUP($U45,'Relevé prix'!$A$4:$N$60,7,FALSE))=0,"",IF('Relevé prix'!$B$1="SN",VLOOKUP($U45,'Relevé prix'!$A$4:$N$60,11,FALSE),VLOOKUP($U45,'Relevé prix'!$A$4:$N$60,7,FALSE))),"")</f>
        <v/>
      </c>
      <c r="AK45" s="23">
        <f>IFERROR(IF(IF('Relevé prix'!$B$1="SN",VLOOKUP($U45,'Relevé prix'!$A$4:$N$60,12,FALSE),VLOOKUP($U45,'Relevé prix'!$A$4:$N$60,8,FALSE))=0,"",IF('Relevé prix'!$B$1="SN",VLOOKUP($U45,'Relevé prix'!$A$4:$N$60,12,FALSE),VLOOKUP($U45,'Relevé prix'!$A$4:$N$60,8,FALSE))),"")</f>
        <v/>
      </c>
      <c r="AL45" s="24" t="n"/>
      <c r="AM45" s="25" t="n"/>
      <c r="AN45" s="25" t="n"/>
      <c r="AO45" s="22">
        <f>IF(OR(AL45="",AJ45=""),"",AL45-AJ45)</f>
        <v/>
      </c>
      <c r="AP45" s="26">
        <f>IF(OR(AL45="",AJ45="",AJ45=0),"",(AL45-AJ45)/AJ45)</f>
        <v/>
      </c>
      <c r="AQ45" s="27">
        <f>IF(AP45="","",IF(AP45&lt;-0.05,"Moins cher",IF(AP45&gt;0.05,"Plus cher","Équivalent")))</f>
        <v/>
      </c>
    </row>
    <row r="46">
      <c r="A46" s="13" t="inlineStr">
        <is>
          <t>SG-575</t>
        </is>
      </c>
      <c r="B46" s="13" t="inlineStr">
        <is>
          <t>Pro Sonic</t>
        </is>
      </c>
      <c r="C46" s="13" t="inlineStr">
        <is>
          <t>Sonique</t>
        </is>
      </c>
      <c r="D46" s="13" t="inlineStr">
        <is>
          <t>Adulte</t>
        </is>
      </c>
      <c r="E46" s="14" t="n">
        <v>40000</v>
      </c>
      <c r="F46" s="14" t="n">
        <v>40000</v>
      </c>
      <c r="G46" s="15" t="n">
        <v>5</v>
      </c>
      <c r="H46" s="15" t="n">
        <v>300</v>
      </c>
      <c r="I46" s="15" t="n">
        <v>1500</v>
      </c>
      <c r="J46" s="13" t="inlineStr">
        <is>
          <t>Batterie Li-ion rechargeable</t>
        </is>
      </c>
      <c r="K46" s="13" t="inlineStr">
        <is>
          <t>USB</t>
        </is>
      </c>
      <c r="L46" s="17" t="n">
        <v>8</v>
      </c>
      <c r="M46" s="13" t="inlineStr">
        <is>
          <t>IPX7</t>
        </is>
      </c>
      <c r="N46" s="13" t="inlineStr">
        <is>
          <t>Non</t>
        </is>
      </c>
      <c r="O46" s="13" t="inlineStr">
        <is>
          <t>Indicateur batterie</t>
        </is>
      </c>
      <c r="P46" s="13" t="inlineStr">
        <is>
          <t>Oui</t>
        </is>
      </c>
      <c r="Q46" s="17" t="n">
        <v>109</v>
      </c>
      <c r="R46" s="13" t="inlineStr">
        <is>
          <t>28.7*266*240 (valeur catalogue)</t>
        </is>
      </c>
      <c r="S46" s="18" t="inlineStr">
        <is>
          <t>Charge 8 h pour 300 jours (2x/j 2 min), batterie surdimensionnée, mémoire intelligente</t>
        </is>
      </c>
      <c r="T46" s="19" t="n">
        <v>27</v>
      </c>
      <c r="U46" s="20" t="inlineStr">
        <is>
          <t>USMILE_Y1S</t>
        </is>
      </c>
      <c r="V46" s="20" t="inlineStr">
        <is>
          <t>Y1S Sonic</t>
        </is>
      </c>
      <c r="W46" s="20" t="inlineStr">
        <is>
          <t>usmile</t>
        </is>
      </c>
      <c r="X46" s="20" t="inlineStr">
        <is>
          <t>Sonique</t>
        </is>
      </c>
      <c r="Y46" s="20" t="inlineStr">
        <is>
          <t>38 000 vibrations/min</t>
        </is>
      </c>
      <c r="Z46" s="20" t="inlineStr">
        <is>
          <t>3 modes (Clean, White, Soft)</t>
        </is>
      </c>
      <c r="AA46" s="20" t="n">
        <v>180</v>
      </c>
      <c r="AB46" s="20" t="inlineStr">
        <is>
          <t>IPX7</t>
        </is>
      </c>
      <c r="AC46" s="20" t="inlineStr">
        <is>
          <t>Non</t>
        </is>
      </c>
      <c r="AD46" s="20" t="inlineStr">
        <is>
          <t>USB Type-C</t>
        </is>
      </c>
      <c r="AE46" s="20" t="inlineStr">
        <is>
          <t>Non vérifié sur CI, SN, BF, CM, BJ.</t>
        </is>
      </c>
      <c r="AF46" s="20" t="inlineStr">
        <is>
          <t>Marketplaces, retail spécialisé</t>
        </is>
      </c>
      <c r="AG46" s="21" t="inlineStr">
        <is>
          <t>https://www.usmile.com/electrictoothbrush/info.html?id=4</t>
        </is>
      </c>
      <c r="AH46" s="21" t="inlineStr">
        <is>
          <t>https://www.ada.org/resources/research/science/ada-seal-of-acceptance/product-search/a065e00000BWImYAAX/usmile-sonic-electric-toothbrush-y1s</t>
        </is>
      </c>
      <c r="AI46" s="20" t="inlineStr">
        <is>
          <t>Rapprochement sur l'argument longue autonomie (au-delà de 100 jours). Référence de l'argument longue autonomie (180 jours), acceptée par l'American Dental Association.</t>
        </is>
      </c>
      <c r="AJ46" s="22">
        <f>IFERROR(IF(IF('Relevé prix'!$B$1="SN",VLOOKUP($U46,'Relevé prix'!$A$4:$N$60,11,FALSE),VLOOKUP($U46,'Relevé prix'!$A$4:$N$60,7,FALSE))=0,"",IF('Relevé prix'!$B$1="SN",VLOOKUP($U46,'Relevé prix'!$A$4:$N$60,11,FALSE),VLOOKUP($U46,'Relevé prix'!$A$4:$N$60,7,FALSE))),"")</f>
        <v/>
      </c>
      <c r="AK46" s="23">
        <f>IFERROR(IF(IF('Relevé prix'!$B$1="SN",VLOOKUP($U46,'Relevé prix'!$A$4:$N$60,12,FALSE),VLOOKUP($U46,'Relevé prix'!$A$4:$N$60,8,FALSE))=0,"",IF('Relevé prix'!$B$1="SN",VLOOKUP($U46,'Relevé prix'!$A$4:$N$60,12,FALSE),VLOOKUP($U46,'Relevé prix'!$A$4:$N$60,8,FALSE))),"")</f>
        <v/>
      </c>
      <c r="AL46" s="24" t="n"/>
      <c r="AM46" s="25" t="n"/>
      <c r="AN46" s="25" t="n"/>
      <c r="AO46" s="22">
        <f>IF(OR(AL46="",AJ46=""),"",AL46-AJ46)</f>
        <v/>
      </c>
      <c r="AP46" s="26">
        <f>IF(OR(AL46="",AJ46="",AJ46=0),"",(AL46-AJ46)/AJ46)</f>
        <v/>
      </c>
      <c r="AQ46" s="27">
        <f>IF(AP46="","",IF(AP46&lt;-0.05,"Moins cher",IF(AP46&gt;0.05,"Plus cher","Équivalent")))</f>
        <v/>
      </c>
    </row>
    <row r="47">
      <c r="A47" s="28" t="inlineStr">
        <is>
          <t>SG-2303</t>
        </is>
      </c>
      <c r="B47" s="28" t="inlineStr">
        <is>
          <t>Pro Sonic</t>
        </is>
      </c>
      <c r="C47" s="28" t="inlineStr">
        <is>
          <t>Sonique</t>
        </is>
      </c>
      <c r="D47" s="28" t="inlineStr">
        <is>
          <t>Adulte</t>
        </is>
      </c>
      <c r="E47" s="29" t="n">
        <v>40000</v>
      </c>
      <c r="F47" s="29" t="n">
        <v>40000</v>
      </c>
      <c r="G47" s="30" t="n">
        <v>5</v>
      </c>
      <c r="H47" s="30" t="n">
        <v>60</v>
      </c>
      <c r="I47" s="30" t="n">
        <v>700</v>
      </c>
      <c r="J47" s="28" t="inlineStr">
        <is>
          <t>Batterie Li-ion rechargeable</t>
        </is>
      </c>
      <c r="K47" s="28" t="inlineStr">
        <is>
          <t>USB</t>
        </is>
      </c>
      <c r="L47" s="31" t="n">
        <v>4</v>
      </c>
      <c r="M47" s="28" t="inlineStr">
        <is>
          <t>IPX7</t>
        </is>
      </c>
      <c r="N47" s="28" t="inlineStr">
        <is>
          <t>Non</t>
        </is>
      </c>
      <c r="O47" s="28" t="inlineStr">
        <is>
          <t>Indicateur batterie</t>
        </is>
      </c>
      <c r="P47" s="28" t="inlineStr">
        <is>
          <t>Oui</t>
        </is>
      </c>
      <c r="Q47" s="31" t="n">
        <v>77</v>
      </c>
      <c r="R47" s="28" t="inlineStr">
        <is>
          <t>22.6*23.8*230</t>
        </is>
      </c>
      <c r="S47" s="32" t="inlineStr">
        <is>
          <t>Charge 4 h pour 60 jours (2x/j 2 min), mémoire intelligente</t>
        </is>
      </c>
      <c r="T47" s="33" t="n">
        <v>28</v>
      </c>
      <c r="U47" s="20" t="inlineStr">
        <is>
          <t>ADDIGOES</t>
        </is>
      </c>
      <c r="V47" s="20" t="inlineStr">
        <is>
          <t>Brosse sonique USB 6 modes, 4 têtes</t>
        </is>
      </c>
      <c r="W47" s="20" t="inlineStr">
        <is>
          <t>Addigoes (marketplace)</t>
        </is>
      </c>
      <c r="X47" s="20" t="inlineStr">
        <is>
          <t>Sonique</t>
        </is>
      </c>
      <c r="Y47" s="20" t="inlineStr">
        <is>
          <t>42 000 vibrations/min</t>
        </is>
      </c>
      <c r="Z47" s="20" t="inlineStr">
        <is>
          <t>6 modes</t>
        </is>
      </c>
      <c r="AA47" s="20" t="n">
        <v>60</v>
      </c>
      <c r="AB47" s="20" t="inlineStr">
        <is>
          <t>Étanche (indice non précisé)</t>
        </is>
      </c>
      <c r="AC47" s="20" t="inlineStr">
        <is>
          <t>Non</t>
        </is>
      </c>
      <c r="AD47" s="20" t="inlineStr">
        <is>
          <t>USB</t>
        </is>
      </c>
      <c r="AE47" s="20" t="inlineStr">
        <is>
          <t>CI vérifié (Jumia). Équivalent générique vérifié au SN (sonique X3, 8 têtes). BF, CM, BJ non vérifiés.</t>
        </is>
      </c>
      <c r="AF47" s="20" t="inlineStr">
        <is>
          <t>Jumia CI</t>
        </is>
      </c>
      <c r="AG47" s="21" t="inlineStr">
        <is>
          <t>https://www.jumia.ci/addigoes-brosse-a-dents-electrique-sonique-rechargeable-usb-6-modes-etanche-haute-frequence-4-tetes-de-brosse-nettoyage-dentaire-professionnel-noir-30497266.html</t>
        </is>
      </c>
      <c r="AH47" s="21" t="inlineStr">
        <is>
          <t>https://www.jumia.ci/brosse-a-dents-electrique/</t>
        </is>
      </c>
      <c r="AI47" s="20" t="inlineStr">
        <is>
          <t>Rapprochement sur la haute fréquence (40 000 mouvements/min et plus) et le nombre élevé de modes. Amplitude 6 mm annoncée et pack 4 têtes, concurrent frontal des SEAGO à moteur magnétique.</t>
        </is>
      </c>
      <c r="AJ47" s="22">
        <f>IFERROR(IF(IF('Relevé prix'!$B$1="SN",VLOOKUP($U47,'Relevé prix'!$A$4:$N$60,11,FALSE),VLOOKUP($U47,'Relevé prix'!$A$4:$N$60,7,FALSE))=0,"",IF('Relevé prix'!$B$1="SN",VLOOKUP($U47,'Relevé prix'!$A$4:$N$60,11,FALSE),VLOOKUP($U47,'Relevé prix'!$A$4:$N$60,7,FALSE))),"")</f>
        <v/>
      </c>
      <c r="AK47" s="23">
        <f>IFERROR(IF(IF('Relevé prix'!$B$1="SN",VLOOKUP($U47,'Relevé prix'!$A$4:$N$60,12,FALSE),VLOOKUP($U47,'Relevé prix'!$A$4:$N$60,8,FALSE))=0,"",IF('Relevé prix'!$B$1="SN",VLOOKUP($U47,'Relevé prix'!$A$4:$N$60,12,FALSE),VLOOKUP($U47,'Relevé prix'!$A$4:$N$60,8,FALSE))),"")</f>
        <v/>
      </c>
      <c r="AL47" s="24" t="n"/>
      <c r="AM47" s="25" t="n"/>
      <c r="AN47" s="25" t="n"/>
      <c r="AO47" s="22">
        <f>IF(OR(AL47="",AJ47=""),"",AL47-AJ47)</f>
        <v/>
      </c>
      <c r="AP47" s="26">
        <f>IF(OR(AL47="",AJ47="",AJ47=0),"",(AL47-AJ47)/AJ47)</f>
        <v/>
      </c>
      <c r="AQ47" s="27">
        <f>IF(AP47="","",IF(AP47&lt;-0.05,"Moins cher",IF(AP47&gt;0.05,"Plus cher","Équivalent")))</f>
        <v/>
      </c>
    </row>
    <row r="48">
      <c r="A48" s="13" t="inlineStr">
        <is>
          <t>SG-507</t>
        </is>
      </c>
      <c r="B48" s="13" t="inlineStr">
        <is>
          <t>Pro Sonic</t>
        </is>
      </c>
      <c r="C48" s="13" t="inlineStr">
        <is>
          <t>Sonique</t>
        </is>
      </c>
      <c r="D48" s="13" t="inlineStr">
        <is>
          <t>Adulte</t>
        </is>
      </c>
      <c r="E48" s="14" t="n">
        <v>40000</v>
      </c>
      <c r="F48" s="14" t="n">
        <v>40000</v>
      </c>
      <c r="G48" s="15" t="n">
        <v>5</v>
      </c>
      <c r="H48" s="15" t="n">
        <v>25</v>
      </c>
      <c r="I48" s="15" t="n">
        <v>260</v>
      </c>
      <c r="J48" s="13" t="inlineStr">
        <is>
          <t>Batterie Li-ion rechargeable</t>
        </is>
      </c>
      <c r="K48" s="13" t="inlineStr">
        <is>
          <t>USB + sans fil (socle en option)</t>
        </is>
      </c>
      <c r="L48" s="16" t="inlineStr">
        <is>
          <t>N/D</t>
        </is>
      </c>
      <c r="M48" s="13" t="inlineStr">
        <is>
          <t>IPX7</t>
        </is>
      </c>
      <c r="N48" s="13" t="inlineStr">
        <is>
          <t>Non</t>
        </is>
      </c>
      <c r="O48" s="13" t="inlineStr">
        <is>
          <t>Aucun</t>
        </is>
      </c>
      <c r="P48" s="13" t="inlineStr">
        <is>
          <t>Oui</t>
        </is>
      </c>
      <c r="Q48" s="17" t="n">
        <v>77.5</v>
      </c>
      <c r="R48" s="13" t="inlineStr">
        <is>
          <t>25.6*25.5*225</t>
        </is>
      </c>
      <c r="S48" s="18" t="inlineStr">
        <is>
          <t>Socle de charge sans fil en option (USB ou inductif), mémoire intelligente</t>
        </is>
      </c>
      <c r="T48" s="19" t="n">
        <v>28</v>
      </c>
      <c r="U48" s="20" t="inlineStr">
        <is>
          <t>ADDIGOES</t>
        </is>
      </c>
      <c r="V48" s="20" t="inlineStr">
        <is>
          <t>Brosse sonique USB 6 modes, 4 têtes</t>
        </is>
      </c>
      <c r="W48" s="20" t="inlineStr">
        <is>
          <t>Addigoes (marketplace)</t>
        </is>
      </c>
      <c r="X48" s="20" t="inlineStr">
        <is>
          <t>Sonique</t>
        </is>
      </c>
      <c r="Y48" s="20" t="inlineStr">
        <is>
          <t>42 000 vibrations/min</t>
        </is>
      </c>
      <c r="Z48" s="20" t="inlineStr">
        <is>
          <t>6 modes</t>
        </is>
      </c>
      <c r="AA48" s="20" t="n">
        <v>60</v>
      </c>
      <c r="AB48" s="20" t="inlineStr">
        <is>
          <t>Étanche (indice non précisé)</t>
        </is>
      </c>
      <c r="AC48" s="20" t="inlineStr">
        <is>
          <t>Non</t>
        </is>
      </c>
      <c r="AD48" s="20" t="inlineStr">
        <is>
          <t>USB</t>
        </is>
      </c>
      <c r="AE48" s="20" t="inlineStr">
        <is>
          <t>CI vérifié (Jumia). Équivalent générique vérifié au SN (sonique X3, 8 têtes). BF, CM, BJ non vérifiés.</t>
        </is>
      </c>
      <c r="AF48" s="20" t="inlineStr">
        <is>
          <t>Jumia CI</t>
        </is>
      </c>
      <c r="AG48" s="21" t="inlineStr">
        <is>
          <t>https://www.jumia.ci/addigoes-brosse-a-dents-electrique-sonique-rechargeable-usb-6-modes-etanche-haute-frequence-4-tetes-de-brosse-nettoyage-dentaire-professionnel-noir-30497266.html</t>
        </is>
      </c>
      <c r="AH48" s="21" t="inlineStr">
        <is>
          <t>https://www.jumia.ci/brosse-a-dents-electrique/</t>
        </is>
      </c>
      <c r="AI48" s="20" t="inlineStr">
        <is>
          <t>Rapprochement sur la haute fréquence (40 000 mouvements/min et plus) et le nombre élevé de modes. Amplitude 6 mm annoncée et pack 4 têtes, concurrent frontal des SEAGO à moteur magnétique.</t>
        </is>
      </c>
      <c r="AJ48" s="22">
        <f>IFERROR(IF(IF('Relevé prix'!$B$1="SN",VLOOKUP($U48,'Relevé prix'!$A$4:$N$60,11,FALSE),VLOOKUP($U48,'Relevé prix'!$A$4:$N$60,7,FALSE))=0,"",IF('Relevé prix'!$B$1="SN",VLOOKUP($U48,'Relevé prix'!$A$4:$N$60,11,FALSE),VLOOKUP($U48,'Relevé prix'!$A$4:$N$60,7,FALSE))),"")</f>
        <v/>
      </c>
      <c r="AK48" s="23">
        <f>IFERROR(IF(IF('Relevé prix'!$B$1="SN",VLOOKUP($U48,'Relevé prix'!$A$4:$N$60,12,FALSE),VLOOKUP($U48,'Relevé prix'!$A$4:$N$60,8,FALSE))=0,"",IF('Relevé prix'!$B$1="SN",VLOOKUP($U48,'Relevé prix'!$A$4:$N$60,12,FALSE),VLOOKUP($U48,'Relevé prix'!$A$4:$N$60,8,FALSE))),"")</f>
        <v/>
      </c>
      <c r="AL48" s="24" t="n"/>
      <c r="AM48" s="25" t="n"/>
      <c r="AN48" s="25" t="n"/>
      <c r="AO48" s="22">
        <f>IF(OR(AL48="",AJ48=""),"",AL48-AJ48)</f>
        <v/>
      </c>
      <c r="AP48" s="26">
        <f>IF(OR(AL48="",AJ48="",AJ48=0),"",(AL48-AJ48)/AJ48)</f>
        <v/>
      </c>
      <c r="AQ48" s="27">
        <f>IF(AP48="","",IF(AP48&lt;-0.05,"Moins cher",IF(AP48&gt;0.05,"Plus cher","Équivalent")))</f>
        <v/>
      </c>
    </row>
    <row r="49">
      <c r="A49" s="28" t="inlineStr">
        <is>
          <t>SG-958</t>
        </is>
      </c>
      <c r="B49" s="28" t="inlineStr">
        <is>
          <t>Pro Sonic</t>
        </is>
      </c>
      <c r="C49" s="28" t="inlineStr">
        <is>
          <t>Sonique</t>
        </is>
      </c>
      <c r="D49" s="28" t="inlineStr">
        <is>
          <t>Adulte</t>
        </is>
      </c>
      <c r="E49" s="29" t="n">
        <v>40000</v>
      </c>
      <c r="F49" s="29" t="n">
        <v>40000</v>
      </c>
      <c r="G49" s="30" t="n">
        <v>5</v>
      </c>
      <c r="H49" s="30" t="n">
        <v>25</v>
      </c>
      <c r="I49" s="30" t="n">
        <v>260</v>
      </c>
      <c r="J49" s="28" t="inlineStr">
        <is>
          <t>Batterie Li-ion rechargeable</t>
        </is>
      </c>
      <c r="K49" s="28" t="inlineStr">
        <is>
          <t>USB</t>
        </is>
      </c>
      <c r="L49" s="34" t="inlineStr">
        <is>
          <t>N/D</t>
        </is>
      </c>
      <c r="M49" s="28" t="inlineStr">
        <is>
          <t>IPX7</t>
        </is>
      </c>
      <c r="N49" s="28" t="inlineStr">
        <is>
          <t>Non</t>
        </is>
      </c>
      <c r="O49" s="28" t="inlineStr">
        <is>
          <t>Indicateur batterie</t>
        </is>
      </c>
      <c r="P49" s="28" t="inlineStr">
        <is>
          <t>Oui</t>
        </is>
      </c>
      <c r="Q49" s="31" t="n">
        <v>79</v>
      </c>
      <c r="R49" s="28" t="inlineStr">
        <is>
          <t>27.6*26*227</t>
        </is>
      </c>
      <c r="S49" s="32" t="inlineStr">
        <is>
          <t>Mémoire intelligente, alerte batterie faible</t>
        </is>
      </c>
      <c r="T49" s="33" t="n">
        <v>29</v>
      </c>
      <c r="U49" s="20" t="inlineStr">
        <is>
          <t>ADDIGOES</t>
        </is>
      </c>
      <c r="V49" s="20" t="inlineStr">
        <is>
          <t>Brosse sonique USB 6 modes, 4 têtes</t>
        </is>
      </c>
      <c r="W49" s="20" t="inlineStr">
        <is>
          <t>Addigoes (marketplace)</t>
        </is>
      </c>
      <c r="X49" s="20" t="inlineStr">
        <is>
          <t>Sonique</t>
        </is>
      </c>
      <c r="Y49" s="20" t="inlineStr">
        <is>
          <t>42 000 vibrations/min</t>
        </is>
      </c>
      <c r="Z49" s="20" t="inlineStr">
        <is>
          <t>6 modes</t>
        </is>
      </c>
      <c r="AA49" s="20" t="n">
        <v>60</v>
      </c>
      <c r="AB49" s="20" t="inlineStr">
        <is>
          <t>Étanche (indice non précisé)</t>
        </is>
      </c>
      <c r="AC49" s="20" t="inlineStr">
        <is>
          <t>Non</t>
        </is>
      </c>
      <c r="AD49" s="20" t="inlineStr">
        <is>
          <t>USB</t>
        </is>
      </c>
      <c r="AE49" s="20" t="inlineStr">
        <is>
          <t>CI vérifié (Jumia). Équivalent générique vérifié au SN (sonique X3, 8 têtes). BF, CM, BJ non vérifiés.</t>
        </is>
      </c>
      <c r="AF49" s="20" t="inlineStr">
        <is>
          <t>Jumia CI</t>
        </is>
      </c>
      <c r="AG49" s="21" t="inlineStr">
        <is>
          <t>https://www.jumia.ci/addigoes-brosse-a-dents-electrique-sonique-rechargeable-usb-6-modes-etanche-haute-frequence-4-tetes-de-brosse-nettoyage-dentaire-professionnel-noir-30497266.html</t>
        </is>
      </c>
      <c r="AH49" s="21" t="inlineStr">
        <is>
          <t>https://www.jumia.ci/brosse-a-dents-electrique/</t>
        </is>
      </c>
      <c r="AI49" s="20" t="inlineStr">
        <is>
          <t>Rapprochement sur la haute fréquence (40 000 mouvements/min et plus) et le nombre élevé de modes. Amplitude 6 mm annoncée et pack 4 têtes, concurrent frontal des SEAGO à moteur magnétique.</t>
        </is>
      </c>
      <c r="AJ49" s="22">
        <f>IFERROR(IF(IF('Relevé prix'!$B$1="SN",VLOOKUP($U49,'Relevé prix'!$A$4:$N$60,11,FALSE),VLOOKUP($U49,'Relevé prix'!$A$4:$N$60,7,FALSE))=0,"",IF('Relevé prix'!$B$1="SN",VLOOKUP($U49,'Relevé prix'!$A$4:$N$60,11,FALSE),VLOOKUP($U49,'Relevé prix'!$A$4:$N$60,7,FALSE))),"")</f>
        <v/>
      </c>
      <c r="AK49" s="23">
        <f>IFERROR(IF(IF('Relevé prix'!$B$1="SN",VLOOKUP($U49,'Relevé prix'!$A$4:$N$60,12,FALSE),VLOOKUP($U49,'Relevé prix'!$A$4:$N$60,8,FALSE))=0,"",IF('Relevé prix'!$B$1="SN",VLOOKUP($U49,'Relevé prix'!$A$4:$N$60,12,FALSE),VLOOKUP($U49,'Relevé prix'!$A$4:$N$60,8,FALSE))),"")</f>
        <v/>
      </c>
      <c r="AL49" s="24" t="n"/>
      <c r="AM49" s="25" t="n"/>
      <c r="AN49" s="25" t="n"/>
      <c r="AO49" s="22">
        <f>IF(OR(AL49="",AJ49=""),"",AL49-AJ49)</f>
        <v/>
      </c>
      <c r="AP49" s="26">
        <f>IF(OR(AL49="",AJ49="",AJ49=0),"",(AL49-AJ49)/AJ49)</f>
        <v/>
      </c>
      <c r="AQ49" s="27">
        <f>IF(AP49="","",IF(AP49&lt;-0.05,"Moins cher",IF(AP49&gt;0.05,"Plus cher","Équivalent")))</f>
        <v/>
      </c>
    </row>
    <row r="50">
      <c r="A50" s="13" t="inlineStr">
        <is>
          <t>SG-548</t>
        </is>
      </c>
      <c r="B50" s="13" t="inlineStr">
        <is>
          <t>Pro Sonic</t>
        </is>
      </c>
      <c r="C50" s="13" t="inlineStr">
        <is>
          <t>Sonique</t>
        </is>
      </c>
      <c r="D50" s="13" t="inlineStr">
        <is>
          <t>Adulte</t>
        </is>
      </c>
      <c r="E50" s="14" t="n">
        <v>38000</v>
      </c>
      <c r="F50" s="14" t="n">
        <v>38000</v>
      </c>
      <c r="G50" s="15" t="n">
        <v>5</v>
      </c>
      <c r="H50" s="15" t="n">
        <v>25</v>
      </c>
      <c r="I50" s="15" t="n">
        <v>600</v>
      </c>
      <c r="J50" s="13" t="inlineStr">
        <is>
          <t>Batterie Ni-MH rechargeable</t>
        </is>
      </c>
      <c r="K50" s="13" t="inlineStr">
        <is>
          <t>USB</t>
        </is>
      </c>
      <c r="L50" s="17" t="n">
        <v>4</v>
      </c>
      <c r="M50" s="13" t="inlineStr">
        <is>
          <t>IPX7</t>
        </is>
      </c>
      <c r="N50" s="13" t="inlineStr">
        <is>
          <t>Non</t>
        </is>
      </c>
      <c r="O50" s="13" t="inlineStr">
        <is>
          <t>Aucun</t>
        </is>
      </c>
      <c r="P50" s="13" t="inlineStr">
        <is>
          <t>Oui</t>
        </is>
      </c>
      <c r="Q50" s="17" t="n">
        <v>43</v>
      </c>
      <c r="R50" s="13" t="inlineStr">
        <is>
          <t>D20*227</t>
        </is>
      </c>
      <c r="S50" s="18" t="inlineStr">
        <is>
          <t>Charge rapide 3-4 h pour 25 jours, mémoire intelligente, batterie Ni-MH 1,2 V</t>
        </is>
      </c>
      <c r="T50" s="19" t="n">
        <v>29</v>
      </c>
      <c r="U50" s="20" t="inlineStr">
        <is>
          <t>FW507</t>
        </is>
      </c>
      <c r="V50" s="20" t="inlineStr">
        <is>
          <t>FW-507 Sonic</t>
        </is>
      </c>
      <c r="W50" s="20" t="inlineStr">
        <is>
          <t>Fairywill</t>
        </is>
      </c>
      <c r="X50" s="20" t="inlineStr">
        <is>
          <t>Sonique</t>
        </is>
      </c>
      <c r="Y50" s="20" t="inlineStr">
        <is>
          <t>40 000 strokes/min</t>
        </is>
      </c>
      <c r="Z50" s="20" t="inlineStr">
        <is>
          <t>5 modes (Clean, Sensitive, Massage, White, Polish)</t>
        </is>
      </c>
      <c r="AA50" s="20" t="n">
        <v>30</v>
      </c>
      <c r="AB50" s="20" t="inlineStr">
        <is>
          <t>IPX7</t>
        </is>
      </c>
      <c r="AC50" s="20" t="inlineStr">
        <is>
          <t>Non</t>
        </is>
      </c>
      <c r="AD50" s="20" t="inlineStr">
        <is>
          <t>USB, charge 4 h</t>
        </is>
      </c>
      <c r="AE50" s="20" t="inlineStr">
        <is>
          <t>Non vérifié sur CI, SN, BF, CM, BJ. Marque référencée sur Jumia Maroc.</t>
        </is>
      </c>
      <c r="AF50" s="20" t="inlineStr">
        <is>
          <t>Jumia, Amazon, marketplaces</t>
        </is>
      </c>
      <c r="AG50" s="21" t="inlineStr">
        <is>
          <t>https://www.fairywill.com/products/fairywill-electric-toothbrush-30-days-usage-5-modes-changeable-heads-timer</t>
        </is>
      </c>
      <c r="AH50" s="21" t="inlineStr">
        <is>
          <t>https://www.jumia.ma/brosse-a-dents-electrique/fairywill/</t>
        </is>
      </c>
      <c r="AI50" s="20" t="inlineStr">
        <is>
          <t>Rapprochement sur les 5 modes, la fréquence et l'architecture de charge USB. Concurrent le plus proche du coeur de gamme SEAGO : mêmes 5 modes, même fréquence, même architecture USB.</t>
        </is>
      </c>
      <c r="AJ50" s="22">
        <f>IFERROR(IF(IF('Relevé prix'!$B$1="SN",VLOOKUP($U50,'Relevé prix'!$A$4:$N$60,11,FALSE),VLOOKUP($U50,'Relevé prix'!$A$4:$N$60,7,FALSE))=0,"",IF('Relevé prix'!$B$1="SN",VLOOKUP($U50,'Relevé prix'!$A$4:$N$60,11,FALSE),VLOOKUP($U50,'Relevé prix'!$A$4:$N$60,7,FALSE))),"")</f>
        <v/>
      </c>
      <c r="AK50" s="23">
        <f>IFERROR(IF(IF('Relevé prix'!$B$1="SN",VLOOKUP($U50,'Relevé prix'!$A$4:$N$60,12,FALSE),VLOOKUP($U50,'Relevé prix'!$A$4:$N$60,8,FALSE))=0,"",IF('Relevé prix'!$B$1="SN",VLOOKUP($U50,'Relevé prix'!$A$4:$N$60,12,FALSE),VLOOKUP($U50,'Relevé prix'!$A$4:$N$60,8,FALSE))),"")</f>
        <v/>
      </c>
      <c r="AL50" s="24" t="n"/>
      <c r="AM50" s="25" t="n"/>
      <c r="AN50" s="25" t="n"/>
      <c r="AO50" s="22">
        <f>IF(OR(AL50="",AJ50=""),"",AL50-AJ50)</f>
        <v/>
      </c>
      <c r="AP50" s="26">
        <f>IF(OR(AL50="",AJ50="",AJ50=0),"",(AL50-AJ50)/AJ50)</f>
        <v/>
      </c>
      <c r="AQ50" s="27">
        <f>IF(AP50="","",IF(AP50&lt;-0.05,"Moins cher",IF(AP50&gt;0.05,"Plus cher","Équivalent")))</f>
        <v/>
      </c>
    </row>
    <row r="51">
      <c r="A51" s="28" t="inlineStr">
        <is>
          <t>SG-551</t>
        </is>
      </c>
      <c r="B51" s="28" t="inlineStr">
        <is>
          <t>Pro Sonic</t>
        </is>
      </c>
      <c r="C51" s="28" t="inlineStr">
        <is>
          <t>Sonique</t>
        </is>
      </c>
      <c r="D51" s="28" t="inlineStr">
        <is>
          <t>Adulte</t>
        </is>
      </c>
      <c r="E51" s="29" t="n">
        <v>40000</v>
      </c>
      <c r="F51" s="29" t="n">
        <v>40000</v>
      </c>
      <c r="G51" s="30" t="n">
        <v>4</v>
      </c>
      <c r="H51" s="30" t="n">
        <v>25</v>
      </c>
      <c r="I51" s="30" t="n">
        <v>260</v>
      </c>
      <c r="J51" s="28" t="inlineStr">
        <is>
          <t>Batterie Li-ion rechargeable</t>
        </is>
      </c>
      <c r="K51" s="28" t="inlineStr">
        <is>
          <t>USB</t>
        </is>
      </c>
      <c r="L51" s="34" t="inlineStr">
        <is>
          <t>N/D</t>
        </is>
      </c>
      <c r="M51" s="28" t="inlineStr">
        <is>
          <t>IPX7</t>
        </is>
      </c>
      <c r="N51" s="28" t="inlineStr">
        <is>
          <t>Non</t>
        </is>
      </c>
      <c r="O51" s="28" t="inlineStr">
        <is>
          <t>Aucun</t>
        </is>
      </c>
      <c r="P51" s="28" t="inlineStr">
        <is>
          <t>Oui</t>
        </is>
      </c>
      <c r="Q51" s="31" t="n">
        <v>57</v>
      </c>
      <c r="R51" s="28" t="inlineStr">
        <is>
          <t>19.6*20.4*210</t>
        </is>
      </c>
      <c r="S51" s="32" t="inlineStr">
        <is>
          <t>Mémoire intelligente, alerte batterie faible</t>
        </is>
      </c>
      <c r="T51" s="33" t="n">
        <v>30</v>
      </c>
      <c r="U51" s="20" t="inlineStr">
        <is>
          <t>SURI_JUMIA</t>
        </is>
      </c>
      <c r="V51" s="20" t="inlineStr">
        <is>
          <t>Brosse à dents électrique sonique durable</t>
        </is>
      </c>
      <c r="W51" s="20" t="inlineStr">
        <is>
          <t>Suri (marketplace)</t>
        </is>
      </c>
      <c r="X51" s="20" t="inlineStr">
        <is>
          <t>Sonique</t>
        </is>
      </c>
      <c r="Y51" s="20" t="inlineStr">
        <is>
          <t>40 000 VPM</t>
        </is>
      </c>
      <c r="Z51" s="20" t="inlineStr">
        <is>
          <t>5 modes (Clean, White, Polish, Soft, Gum Care)</t>
        </is>
      </c>
      <c r="AA51" s="20" t="n">
        <v>30</v>
      </c>
      <c r="AB51" s="37" t="inlineStr">
        <is>
          <t>N/D</t>
        </is>
      </c>
      <c r="AC51" s="20" t="inlineStr">
        <is>
          <t>Non</t>
        </is>
      </c>
      <c r="AD51" s="20" t="inlineStr">
        <is>
          <t>Li-ion, charge rapide 4 h</t>
        </is>
      </c>
      <c r="AE51" s="20" t="inlineStr">
        <is>
          <t>CI vérifié (Jumia). SN, BF, CM, BJ non vérifiés.</t>
        </is>
      </c>
      <c r="AF51" s="20" t="inlineStr">
        <is>
          <t>Jumia CI</t>
        </is>
      </c>
      <c r="AG51" s="21" t="inlineStr">
        <is>
          <t>https://www.jumia.ci/slp/brosse-a-dents-electrique-durable-suri</t>
        </is>
      </c>
      <c r="AH51" s="21" t="inlineStr">
        <is>
          <t>https://www.jumia.ci/brosse-a-dents-electrique/</t>
        </is>
      </c>
      <c r="AI51" s="20" t="inlineStr">
        <is>
          <t>Rapprochement sur le positionnement marketplace : specs proches, marque non installée. Offre marketplace au positionnement identique à SEAGO : mêmes specs annoncées, marque non installée.</t>
        </is>
      </c>
      <c r="AJ51" s="22">
        <f>IFERROR(IF(IF('Relevé prix'!$B$1="SN",VLOOKUP($U51,'Relevé prix'!$A$4:$N$60,11,FALSE),VLOOKUP($U51,'Relevé prix'!$A$4:$N$60,7,FALSE))=0,"",IF('Relevé prix'!$B$1="SN",VLOOKUP($U51,'Relevé prix'!$A$4:$N$60,11,FALSE),VLOOKUP($U51,'Relevé prix'!$A$4:$N$60,7,FALSE))),"")</f>
        <v/>
      </c>
      <c r="AK51" s="23">
        <f>IFERROR(IF(IF('Relevé prix'!$B$1="SN",VLOOKUP($U51,'Relevé prix'!$A$4:$N$60,12,FALSE),VLOOKUP($U51,'Relevé prix'!$A$4:$N$60,8,FALSE))=0,"",IF('Relevé prix'!$B$1="SN",VLOOKUP($U51,'Relevé prix'!$A$4:$N$60,12,FALSE),VLOOKUP($U51,'Relevé prix'!$A$4:$N$60,8,FALSE))),"")</f>
        <v/>
      </c>
      <c r="AL51" s="24" t="n"/>
      <c r="AM51" s="25" t="n"/>
      <c r="AN51" s="25" t="n"/>
      <c r="AO51" s="22">
        <f>IF(OR(AL51="",AJ51=""),"",AL51-AJ51)</f>
        <v/>
      </c>
      <c r="AP51" s="26">
        <f>IF(OR(AL51="",AJ51="",AJ51=0),"",(AL51-AJ51)/AJ51)</f>
        <v/>
      </c>
      <c r="AQ51" s="27">
        <f>IF(AP51="","",IF(AP51&lt;-0.05,"Moins cher",IF(AP51&gt;0.05,"Plus cher","Équivalent")))</f>
        <v/>
      </c>
    </row>
    <row r="52">
      <c r="A52" s="13" t="inlineStr">
        <is>
          <t>SG-2315</t>
        </is>
      </c>
      <c r="B52" s="13" t="inlineStr">
        <is>
          <t>Pro Sonic</t>
        </is>
      </c>
      <c r="C52" s="13" t="inlineStr">
        <is>
          <t>Sonique</t>
        </is>
      </c>
      <c r="D52" s="13" t="inlineStr">
        <is>
          <t>Adulte</t>
        </is>
      </c>
      <c r="E52" s="14" t="n">
        <v>36000</v>
      </c>
      <c r="F52" s="14" t="n">
        <v>36000</v>
      </c>
      <c r="G52" s="15" t="n">
        <v>3</v>
      </c>
      <c r="H52" s="15" t="n">
        <v>25</v>
      </c>
      <c r="I52" s="15" t="n">
        <v>600</v>
      </c>
      <c r="J52" s="13" t="inlineStr">
        <is>
          <t>Batterie Ni-MH rechargeable</t>
        </is>
      </c>
      <c r="K52" s="13" t="inlineStr">
        <is>
          <t>USB</t>
        </is>
      </c>
      <c r="L52" s="16" t="inlineStr">
        <is>
          <t>N/D</t>
        </is>
      </c>
      <c r="M52" s="13" t="inlineStr">
        <is>
          <t>IPX7</t>
        </is>
      </c>
      <c r="N52" s="13" t="inlineStr">
        <is>
          <t>Non</t>
        </is>
      </c>
      <c r="O52" s="13" t="inlineStr">
        <is>
          <t>Aucun</t>
        </is>
      </c>
      <c r="P52" s="13" t="inlineStr">
        <is>
          <t>Oui</t>
        </is>
      </c>
      <c r="Q52" s="17" t="n">
        <v>49</v>
      </c>
      <c r="R52" s="13" t="inlineStr">
        <is>
          <t>229*D20</t>
        </is>
      </c>
      <c r="S52" s="18" t="inlineStr">
        <is>
          <t>Manche fin et léger, impression intégrale du manche possible, mémoire intelligente</t>
        </is>
      </c>
      <c r="T52" s="19" t="n">
        <v>30</v>
      </c>
      <c r="U52" s="20" t="inlineStr">
        <is>
          <t>SURI_JUMIA</t>
        </is>
      </c>
      <c r="V52" s="20" t="inlineStr">
        <is>
          <t>Brosse à dents électrique sonique durable</t>
        </is>
      </c>
      <c r="W52" s="20" t="inlineStr">
        <is>
          <t>Suri (marketplace)</t>
        </is>
      </c>
      <c r="X52" s="20" t="inlineStr">
        <is>
          <t>Sonique</t>
        </is>
      </c>
      <c r="Y52" s="20" t="inlineStr">
        <is>
          <t>40 000 VPM</t>
        </is>
      </c>
      <c r="Z52" s="20" t="inlineStr">
        <is>
          <t>5 modes (Clean, White, Polish, Soft, Gum Care)</t>
        </is>
      </c>
      <c r="AA52" s="20" t="n">
        <v>30</v>
      </c>
      <c r="AB52" s="37" t="inlineStr">
        <is>
          <t>N/D</t>
        </is>
      </c>
      <c r="AC52" s="20" t="inlineStr">
        <is>
          <t>Non</t>
        </is>
      </c>
      <c r="AD52" s="20" t="inlineStr">
        <is>
          <t>Li-ion, charge rapide 4 h</t>
        </is>
      </c>
      <c r="AE52" s="20" t="inlineStr">
        <is>
          <t>CI vérifié (Jumia). SN, BF, CM, BJ non vérifiés.</t>
        </is>
      </c>
      <c r="AF52" s="20" t="inlineStr">
        <is>
          <t>Jumia CI</t>
        </is>
      </c>
      <c r="AG52" s="21" t="inlineStr">
        <is>
          <t>https://www.jumia.ci/slp/brosse-a-dents-electrique-durable-suri</t>
        </is>
      </c>
      <c r="AH52" s="21" t="inlineStr">
        <is>
          <t>https://www.jumia.ci/brosse-a-dents-electrique/</t>
        </is>
      </c>
      <c r="AI52" s="20" t="inlineStr">
        <is>
          <t>Rapprochement sur le positionnement marketplace : specs proches, marque non installée. Offre marketplace au positionnement identique à SEAGO : mêmes specs annoncées, marque non installée.</t>
        </is>
      </c>
      <c r="AJ52" s="22">
        <f>IFERROR(IF(IF('Relevé prix'!$B$1="SN",VLOOKUP($U52,'Relevé prix'!$A$4:$N$60,11,FALSE),VLOOKUP($U52,'Relevé prix'!$A$4:$N$60,7,FALSE))=0,"",IF('Relevé prix'!$B$1="SN",VLOOKUP($U52,'Relevé prix'!$A$4:$N$60,11,FALSE),VLOOKUP($U52,'Relevé prix'!$A$4:$N$60,7,FALSE))),"")</f>
        <v/>
      </c>
      <c r="AK52" s="23">
        <f>IFERROR(IF(IF('Relevé prix'!$B$1="SN",VLOOKUP($U52,'Relevé prix'!$A$4:$N$60,12,FALSE),VLOOKUP($U52,'Relevé prix'!$A$4:$N$60,8,FALSE))=0,"",IF('Relevé prix'!$B$1="SN",VLOOKUP($U52,'Relevé prix'!$A$4:$N$60,12,FALSE),VLOOKUP($U52,'Relevé prix'!$A$4:$N$60,8,FALSE))),"")</f>
        <v/>
      </c>
      <c r="AL52" s="24" t="n"/>
      <c r="AM52" s="25" t="n"/>
      <c r="AN52" s="25" t="n"/>
      <c r="AO52" s="22">
        <f>IF(OR(AL52="",AJ52=""),"",AL52-AJ52)</f>
        <v/>
      </c>
      <c r="AP52" s="26">
        <f>IF(OR(AL52="",AJ52="",AJ52=0),"",(AL52-AJ52)/AJ52)</f>
        <v/>
      </c>
      <c r="AQ52" s="27">
        <f>IF(AP52="","",IF(AP52&lt;-0.05,"Moins cher",IF(AP52&gt;0.05,"Plus cher","Équivalent")))</f>
        <v/>
      </c>
    </row>
    <row r="53">
      <c r="A53" s="28" t="inlineStr">
        <is>
          <t>SG-2308</t>
        </is>
      </c>
      <c r="B53" s="28" t="inlineStr">
        <is>
          <t>Pro Sonic</t>
        </is>
      </c>
      <c r="C53" s="28" t="inlineStr">
        <is>
          <t>Sonique</t>
        </is>
      </c>
      <c r="D53" s="28" t="inlineStr">
        <is>
          <t>Adulte</t>
        </is>
      </c>
      <c r="E53" s="29" t="n">
        <v>35000</v>
      </c>
      <c r="F53" s="29" t="n">
        <v>35000</v>
      </c>
      <c r="G53" s="30" t="n">
        <v>5</v>
      </c>
      <c r="H53" s="30" t="n">
        <v>60</v>
      </c>
      <c r="I53" s="30" t="n">
        <v>700</v>
      </c>
      <c r="J53" s="28" t="inlineStr">
        <is>
          <t>Batterie Li-ion rechargeable</t>
        </is>
      </c>
      <c r="K53" s="28" t="inlineStr">
        <is>
          <t>USB</t>
        </is>
      </c>
      <c r="L53" s="31" t="n">
        <v>3</v>
      </c>
      <c r="M53" s="28" t="inlineStr">
        <is>
          <t>IPX7</t>
        </is>
      </c>
      <c r="N53" s="28" t="inlineStr">
        <is>
          <t>Non</t>
        </is>
      </c>
      <c r="O53" s="28" t="inlineStr">
        <is>
          <t>Aucun</t>
        </is>
      </c>
      <c r="P53" s="28" t="inlineStr">
        <is>
          <t>Oui</t>
        </is>
      </c>
      <c r="Q53" s="31" t="n">
        <v>93</v>
      </c>
      <c r="R53" s="28" t="inlineStr">
        <is>
          <t>D25.0*233.5</t>
        </is>
      </c>
      <c r="S53" s="32" t="inlineStr">
        <is>
          <t>Charge rapide 2-3 h pour 60 jours, alerte batterie faible</t>
        </is>
      </c>
      <c r="T53" s="33" t="n">
        <v>31</v>
      </c>
      <c r="U53" s="20" t="inlineStr">
        <is>
          <t>FW507</t>
        </is>
      </c>
      <c r="V53" s="20" t="inlineStr">
        <is>
          <t>FW-507 Sonic</t>
        </is>
      </c>
      <c r="W53" s="20" t="inlineStr">
        <is>
          <t>Fairywill</t>
        </is>
      </c>
      <c r="X53" s="20" t="inlineStr">
        <is>
          <t>Sonique</t>
        </is>
      </c>
      <c r="Y53" s="20" t="inlineStr">
        <is>
          <t>40 000 strokes/min</t>
        </is>
      </c>
      <c r="Z53" s="20" t="inlineStr">
        <is>
          <t>5 modes (Clean, Sensitive, Massage, White, Polish)</t>
        </is>
      </c>
      <c r="AA53" s="20" t="n">
        <v>30</v>
      </c>
      <c r="AB53" s="20" t="inlineStr">
        <is>
          <t>IPX7</t>
        </is>
      </c>
      <c r="AC53" s="20" t="inlineStr">
        <is>
          <t>Non</t>
        </is>
      </c>
      <c r="AD53" s="20" t="inlineStr">
        <is>
          <t>USB, charge 4 h</t>
        </is>
      </c>
      <c r="AE53" s="20" t="inlineStr">
        <is>
          <t>Non vérifié sur CI, SN, BF, CM, BJ. Marque référencée sur Jumia Maroc.</t>
        </is>
      </c>
      <c r="AF53" s="20" t="inlineStr">
        <is>
          <t>Jumia, Amazon, marketplaces</t>
        </is>
      </c>
      <c r="AG53" s="21" t="inlineStr">
        <is>
          <t>https://www.fairywill.com/products/fairywill-electric-toothbrush-30-days-usage-5-modes-changeable-heads-timer</t>
        </is>
      </c>
      <c r="AH53" s="21" t="inlineStr">
        <is>
          <t>https://www.jumia.ma/brosse-a-dents-electrique/fairywill/</t>
        </is>
      </c>
      <c r="AI53" s="20" t="inlineStr">
        <is>
          <t>Rapprochement sur les 5 modes, la fréquence et l'architecture de charge USB. Concurrent le plus proche du coeur de gamme SEAGO : mêmes 5 modes, même fréquence, même architecture USB.</t>
        </is>
      </c>
      <c r="AJ53" s="22">
        <f>IFERROR(IF(IF('Relevé prix'!$B$1="SN",VLOOKUP($U53,'Relevé prix'!$A$4:$N$60,11,FALSE),VLOOKUP($U53,'Relevé prix'!$A$4:$N$60,7,FALSE))=0,"",IF('Relevé prix'!$B$1="SN",VLOOKUP($U53,'Relevé prix'!$A$4:$N$60,11,FALSE),VLOOKUP($U53,'Relevé prix'!$A$4:$N$60,7,FALSE))),"")</f>
        <v/>
      </c>
      <c r="AK53" s="23">
        <f>IFERROR(IF(IF('Relevé prix'!$B$1="SN",VLOOKUP($U53,'Relevé prix'!$A$4:$N$60,12,FALSE),VLOOKUP($U53,'Relevé prix'!$A$4:$N$60,8,FALSE))=0,"",IF('Relevé prix'!$B$1="SN",VLOOKUP($U53,'Relevé prix'!$A$4:$N$60,12,FALSE),VLOOKUP($U53,'Relevé prix'!$A$4:$N$60,8,FALSE))),"")</f>
        <v/>
      </c>
      <c r="AL53" s="24" t="n"/>
      <c r="AM53" s="25" t="n"/>
      <c r="AN53" s="25" t="n"/>
      <c r="AO53" s="22">
        <f>IF(OR(AL53="",AJ53=""),"",AL53-AJ53)</f>
        <v/>
      </c>
      <c r="AP53" s="26">
        <f>IF(OR(AL53="",AJ53="",AJ53=0),"",(AL53-AJ53)/AJ53)</f>
        <v/>
      </c>
      <c r="AQ53" s="27">
        <f>IF(AP53="","",IF(AP53&lt;-0.05,"Moins cher",IF(AP53&gt;0.05,"Plus cher","Équivalent")))</f>
        <v/>
      </c>
    </row>
    <row r="54">
      <c r="A54" s="13" t="inlineStr">
        <is>
          <t>SG-515</t>
        </is>
      </c>
      <c r="B54" s="13" t="inlineStr">
        <is>
          <t>Pro Sonic</t>
        </is>
      </c>
      <c r="C54" s="13" t="inlineStr">
        <is>
          <t>Sonique</t>
        </is>
      </c>
      <c r="D54" s="13" t="inlineStr">
        <is>
          <t>Adulte</t>
        </is>
      </c>
      <c r="E54" s="14" t="n">
        <v>40000</v>
      </c>
      <c r="F54" s="14" t="n">
        <v>40000</v>
      </c>
      <c r="G54" s="15" t="n">
        <v>3</v>
      </c>
      <c r="H54" s="15" t="n">
        <v>25</v>
      </c>
      <c r="I54" s="15" t="n">
        <v>260</v>
      </c>
      <c r="J54" s="13" t="inlineStr">
        <is>
          <t>Batterie Li-ion rechargeable</t>
        </is>
      </c>
      <c r="K54" s="13" t="inlineStr">
        <is>
          <t>USB</t>
        </is>
      </c>
      <c r="L54" s="16" t="inlineStr">
        <is>
          <t>N/D</t>
        </is>
      </c>
      <c r="M54" s="13" t="inlineStr">
        <is>
          <t>IPX6</t>
        </is>
      </c>
      <c r="N54" s="13" t="inlineStr">
        <is>
          <t>Non</t>
        </is>
      </c>
      <c r="O54" s="13" t="inlineStr">
        <is>
          <t>Aucun</t>
        </is>
      </c>
      <c r="P54" s="13" t="inlineStr">
        <is>
          <t>Oui</t>
        </is>
      </c>
      <c r="Q54" s="17" t="n">
        <v>51.5</v>
      </c>
      <c r="R54" s="13" t="inlineStr">
        <is>
          <t>19.6*23.2*192</t>
        </is>
      </c>
      <c r="S54" s="18" t="inlineStr">
        <is>
          <t>Format voyage, mémoire intelligente, alerte batterie faible</t>
        </is>
      </c>
      <c r="T54" s="19" t="n">
        <v>31</v>
      </c>
      <c r="U54" s="20" t="inlineStr">
        <is>
          <t>SURI_JUMIA</t>
        </is>
      </c>
      <c r="V54" s="20" t="inlineStr">
        <is>
          <t>Brosse à dents électrique sonique durable</t>
        </is>
      </c>
      <c r="W54" s="20" t="inlineStr">
        <is>
          <t>Suri (marketplace)</t>
        </is>
      </c>
      <c r="X54" s="20" t="inlineStr">
        <is>
          <t>Sonique</t>
        </is>
      </c>
      <c r="Y54" s="20" t="inlineStr">
        <is>
          <t>40 000 VPM</t>
        </is>
      </c>
      <c r="Z54" s="20" t="inlineStr">
        <is>
          <t>5 modes (Clean, White, Polish, Soft, Gum Care)</t>
        </is>
      </c>
      <c r="AA54" s="20" t="n">
        <v>30</v>
      </c>
      <c r="AB54" s="37" t="inlineStr">
        <is>
          <t>N/D</t>
        </is>
      </c>
      <c r="AC54" s="20" t="inlineStr">
        <is>
          <t>Non</t>
        </is>
      </c>
      <c r="AD54" s="20" t="inlineStr">
        <is>
          <t>Li-ion, charge rapide 4 h</t>
        </is>
      </c>
      <c r="AE54" s="20" t="inlineStr">
        <is>
          <t>CI vérifié (Jumia). SN, BF, CM, BJ non vérifiés.</t>
        </is>
      </c>
      <c r="AF54" s="20" t="inlineStr">
        <is>
          <t>Jumia CI</t>
        </is>
      </c>
      <c r="AG54" s="21" t="inlineStr">
        <is>
          <t>https://www.jumia.ci/slp/brosse-a-dents-electrique-durable-suri</t>
        </is>
      </c>
      <c r="AH54" s="21" t="inlineStr">
        <is>
          <t>https://www.jumia.ci/brosse-a-dents-electrique/</t>
        </is>
      </c>
      <c r="AI54" s="20" t="inlineStr">
        <is>
          <t>Rapprochement sur le positionnement marketplace : specs proches, marque non installée. Offre marketplace au positionnement identique à SEAGO : mêmes specs annoncées, marque non installée.</t>
        </is>
      </c>
      <c r="AJ54" s="22">
        <f>IFERROR(IF(IF('Relevé prix'!$B$1="SN",VLOOKUP($U54,'Relevé prix'!$A$4:$N$60,11,FALSE),VLOOKUP($U54,'Relevé prix'!$A$4:$N$60,7,FALSE))=0,"",IF('Relevé prix'!$B$1="SN",VLOOKUP($U54,'Relevé prix'!$A$4:$N$60,11,FALSE),VLOOKUP($U54,'Relevé prix'!$A$4:$N$60,7,FALSE))),"")</f>
        <v/>
      </c>
      <c r="AK54" s="23">
        <f>IFERROR(IF(IF('Relevé prix'!$B$1="SN",VLOOKUP($U54,'Relevé prix'!$A$4:$N$60,12,FALSE),VLOOKUP($U54,'Relevé prix'!$A$4:$N$60,8,FALSE))=0,"",IF('Relevé prix'!$B$1="SN",VLOOKUP($U54,'Relevé prix'!$A$4:$N$60,12,FALSE),VLOOKUP($U54,'Relevé prix'!$A$4:$N$60,8,FALSE))),"")</f>
        <v/>
      </c>
      <c r="AL54" s="24" t="n"/>
      <c r="AM54" s="25" t="n"/>
      <c r="AN54" s="25" t="n"/>
      <c r="AO54" s="22">
        <f>IF(OR(AL54="",AJ54=""),"",AL54-AJ54)</f>
        <v/>
      </c>
      <c r="AP54" s="26">
        <f>IF(OR(AL54="",AJ54="",AJ54=0),"",(AL54-AJ54)/AJ54)</f>
        <v/>
      </c>
      <c r="AQ54" s="27">
        <f>IF(AP54="","",IF(AP54&lt;-0.05,"Moins cher",IF(AP54&gt;0.05,"Plus cher","Équivalent")))</f>
        <v/>
      </c>
    </row>
    <row r="55">
      <c r="A55" s="28" t="inlineStr">
        <is>
          <t>SG-910</t>
        </is>
      </c>
      <c r="B55" s="28" t="inlineStr">
        <is>
          <t>Pro Sonic</t>
        </is>
      </c>
      <c r="C55" s="28" t="inlineStr">
        <is>
          <t>Sonique</t>
        </is>
      </c>
      <c r="D55" s="28" t="inlineStr">
        <is>
          <t>Adulte</t>
        </is>
      </c>
      <c r="E55" s="29" t="n">
        <v>40000</v>
      </c>
      <c r="F55" s="29" t="n">
        <v>40000</v>
      </c>
      <c r="G55" s="30" t="n">
        <v>2</v>
      </c>
      <c r="H55" s="30" t="n">
        <v>150</v>
      </c>
      <c r="I55" s="35" t="inlineStr">
        <is>
          <t>N/D</t>
        </is>
      </c>
      <c r="J55" s="28" t="inlineStr">
        <is>
          <t>Piles (2x AA)</t>
        </is>
      </c>
      <c r="K55" s="28" t="inlineStr">
        <is>
          <t>Piles</t>
        </is>
      </c>
      <c r="L55" s="34" t="inlineStr">
        <is>
          <t>N/D</t>
        </is>
      </c>
      <c r="M55" s="28" t="inlineStr">
        <is>
          <t>IPX7</t>
        </is>
      </c>
      <c r="N55" s="28" t="inlineStr">
        <is>
          <t>Non</t>
        </is>
      </c>
      <c r="O55" s="28" t="inlineStr">
        <is>
          <t>Aucun</t>
        </is>
      </c>
      <c r="P55" s="28" t="inlineStr">
        <is>
          <t>Oui</t>
        </is>
      </c>
      <c r="Q55" s="31" t="n">
        <v>45</v>
      </c>
      <c r="R55" s="28" t="inlineStr">
        <is>
          <t>26*26*228</t>
        </is>
      </c>
      <c r="S55" s="32" t="inlineStr">
        <is>
          <t>Tête de brosse remplaçable</t>
        </is>
      </c>
      <c r="T55" s="33" t="n">
        <v>32</v>
      </c>
      <c r="U55" s="20" t="inlineStr">
        <is>
          <t>COLGATE_150</t>
        </is>
      </c>
      <c r="V55" s="20" t="inlineStr">
        <is>
          <t>ProClinical 150 (Charcoal / Deep Clean)</t>
        </is>
      </c>
      <c r="W55" s="20" t="inlineStr">
        <is>
          <t>Colgate</t>
        </is>
      </c>
      <c r="X55" s="20" t="inlineStr">
        <is>
          <t>Sonique à piles</t>
        </is>
      </c>
      <c r="Y55" s="20" t="inlineStr">
        <is>
          <t>20 000 strokes/min</t>
        </is>
      </c>
      <c r="Z55" s="20" t="inlineStr">
        <is>
          <t>1 mode</t>
        </is>
      </c>
      <c r="AA55" s="37" t="inlineStr">
        <is>
          <t>N/D</t>
        </is>
      </c>
      <c r="AB55" s="37" t="inlineStr">
        <is>
          <t>N/D</t>
        </is>
      </c>
      <c r="AC55" s="20" t="inlineStr">
        <is>
          <t>Non</t>
        </is>
      </c>
      <c r="AD55" s="20" t="inlineStr">
        <is>
          <t>2 piles AAA</t>
        </is>
      </c>
      <c r="AE55" s="20" t="inlineStr">
        <is>
          <t>Non vérifié sur CI, SN, BF, CM, BJ. Marque Colgate largement distribuée en GMS et pharmacie sur ces marchés.</t>
        </is>
      </c>
      <c r="AF55" s="20" t="inlineStr">
        <is>
          <t>GMS, pharmacies</t>
        </is>
      </c>
      <c r="AG55" s="21" t="inlineStr">
        <is>
          <t>https://www.colgate.com/en-my/products/toothbrush/colgate-proclinical-150-charcoal-battery-powered-toothbrush</t>
        </is>
      </c>
      <c r="AH55" s="21" t="inlineStr">
        <is>
          <t>https://www.colgate.com/en-my/products/toothbrush/colgate-proclinical-150-deepclean-battery-powered-toothbrush</t>
        </is>
      </c>
      <c r="AI55" s="20" t="inlineStr">
        <is>
          <t>Rapprochement sur l'alimentation à piles et le positionnement prix d'entrée de gamme. Concurrent de référence du segment SEAGO à piles : marque installée, prix d'entrée, tête remplaçable.</t>
        </is>
      </c>
      <c r="AJ55" s="22">
        <f>IFERROR(IF(IF('Relevé prix'!$B$1="SN",VLOOKUP($U55,'Relevé prix'!$A$4:$N$60,11,FALSE),VLOOKUP($U55,'Relevé prix'!$A$4:$N$60,7,FALSE))=0,"",IF('Relevé prix'!$B$1="SN",VLOOKUP($U55,'Relevé prix'!$A$4:$N$60,11,FALSE),VLOOKUP($U55,'Relevé prix'!$A$4:$N$60,7,FALSE))),"")</f>
        <v/>
      </c>
      <c r="AK55" s="23">
        <f>IFERROR(IF(IF('Relevé prix'!$B$1="SN",VLOOKUP($U55,'Relevé prix'!$A$4:$N$60,12,FALSE),VLOOKUP($U55,'Relevé prix'!$A$4:$N$60,8,FALSE))=0,"",IF('Relevé prix'!$B$1="SN",VLOOKUP($U55,'Relevé prix'!$A$4:$N$60,12,FALSE),VLOOKUP($U55,'Relevé prix'!$A$4:$N$60,8,FALSE))),"")</f>
        <v/>
      </c>
      <c r="AL55" s="24" t="n"/>
      <c r="AM55" s="25" t="n"/>
      <c r="AN55" s="25" t="n"/>
      <c r="AO55" s="22">
        <f>IF(OR(AL55="",AJ55=""),"",AL55-AJ55)</f>
        <v/>
      </c>
      <c r="AP55" s="26">
        <f>IF(OR(AL55="",AJ55="",AJ55=0),"",(AL55-AJ55)/AJ55)</f>
        <v/>
      </c>
      <c r="AQ55" s="27">
        <f>IF(AP55="","",IF(AP55&lt;-0.05,"Moins cher",IF(AP55&gt;0.05,"Plus cher","Équivalent")))</f>
        <v/>
      </c>
    </row>
    <row r="56">
      <c r="A56" s="13" t="inlineStr">
        <is>
          <t>SG-959</t>
        </is>
      </c>
      <c r="B56" s="13" t="inlineStr">
        <is>
          <t>Pro Sonic</t>
        </is>
      </c>
      <c r="C56" s="13" t="inlineStr">
        <is>
          <t>Sonique</t>
        </is>
      </c>
      <c r="D56" s="13" t="inlineStr">
        <is>
          <t>Adulte</t>
        </is>
      </c>
      <c r="E56" s="14" t="n">
        <v>40000</v>
      </c>
      <c r="F56" s="14" t="n">
        <v>40000</v>
      </c>
      <c r="G56" s="15" t="n">
        <v>3</v>
      </c>
      <c r="H56" s="15" t="n">
        <v>90</v>
      </c>
      <c r="I56" s="38" t="inlineStr">
        <is>
          <t>N/D</t>
        </is>
      </c>
      <c r="J56" s="13" t="inlineStr">
        <is>
          <t>Piles (2x AAA)</t>
        </is>
      </c>
      <c r="K56" s="13" t="inlineStr">
        <is>
          <t>Piles</t>
        </is>
      </c>
      <c r="L56" s="16" t="inlineStr">
        <is>
          <t>N/D</t>
        </is>
      </c>
      <c r="M56" s="13" t="inlineStr">
        <is>
          <t>IPX7</t>
        </is>
      </c>
      <c r="N56" s="13" t="inlineStr">
        <is>
          <t>Non</t>
        </is>
      </c>
      <c r="O56" s="13" t="inlineStr">
        <is>
          <t>Aucun</t>
        </is>
      </c>
      <c r="P56" s="13" t="inlineStr">
        <is>
          <t>Oui</t>
        </is>
      </c>
      <c r="Q56" s="17" t="n">
        <v>35.5</v>
      </c>
      <c r="R56" s="13" t="inlineStr">
        <is>
          <t>22*22*218</t>
        </is>
      </c>
      <c r="S56" s="18" t="inlineStr">
        <is>
          <t>Tête de brosse remplaçable, fonction mémoire</t>
        </is>
      </c>
      <c r="T56" s="19" t="n">
        <v>32</v>
      </c>
      <c r="U56" s="20" t="inlineStr">
        <is>
          <t>COLGATE_150</t>
        </is>
      </c>
      <c r="V56" s="20" t="inlineStr">
        <is>
          <t>ProClinical 150 (Charcoal / Deep Clean)</t>
        </is>
      </c>
      <c r="W56" s="20" t="inlineStr">
        <is>
          <t>Colgate</t>
        </is>
      </c>
      <c r="X56" s="20" t="inlineStr">
        <is>
          <t>Sonique à piles</t>
        </is>
      </c>
      <c r="Y56" s="20" t="inlineStr">
        <is>
          <t>20 000 strokes/min</t>
        </is>
      </c>
      <c r="Z56" s="20" t="inlineStr">
        <is>
          <t>1 mode</t>
        </is>
      </c>
      <c r="AA56" s="37" t="inlineStr">
        <is>
          <t>N/D</t>
        </is>
      </c>
      <c r="AB56" s="37" t="inlineStr">
        <is>
          <t>N/D</t>
        </is>
      </c>
      <c r="AC56" s="20" t="inlineStr">
        <is>
          <t>Non</t>
        </is>
      </c>
      <c r="AD56" s="20" t="inlineStr">
        <is>
          <t>2 piles AAA</t>
        </is>
      </c>
      <c r="AE56" s="20" t="inlineStr">
        <is>
          <t>Non vérifié sur CI, SN, BF, CM, BJ. Marque Colgate largement distribuée en GMS et pharmacie sur ces marchés.</t>
        </is>
      </c>
      <c r="AF56" s="20" t="inlineStr">
        <is>
          <t>GMS, pharmacies</t>
        </is>
      </c>
      <c r="AG56" s="21" t="inlineStr">
        <is>
          <t>https://www.colgate.com/en-my/products/toothbrush/colgate-proclinical-150-charcoal-battery-powered-toothbrush</t>
        </is>
      </c>
      <c r="AH56" s="21" t="inlineStr">
        <is>
          <t>https://www.colgate.com/en-my/products/toothbrush/colgate-proclinical-150-deepclean-battery-powered-toothbrush</t>
        </is>
      </c>
      <c r="AI56" s="20" t="inlineStr">
        <is>
          <t>Rapprochement sur l'alimentation à piles et le positionnement prix d'entrée de gamme. Concurrent de référence du segment SEAGO à piles : marque installée, prix d'entrée, tête remplaçable.</t>
        </is>
      </c>
      <c r="AJ56" s="22">
        <f>IFERROR(IF(IF('Relevé prix'!$B$1="SN",VLOOKUP($U56,'Relevé prix'!$A$4:$N$60,11,FALSE),VLOOKUP($U56,'Relevé prix'!$A$4:$N$60,7,FALSE))=0,"",IF('Relevé prix'!$B$1="SN",VLOOKUP($U56,'Relevé prix'!$A$4:$N$60,11,FALSE),VLOOKUP($U56,'Relevé prix'!$A$4:$N$60,7,FALSE))),"")</f>
        <v/>
      </c>
      <c r="AK56" s="23">
        <f>IFERROR(IF(IF('Relevé prix'!$B$1="SN",VLOOKUP($U56,'Relevé prix'!$A$4:$N$60,12,FALSE),VLOOKUP($U56,'Relevé prix'!$A$4:$N$60,8,FALSE))=0,"",IF('Relevé prix'!$B$1="SN",VLOOKUP($U56,'Relevé prix'!$A$4:$N$60,12,FALSE),VLOOKUP($U56,'Relevé prix'!$A$4:$N$60,8,FALSE))),"")</f>
        <v/>
      </c>
      <c r="AL56" s="24" t="n"/>
      <c r="AM56" s="25" t="n"/>
      <c r="AN56" s="25" t="n"/>
      <c r="AO56" s="22">
        <f>IF(OR(AL56="",AJ56=""),"",AL56-AJ56)</f>
        <v/>
      </c>
      <c r="AP56" s="26">
        <f>IF(OR(AL56="",AJ56="",AJ56=0),"",(AL56-AJ56)/AJ56)</f>
        <v/>
      </c>
      <c r="AQ56" s="27">
        <f>IF(AP56="","",IF(AP56&lt;-0.05,"Moins cher",IF(AP56&gt;0.05,"Plus cher","Équivalent")))</f>
        <v/>
      </c>
    </row>
    <row r="57">
      <c r="A57" s="28" t="inlineStr">
        <is>
          <t>SG-549</t>
        </is>
      </c>
      <c r="B57" s="28" t="inlineStr">
        <is>
          <t>Pro Sonic</t>
        </is>
      </c>
      <c r="C57" s="28" t="inlineStr">
        <is>
          <t>Sonique</t>
        </is>
      </c>
      <c r="D57" s="28" t="inlineStr">
        <is>
          <t>Adulte</t>
        </is>
      </c>
      <c r="E57" s="29" t="n">
        <v>40000</v>
      </c>
      <c r="F57" s="29" t="n">
        <v>40000</v>
      </c>
      <c r="G57" s="30" t="n">
        <v>3</v>
      </c>
      <c r="H57" s="30" t="n">
        <v>90</v>
      </c>
      <c r="I57" s="35" t="inlineStr">
        <is>
          <t>N/D</t>
        </is>
      </c>
      <c r="J57" s="28" t="inlineStr">
        <is>
          <t>Piles (2x AAA)</t>
        </is>
      </c>
      <c r="K57" s="28" t="inlineStr">
        <is>
          <t>Piles</t>
        </is>
      </c>
      <c r="L57" s="34" t="inlineStr">
        <is>
          <t>N/D</t>
        </is>
      </c>
      <c r="M57" s="28" t="inlineStr">
        <is>
          <t>IPX7</t>
        </is>
      </c>
      <c r="N57" s="28" t="inlineStr">
        <is>
          <t>Non</t>
        </is>
      </c>
      <c r="O57" s="28" t="inlineStr">
        <is>
          <t>Aucun</t>
        </is>
      </c>
      <c r="P57" s="28" t="inlineStr">
        <is>
          <t>Oui</t>
        </is>
      </c>
      <c r="Q57" s="31" t="n">
        <v>34</v>
      </c>
      <c r="R57" s="28" t="inlineStr">
        <is>
          <t>19.9*20.8*220</t>
        </is>
      </c>
      <c r="S57" s="32" t="inlineStr">
        <is>
          <t>Tête de brosse remplaçable, fonction mémoire</t>
        </is>
      </c>
      <c r="T57" s="33" t="n">
        <v>33</v>
      </c>
      <c r="U57" s="20" t="inlineStr">
        <is>
          <t>COLGATE_150</t>
        </is>
      </c>
      <c r="V57" s="20" t="inlineStr">
        <is>
          <t>ProClinical 150 (Charcoal / Deep Clean)</t>
        </is>
      </c>
      <c r="W57" s="20" t="inlineStr">
        <is>
          <t>Colgate</t>
        </is>
      </c>
      <c r="X57" s="20" t="inlineStr">
        <is>
          <t>Sonique à piles</t>
        </is>
      </c>
      <c r="Y57" s="20" t="inlineStr">
        <is>
          <t>20 000 strokes/min</t>
        </is>
      </c>
      <c r="Z57" s="20" t="inlineStr">
        <is>
          <t>1 mode</t>
        </is>
      </c>
      <c r="AA57" s="37" t="inlineStr">
        <is>
          <t>N/D</t>
        </is>
      </c>
      <c r="AB57" s="37" t="inlineStr">
        <is>
          <t>N/D</t>
        </is>
      </c>
      <c r="AC57" s="20" t="inlineStr">
        <is>
          <t>Non</t>
        </is>
      </c>
      <c r="AD57" s="20" t="inlineStr">
        <is>
          <t>2 piles AAA</t>
        </is>
      </c>
      <c r="AE57" s="20" t="inlineStr">
        <is>
          <t>Non vérifié sur CI, SN, BF, CM, BJ. Marque Colgate largement distribuée en GMS et pharmacie sur ces marchés.</t>
        </is>
      </c>
      <c r="AF57" s="20" t="inlineStr">
        <is>
          <t>GMS, pharmacies</t>
        </is>
      </c>
      <c r="AG57" s="21" t="inlineStr">
        <is>
          <t>https://www.colgate.com/en-my/products/toothbrush/colgate-proclinical-150-charcoal-battery-powered-toothbrush</t>
        </is>
      </c>
      <c r="AH57" s="21" t="inlineStr">
        <is>
          <t>https://www.colgate.com/en-my/products/toothbrush/colgate-proclinical-150-deepclean-battery-powered-toothbrush</t>
        </is>
      </c>
      <c r="AI57" s="20" t="inlineStr">
        <is>
          <t>Rapprochement sur l'alimentation à piles et le positionnement prix d'entrée de gamme. Concurrent de référence du segment SEAGO à piles : marque installée, prix d'entrée, tête remplaçable.</t>
        </is>
      </c>
      <c r="AJ57" s="22">
        <f>IFERROR(IF(IF('Relevé prix'!$B$1="SN",VLOOKUP($U57,'Relevé prix'!$A$4:$N$60,11,FALSE),VLOOKUP($U57,'Relevé prix'!$A$4:$N$60,7,FALSE))=0,"",IF('Relevé prix'!$B$1="SN",VLOOKUP($U57,'Relevé prix'!$A$4:$N$60,11,FALSE),VLOOKUP($U57,'Relevé prix'!$A$4:$N$60,7,FALSE))),"")</f>
        <v/>
      </c>
      <c r="AK57" s="23">
        <f>IFERROR(IF(IF('Relevé prix'!$B$1="SN",VLOOKUP($U57,'Relevé prix'!$A$4:$N$60,12,FALSE),VLOOKUP($U57,'Relevé prix'!$A$4:$N$60,8,FALSE))=0,"",IF('Relevé prix'!$B$1="SN",VLOOKUP($U57,'Relevé prix'!$A$4:$N$60,12,FALSE),VLOOKUP($U57,'Relevé prix'!$A$4:$N$60,8,FALSE))),"")</f>
        <v/>
      </c>
      <c r="AL57" s="24" t="n"/>
      <c r="AM57" s="25" t="n"/>
      <c r="AN57" s="25" t="n"/>
      <c r="AO57" s="22">
        <f>IF(OR(AL57="",AJ57=""),"",AL57-AJ57)</f>
        <v/>
      </c>
      <c r="AP57" s="26">
        <f>IF(OR(AL57="",AJ57="",AJ57=0),"",(AL57-AJ57)/AJ57)</f>
        <v/>
      </c>
      <c r="AQ57" s="27">
        <f>IF(AP57="","",IF(AP57&lt;-0.05,"Moins cher",IF(AP57&gt;0.05,"Plus cher","Équivalent")))</f>
        <v/>
      </c>
    </row>
    <row r="58">
      <c r="A58" s="13" t="inlineStr">
        <is>
          <t>SG-2011</t>
        </is>
      </c>
      <c r="B58" s="13" t="inlineStr">
        <is>
          <t>Pro Sonic</t>
        </is>
      </c>
      <c r="C58" s="13" t="inlineStr">
        <is>
          <t>Sonique</t>
        </is>
      </c>
      <c r="D58" s="13" t="inlineStr">
        <is>
          <t>Adulte</t>
        </is>
      </c>
      <c r="E58" s="14" t="n">
        <v>40000</v>
      </c>
      <c r="F58" s="14" t="n">
        <v>40000</v>
      </c>
      <c r="G58" s="15" t="n">
        <v>5</v>
      </c>
      <c r="H58" s="15" t="n">
        <v>90</v>
      </c>
      <c r="I58" s="38" t="inlineStr">
        <is>
          <t>N/D</t>
        </is>
      </c>
      <c r="J58" s="13" t="inlineStr">
        <is>
          <t>Piles (2x AAA)</t>
        </is>
      </c>
      <c r="K58" s="13" t="inlineStr">
        <is>
          <t>Piles</t>
        </is>
      </c>
      <c r="L58" s="16" t="inlineStr">
        <is>
          <t>N/D</t>
        </is>
      </c>
      <c r="M58" s="13" t="inlineStr">
        <is>
          <t>IPX7</t>
        </is>
      </c>
      <c r="N58" s="13" t="inlineStr">
        <is>
          <t>Non</t>
        </is>
      </c>
      <c r="O58" s="13" t="inlineStr">
        <is>
          <t>Aucun</t>
        </is>
      </c>
      <c r="P58" s="13" t="inlineStr">
        <is>
          <t>Oui</t>
        </is>
      </c>
      <c r="Q58" s="17" t="n">
        <v>36.5</v>
      </c>
      <c r="R58" s="13" t="inlineStr">
        <is>
          <t>21*20.9*218</t>
        </is>
      </c>
      <c r="S58" s="18" t="inlineStr">
        <is>
          <t>Tête de brosse remplaçable</t>
        </is>
      </c>
      <c r="T58" s="19" t="n">
        <v>33</v>
      </c>
      <c r="U58" s="20" t="inlineStr">
        <is>
          <t>COLGATE_150</t>
        </is>
      </c>
      <c r="V58" s="20" t="inlineStr">
        <is>
          <t>ProClinical 150 (Charcoal / Deep Clean)</t>
        </is>
      </c>
      <c r="W58" s="20" t="inlineStr">
        <is>
          <t>Colgate</t>
        </is>
      </c>
      <c r="X58" s="20" t="inlineStr">
        <is>
          <t>Sonique à piles</t>
        </is>
      </c>
      <c r="Y58" s="20" t="inlineStr">
        <is>
          <t>20 000 strokes/min</t>
        </is>
      </c>
      <c r="Z58" s="20" t="inlineStr">
        <is>
          <t>1 mode</t>
        </is>
      </c>
      <c r="AA58" s="37" t="inlineStr">
        <is>
          <t>N/D</t>
        </is>
      </c>
      <c r="AB58" s="37" t="inlineStr">
        <is>
          <t>N/D</t>
        </is>
      </c>
      <c r="AC58" s="20" t="inlineStr">
        <is>
          <t>Non</t>
        </is>
      </c>
      <c r="AD58" s="20" t="inlineStr">
        <is>
          <t>2 piles AAA</t>
        </is>
      </c>
      <c r="AE58" s="20" t="inlineStr">
        <is>
          <t>Non vérifié sur CI, SN, BF, CM, BJ. Marque Colgate largement distribuée en GMS et pharmacie sur ces marchés.</t>
        </is>
      </c>
      <c r="AF58" s="20" t="inlineStr">
        <is>
          <t>GMS, pharmacies</t>
        </is>
      </c>
      <c r="AG58" s="21" t="inlineStr">
        <is>
          <t>https://www.colgate.com/en-my/products/toothbrush/colgate-proclinical-150-charcoal-battery-powered-toothbrush</t>
        </is>
      </c>
      <c r="AH58" s="21" t="inlineStr">
        <is>
          <t>https://www.colgate.com/en-my/products/toothbrush/colgate-proclinical-150-deepclean-battery-powered-toothbrush</t>
        </is>
      </c>
      <c r="AI58" s="20" t="inlineStr">
        <is>
          <t>Rapprochement sur l'alimentation à piles et le positionnement prix d'entrée de gamme. Concurrent de référence du segment SEAGO à piles : marque installée, prix d'entrée, tête remplaçable.</t>
        </is>
      </c>
      <c r="AJ58" s="22">
        <f>IFERROR(IF(IF('Relevé prix'!$B$1="SN",VLOOKUP($U58,'Relevé prix'!$A$4:$N$60,11,FALSE),VLOOKUP($U58,'Relevé prix'!$A$4:$N$60,7,FALSE))=0,"",IF('Relevé prix'!$B$1="SN",VLOOKUP($U58,'Relevé prix'!$A$4:$N$60,11,FALSE),VLOOKUP($U58,'Relevé prix'!$A$4:$N$60,7,FALSE))),"")</f>
        <v/>
      </c>
      <c r="AK58" s="23">
        <f>IFERROR(IF(IF('Relevé prix'!$B$1="SN",VLOOKUP($U58,'Relevé prix'!$A$4:$N$60,12,FALSE),VLOOKUP($U58,'Relevé prix'!$A$4:$N$60,8,FALSE))=0,"",IF('Relevé prix'!$B$1="SN",VLOOKUP($U58,'Relevé prix'!$A$4:$N$60,12,FALSE),VLOOKUP($U58,'Relevé prix'!$A$4:$N$60,8,FALSE))),"")</f>
        <v/>
      </c>
      <c r="AL58" s="24" t="n"/>
      <c r="AM58" s="25" t="n"/>
      <c r="AN58" s="25" t="n"/>
      <c r="AO58" s="22">
        <f>IF(OR(AL58="",AJ58=""),"",AL58-AJ58)</f>
        <v/>
      </c>
      <c r="AP58" s="26">
        <f>IF(OR(AL58="",AJ58="",AJ58=0),"",(AL58-AJ58)/AJ58)</f>
        <v/>
      </c>
      <c r="AQ58" s="27">
        <f>IF(AP58="","",IF(AP58&lt;-0.05,"Moins cher",IF(AP58&gt;0.05,"Plus cher","Équivalent")))</f>
        <v/>
      </c>
    </row>
    <row r="59">
      <c r="A59" s="28" t="inlineStr">
        <is>
          <t>SG-503</t>
        </is>
      </c>
      <c r="B59" s="28" t="inlineStr">
        <is>
          <t>Pro Sonic</t>
        </is>
      </c>
      <c r="C59" s="28" t="inlineStr">
        <is>
          <t>Sonique</t>
        </is>
      </c>
      <c r="D59" s="28" t="inlineStr">
        <is>
          <t>Adulte</t>
        </is>
      </c>
      <c r="E59" s="29" t="n">
        <v>40000</v>
      </c>
      <c r="F59" s="29" t="n">
        <v>40000</v>
      </c>
      <c r="G59" s="35" t="inlineStr">
        <is>
          <t>N/D</t>
        </is>
      </c>
      <c r="H59" s="30" t="n">
        <v>90</v>
      </c>
      <c r="I59" s="35" t="inlineStr">
        <is>
          <t>N/D</t>
        </is>
      </c>
      <c r="J59" s="28" t="inlineStr">
        <is>
          <t>Piles (2x AAA)</t>
        </is>
      </c>
      <c r="K59" s="28" t="inlineStr">
        <is>
          <t>Piles</t>
        </is>
      </c>
      <c r="L59" s="34" t="inlineStr">
        <is>
          <t>N/D</t>
        </is>
      </c>
      <c r="M59" s="28" t="inlineStr">
        <is>
          <t>IPX7</t>
        </is>
      </c>
      <c r="N59" s="28" t="inlineStr">
        <is>
          <t>Non</t>
        </is>
      </c>
      <c r="O59" s="28" t="inlineStr">
        <is>
          <t>Aucun</t>
        </is>
      </c>
      <c r="P59" s="28" t="inlineStr">
        <is>
          <t>Non</t>
        </is>
      </c>
      <c r="Q59" s="31" t="n">
        <v>37.5</v>
      </c>
      <c r="R59" s="28" t="inlineStr">
        <is>
          <t>25*25*219</t>
        </is>
      </c>
      <c r="S59" s="32" t="inlineStr">
        <is>
          <t>Commande à un seul bouton, tête de brosse remplaçable</t>
        </is>
      </c>
      <c r="T59" s="33" t="n">
        <v>34</v>
      </c>
      <c r="U59" s="20" t="inlineStr">
        <is>
          <t>COLGATE_150</t>
        </is>
      </c>
      <c r="V59" s="20" t="inlineStr">
        <is>
          <t>ProClinical 150 (Charcoal / Deep Clean)</t>
        </is>
      </c>
      <c r="W59" s="20" t="inlineStr">
        <is>
          <t>Colgate</t>
        </is>
      </c>
      <c r="X59" s="20" t="inlineStr">
        <is>
          <t>Sonique à piles</t>
        </is>
      </c>
      <c r="Y59" s="20" t="inlineStr">
        <is>
          <t>20 000 strokes/min</t>
        </is>
      </c>
      <c r="Z59" s="20" t="inlineStr">
        <is>
          <t>1 mode</t>
        </is>
      </c>
      <c r="AA59" s="37" t="inlineStr">
        <is>
          <t>N/D</t>
        </is>
      </c>
      <c r="AB59" s="37" t="inlineStr">
        <is>
          <t>N/D</t>
        </is>
      </c>
      <c r="AC59" s="20" t="inlineStr">
        <is>
          <t>Non</t>
        </is>
      </c>
      <c r="AD59" s="20" t="inlineStr">
        <is>
          <t>2 piles AAA</t>
        </is>
      </c>
      <c r="AE59" s="20" t="inlineStr">
        <is>
          <t>Non vérifié sur CI, SN, BF, CM, BJ. Marque Colgate largement distribuée en GMS et pharmacie sur ces marchés.</t>
        </is>
      </c>
      <c r="AF59" s="20" t="inlineStr">
        <is>
          <t>GMS, pharmacies</t>
        </is>
      </c>
      <c r="AG59" s="21" t="inlineStr">
        <is>
          <t>https://www.colgate.com/en-my/products/toothbrush/colgate-proclinical-150-charcoal-battery-powered-toothbrush</t>
        </is>
      </c>
      <c r="AH59" s="21" t="inlineStr">
        <is>
          <t>https://www.colgate.com/en-my/products/toothbrush/colgate-proclinical-150-deepclean-battery-powered-toothbrush</t>
        </is>
      </c>
      <c r="AI59" s="20" t="inlineStr">
        <is>
          <t>Rapprochement sur l'alimentation à piles et le positionnement prix d'entrée de gamme. Concurrent de référence du segment SEAGO à piles : marque installée, prix d'entrée, tête remplaçable.</t>
        </is>
      </c>
      <c r="AJ59" s="22">
        <f>IFERROR(IF(IF('Relevé prix'!$B$1="SN",VLOOKUP($U59,'Relevé prix'!$A$4:$N$60,11,FALSE),VLOOKUP($U59,'Relevé prix'!$A$4:$N$60,7,FALSE))=0,"",IF('Relevé prix'!$B$1="SN",VLOOKUP($U59,'Relevé prix'!$A$4:$N$60,11,FALSE),VLOOKUP($U59,'Relevé prix'!$A$4:$N$60,7,FALSE))),"")</f>
        <v/>
      </c>
      <c r="AK59" s="23">
        <f>IFERROR(IF(IF('Relevé prix'!$B$1="SN",VLOOKUP($U59,'Relevé prix'!$A$4:$N$60,12,FALSE),VLOOKUP($U59,'Relevé prix'!$A$4:$N$60,8,FALSE))=0,"",IF('Relevé prix'!$B$1="SN",VLOOKUP($U59,'Relevé prix'!$A$4:$N$60,12,FALSE),VLOOKUP($U59,'Relevé prix'!$A$4:$N$60,8,FALSE))),"")</f>
        <v/>
      </c>
      <c r="AL59" s="24" t="n"/>
      <c r="AM59" s="25" t="n"/>
      <c r="AN59" s="25" t="n"/>
      <c r="AO59" s="22">
        <f>IF(OR(AL59="",AJ59=""),"",AL59-AJ59)</f>
        <v/>
      </c>
      <c r="AP59" s="26">
        <f>IF(OR(AL59="",AJ59="",AJ59=0),"",(AL59-AJ59)/AJ59)</f>
        <v/>
      </c>
      <c r="AQ59" s="27">
        <f>IF(AP59="","",IF(AP59&lt;-0.05,"Moins cher",IF(AP59&gt;0.05,"Plus cher","Équivalent")))</f>
        <v/>
      </c>
    </row>
    <row r="60">
      <c r="A60" s="13" t="inlineStr">
        <is>
          <t>SG-2301</t>
        </is>
      </c>
      <c r="B60" s="13" t="inlineStr">
        <is>
          <t>Pro Sonic</t>
        </is>
      </c>
      <c r="C60" s="13" t="inlineStr">
        <is>
          <t>Sonique</t>
        </is>
      </c>
      <c r="D60" s="13" t="inlineStr">
        <is>
          <t>Adulte</t>
        </is>
      </c>
      <c r="E60" s="14" t="n">
        <v>40000</v>
      </c>
      <c r="F60" s="14" t="n">
        <v>40000</v>
      </c>
      <c r="G60" s="38" t="inlineStr">
        <is>
          <t>N/D</t>
        </is>
      </c>
      <c r="H60" s="15" t="n">
        <v>90</v>
      </c>
      <c r="I60" s="38" t="inlineStr">
        <is>
          <t>N/D</t>
        </is>
      </c>
      <c r="J60" s="13" t="inlineStr">
        <is>
          <t>Piles (2x AAA)</t>
        </is>
      </c>
      <c r="K60" s="13" t="inlineStr">
        <is>
          <t>Piles</t>
        </is>
      </c>
      <c r="L60" s="16" t="inlineStr">
        <is>
          <t>N/D</t>
        </is>
      </c>
      <c r="M60" s="13" t="inlineStr">
        <is>
          <t>IPX7</t>
        </is>
      </c>
      <c r="N60" s="13" t="inlineStr">
        <is>
          <t>Non</t>
        </is>
      </c>
      <c r="O60" s="13" t="inlineStr">
        <is>
          <t>Aucun</t>
        </is>
      </c>
      <c r="P60" s="13" t="inlineStr">
        <is>
          <t>Non</t>
        </is>
      </c>
      <c r="Q60" s="17" t="n">
        <v>35</v>
      </c>
      <c r="R60" s="13" t="inlineStr">
        <is>
          <t>22.4*22.4*217.6</t>
        </is>
      </c>
      <c r="S60" s="18" t="inlineStr">
        <is>
          <t>Manche fin et léger, commande à un seul bouton, tête remplaçable</t>
        </is>
      </c>
      <c r="T60" s="19" t="n">
        <v>34</v>
      </c>
      <c r="U60" s="20" t="inlineStr">
        <is>
          <t>COLGATE_150</t>
        </is>
      </c>
      <c r="V60" s="20" t="inlineStr">
        <is>
          <t>ProClinical 150 (Charcoal / Deep Clean)</t>
        </is>
      </c>
      <c r="W60" s="20" t="inlineStr">
        <is>
          <t>Colgate</t>
        </is>
      </c>
      <c r="X60" s="20" t="inlineStr">
        <is>
          <t>Sonique à piles</t>
        </is>
      </c>
      <c r="Y60" s="20" t="inlineStr">
        <is>
          <t>20 000 strokes/min</t>
        </is>
      </c>
      <c r="Z60" s="20" t="inlineStr">
        <is>
          <t>1 mode</t>
        </is>
      </c>
      <c r="AA60" s="37" t="inlineStr">
        <is>
          <t>N/D</t>
        </is>
      </c>
      <c r="AB60" s="37" t="inlineStr">
        <is>
          <t>N/D</t>
        </is>
      </c>
      <c r="AC60" s="20" t="inlineStr">
        <is>
          <t>Non</t>
        </is>
      </c>
      <c r="AD60" s="20" t="inlineStr">
        <is>
          <t>2 piles AAA</t>
        </is>
      </c>
      <c r="AE60" s="20" t="inlineStr">
        <is>
          <t>Non vérifié sur CI, SN, BF, CM, BJ. Marque Colgate largement distribuée en GMS et pharmacie sur ces marchés.</t>
        </is>
      </c>
      <c r="AF60" s="20" t="inlineStr">
        <is>
          <t>GMS, pharmacies</t>
        </is>
      </c>
      <c r="AG60" s="21" t="inlineStr">
        <is>
          <t>https://www.colgate.com/en-my/products/toothbrush/colgate-proclinical-150-charcoal-battery-powered-toothbrush</t>
        </is>
      </c>
      <c r="AH60" s="21" t="inlineStr">
        <is>
          <t>https://www.colgate.com/en-my/products/toothbrush/colgate-proclinical-150-deepclean-battery-powered-toothbrush</t>
        </is>
      </c>
      <c r="AI60" s="20" t="inlineStr">
        <is>
          <t>Rapprochement sur l'alimentation à piles et le positionnement prix d'entrée de gamme. Concurrent de référence du segment SEAGO à piles : marque installée, prix d'entrée, tête remplaçable.</t>
        </is>
      </c>
      <c r="AJ60" s="22">
        <f>IFERROR(IF(IF('Relevé prix'!$B$1="SN",VLOOKUP($U60,'Relevé prix'!$A$4:$N$60,11,FALSE),VLOOKUP($U60,'Relevé prix'!$A$4:$N$60,7,FALSE))=0,"",IF('Relevé prix'!$B$1="SN",VLOOKUP($U60,'Relevé prix'!$A$4:$N$60,11,FALSE),VLOOKUP($U60,'Relevé prix'!$A$4:$N$60,7,FALSE))),"")</f>
        <v/>
      </c>
      <c r="AK60" s="23">
        <f>IFERROR(IF(IF('Relevé prix'!$B$1="SN",VLOOKUP($U60,'Relevé prix'!$A$4:$N$60,12,FALSE),VLOOKUP($U60,'Relevé prix'!$A$4:$N$60,8,FALSE))=0,"",IF('Relevé prix'!$B$1="SN",VLOOKUP($U60,'Relevé prix'!$A$4:$N$60,12,FALSE),VLOOKUP($U60,'Relevé prix'!$A$4:$N$60,8,FALSE))),"")</f>
        <v/>
      </c>
      <c r="AL60" s="24" t="n"/>
      <c r="AM60" s="25" t="n"/>
      <c r="AN60" s="25" t="n"/>
      <c r="AO60" s="22">
        <f>IF(OR(AL60="",AJ60=""),"",AL60-AJ60)</f>
        <v/>
      </c>
      <c r="AP60" s="26">
        <f>IF(OR(AL60="",AJ60="",AJ60=0),"",(AL60-AJ60)/AJ60)</f>
        <v/>
      </c>
      <c r="AQ60" s="27">
        <f>IF(AP60="","",IF(AP60&lt;-0.05,"Moins cher",IF(AP60&gt;0.05,"Plus cher","Équivalent")))</f>
        <v/>
      </c>
    </row>
    <row r="61">
      <c r="A61" s="28" t="inlineStr">
        <is>
          <t>SG-552</t>
        </is>
      </c>
      <c r="B61" s="28" t="inlineStr">
        <is>
          <t>Pro Sonic</t>
        </is>
      </c>
      <c r="C61" s="28" t="inlineStr">
        <is>
          <t>Sonique</t>
        </is>
      </c>
      <c r="D61" s="28" t="inlineStr">
        <is>
          <t>Adulte</t>
        </is>
      </c>
      <c r="E61" s="29" t="n">
        <v>28000</v>
      </c>
      <c r="F61" s="29" t="n">
        <v>28000</v>
      </c>
      <c r="G61" s="35" t="inlineStr">
        <is>
          <t>N/D</t>
        </is>
      </c>
      <c r="H61" s="30" t="n">
        <v>150</v>
      </c>
      <c r="I61" s="35" t="inlineStr">
        <is>
          <t>N/D</t>
        </is>
      </c>
      <c r="J61" s="28" t="inlineStr">
        <is>
          <t>Pile (1x AA)</t>
        </is>
      </c>
      <c r="K61" s="28" t="inlineStr">
        <is>
          <t>Piles</t>
        </is>
      </c>
      <c r="L61" s="34" t="inlineStr">
        <is>
          <t>N/D</t>
        </is>
      </c>
      <c r="M61" s="28" t="inlineStr">
        <is>
          <t>IPX7</t>
        </is>
      </c>
      <c r="N61" s="28" t="inlineStr">
        <is>
          <t>Non</t>
        </is>
      </c>
      <c r="O61" s="28" t="inlineStr">
        <is>
          <t>Aucun</t>
        </is>
      </c>
      <c r="P61" s="28" t="inlineStr">
        <is>
          <t>Non</t>
        </is>
      </c>
      <c r="Q61" s="31" t="n">
        <v>29.5</v>
      </c>
      <c r="R61" s="28" t="inlineStr">
        <is>
          <t>20*20*222</t>
        </is>
      </c>
      <c r="S61" s="32" t="inlineStr">
        <is>
          <t>Manche fin et léger, tête de brosse remplaçable</t>
        </is>
      </c>
      <c r="T61" s="33" t="n">
        <v>35</v>
      </c>
      <c r="U61" s="20" t="inlineStr">
        <is>
          <t>COLGATE_150</t>
        </is>
      </c>
      <c r="V61" s="20" t="inlineStr">
        <is>
          <t>ProClinical 150 (Charcoal / Deep Clean)</t>
        </is>
      </c>
      <c r="W61" s="20" t="inlineStr">
        <is>
          <t>Colgate</t>
        </is>
      </c>
      <c r="X61" s="20" t="inlineStr">
        <is>
          <t>Sonique à piles</t>
        </is>
      </c>
      <c r="Y61" s="20" t="inlineStr">
        <is>
          <t>20 000 strokes/min</t>
        </is>
      </c>
      <c r="Z61" s="20" t="inlineStr">
        <is>
          <t>1 mode</t>
        </is>
      </c>
      <c r="AA61" s="37" t="inlineStr">
        <is>
          <t>N/D</t>
        </is>
      </c>
      <c r="AB61" s="37" t="inlineStr">
        <is>
          <t>N/D</t>
        </is>
      </c>
      <c r="AC61" s="20" t="inlineStr">
        <is>
          <t>Non</t>
        </is>
      </c>
      <c r="AD61" s="20" t="inlineStr">
        <is>
          <t>2 piles AAA</t>
        </is>
      </c>
      <c r="AE61" s="20" t="inlineStr">
        <is>
          <t>Non vérifié sur CI, SN, BF, CM, BJ. Marque Colgate largement distribuée en GMS et pharmacie sur ces marchés.</t>
        </is>
      </c>
      <c r="AF61" s="20" t="inlineStr">
        <is>
          <t>GMS, pharmacies</t>
        </is>
      </c>
      <c r="AG61" s="21" t="inlineStr">
        <is>
          <t>https://www.colgate.com/en-my/products/toothbrush/colgate-proclinical-150-charcoal-battery-powered-toothbrush</t>
        </is>
      </c>
      <c r="AH61" s="21" t="inlineStr">
        <is>
          <t>https://www.colgate.com/en-my/products/toothbrush/colgate-proclinical-150-deepclean-battery-powered-toothbrush</t>
        </is>
      </c>
      <c r="AI61" s="20" t="inlineStr">
        <is>
          <t>Rapprochement sur l'alimentation à piles et le positionnement prix d'entrée de gamme. Concurrent de référence du segment SEAGO à piles : marque installée, prix d'entrée, tête remplaçable.</t>
        </is>
      </c>
      <c r="AJ61" s="22">
        <f>IFERROR(IF(IF('Relevé prix'!$B$1="SN",VLOOKUP($U61,'Relevé prix'!$A$4:$N$60,11,FALSE),VLOOKUP($U61,'Relevé prix'!$A$4:$N$60,7,FALSE))=0,"",IF('Relevé prix'!$B$1="SN",VLOOKUP($U61,'Relevé prix'!$A$4:$N$60,11,FALSE),VLOOKUP($U61,'Relevé prix'!$A$4:$N$60,7,FALSE))),"")</f>
        <v/>
      </c>
      <c r="AK61" s="23">
        <f>IFERROR(IF(IF('Relevé prix'!$B$1="SN",VLOOKUP($U61,'Relevé prix'!$A$4:$N$60,12,FALSE),VLOOKUP($U61,'Relevé prix'!$A$4:$N$60,8,FALSE))=0,"",IF('Relevé prix'!$B$1="SN",VLOOKUP($U61,'Relevé prix'!$A$4:$N$60,12,FALSE),VLOOKUP($U61,'Relevé prix'!$A$4:$N$60,8,FALSE))),"")</f>
        <v/>
      </c>
      <c r="AL61" s="24" t="n"/>
      <c r="AM61" s="25" t="n"/>
      <c r="AN61" s="25" t="n"/>
      <c r="AO61" s="22">
        <f>IF(OR(AL61="",AJ61=""),"",AL61-AJ61)</f>
        <v/>
      </c>
      <c r="AP61" s="26">
        <f>IF(OR(AL61="",AJ61="",AJ61=0),"",(AL61-AJ61)/AJ61)</f>
        <v/>
      </c>
      <c r="AQ61" s="27">
        <f>IF(AP61="","",IF(AP61&lt;-0.05,"Moins cher",IF(AP61&gt;0.05,"Plus cher","Équivalent")))</f>
        <v/>
      </c>
    </row>
    <row r="62">
      <c r="A62" s="13" t="inlineStr">
        <is>
          <t>SG-2309</t>
        </is>
      </c>
      <c r="B62" s="13" t="inlineStr">
        <is>
          <t>Pro Sonic</t>
        </is>
      </c>
      <c r="C62" s="13" t="inlineStr">
        <is>
          <t>Sonique</t>
        </is>
      </c>
      <c r="D62" s="13" t="inlineStr">
        <is>
          <t>Adulte</t>
        </is>
      </c>
      <c r="E62" s="14" t="n">
        <v>40000</v>
      </c>
      <c r="F62" s="14" t="n">
        <v>40000</v>
      </c>
      <c r="G62" s="38" t="inlineStr">
        <is>
          <t>N/D</t>
        </is>
      </c>
      <c r="H62" s="15" t="n">
        <v>90</v>
      </c>
      <c r="I62" s="38" t="inlineStr">
        <is>
          <t>N/D</t>
        </is>
      </c>
      <c r="J62" s="13" t="inlineStr">
        <is>
          <t>Piles (2x AAA)</t>
        </is>
      </c>
      <c r="K62" s="13" t="inlineStr">
        <is>
          <t>Piles</t>
        </is>
      </c>
      <c r="L62" s="16" t="inlineStr">
        <is>
          <t>N/D</t>
        </is>
      </c>
      <c r="M62" s="13" t="inlineStr">
        <is>
          <t>IPX7</t>
        </is>
      </c>
      <c r="N62" s="13" t="inlineStr">
        <is>
          <t>Non</t>
        </is>
      </c>
      <c r="O62" s="13" t="inlineStr">
        <is>
          <t>Aucun</t>
        </is>
      </c>
      <c r="P62" s="13" t="inlineStr">
        <is>
          <t>Non</t>
        </is>
      </c>
      <c r="Q62" s="17" t="n">
        <v>43.5</v>
      </c>
      <c r="R62" s="13" t="inlineStr">
        <is>
          <t>19.9*20.8*220</t>
        </is>
      </c>
      <c r="S62" s="18" t="inlineStr">
        <is>
          <t>Commande à un seul bouton, manche fin et léger, tête remplaçable</t>
        </is>
      </c>
      <c r="T62" s="19" t="n">
        <v>35</v>
      </c>
      <c r="U62" s="20" t="inlineStr">
        <is>
          <t>COLGATE_150</t>
        </is>
      </c>
      <c r="V62" s="20" t="inlineStr">
        <is>
          <t>ProClinical 150 (Charcoal / Deep Clean)</t>
        </is>
      </c>
      <c r="W62" s="20" t="inlineStr">
        <is>
          <t>Colgate</t>
        </is>
      </c>
      <c r="X62" s="20" t="inlineStr">
        <is>
          <t>Sonique à piles</t>
        </is>
      </c>
      <c r="Y62" s="20" t="inlineStr">
        <is>
          <t>20 000 strokes/min</t>
        </is>
      </c>
      <c r="Z62" s="20" t="inlineStr">
        <is>
          <t>1 mode</t>
        </is>
      </c>
      <c r="AA62" s="37" t="inlineStr">
        <is>
          <t>N/D</t>
        </is>
      </c>
      <c r="AB62" s="37" t="inlineStr">
        <is>
          <t>N/D</t>
        </is>
      </c>
      <c r="AC62" s="20" t="inlineStr">
        <is>
          <t>Non</t>
        </is>
      </c>
      <c r="AD62" s="20" t="inlineStr">
        <is>
          <t>2 piles AAA</t>
        </is>
      </c>
      <c r="AE62" s="20" t="inlineStr">
        <is>
          <t>Non vérifié sur CI, SN, BF, CM, BJ. Marque Colgate largement distribuée en GMS et pharmacie sur ces marchés.</t>
        </is>
      </c>
      <c r="AF62" s="20" t="inlineStr">
        <is>
          <t>GMS, pharmacies</t>
        </is>
      </c>
      <c r="AG62" s="21" t="inlineStr">
        <is>
          <t>https://www.colgate.com/en-my/products/toothbrush/colgate-proclinical-150-charcoal-battery-powered-toothbrush</t>
        </is>
      </c>
      <c r="AH62" s="21" t="inlineStr">
        <is>
          <t>https://www.colgate.com/en-my/products/toothbrush/colgate-proclinical-150-deepclean-battery-powered-toothbrush</t>
        </is>
      </c>
      <c r="AI62" s="20" t="inlineStr">
        <is>
          <t>Rapprochement sur l'alimentation à piles et le positionnement prix d'entrée de gamme. Concurrent de référence du segment SEAGO à piles : marque installée, prix d'entrée, tête remplaçable.</t>
        </is>
      </c>
      <c r="AJ62" s="22">
        <f>IFERROR(IF(IF('Relevé prix'!$B$1="SN",VLOOKUP($U62,'Relevé prix'!$A$4:$N$60,11,FALSE),VLOOKUP($U62,'Relevé prix'!$A$4:$N$60,7,FALSE))=0,"",IF('Relevé prix'!$B$1="SN",VLOOKUP($U62,'Relevé prix'!$A$4:$N$60,11,FALSE),VLOOKUP($U62,'Relevé prix'!$A$4:$N$60,7,FALSE))),"")</f>
        <v/>
      </c>
      <c r="AK62" s="23">
        <f>IFERROR(IF(IF('Relevé prix'!$B$1="SN",VLOOKUP($U62,'Relevé prix'!$A$4:$N$60,12,FALSE),VLOOKUP($U62,'Relevé prix'!$A$4:$N$60,8,FALSE))=0,"",IF('Relevé prix'!$B$1="SN",VLOOKUP($U62,'Relevé prix'!$A$4:$N$60,12,FALSE),VLOOKUP($U62,'Relevé prix'!$A$4:$N$60,8,FALSE))),"")</f>
        <v/>
      </c>
      <c r="AL62" s="24" t="n"/>
      <c r="AM62" s="25" t="n"/>
      <c r="AN62" s="25" t="n"/>
      <c r="AO62" s="22">
        <f>IF(OR(AL62="",AJ62=""),"",AL62-AJ62)</f>
        <v/>
      </c>
      <c r="AP62" s="26">
        <f>IF(OR(AL62="",AJ62="",AJ62=0),"",(AL62-AJ62)/AJ62)</f>
        <v/>
      </c>
      <c r="AQ62" s="27">
        <f>IF(AP62="","",IF(AP62&lt;-0.05,"Moins cher",IF(AP62&gt;0.05,"Plus cher","Équivalent")))</f>
        <v/>
      </c>
    </row>
    <row r="63">
      <c r="A63" s="28" t="inlineStr">
        <is>
          <t>SG-983</t>
        </is>
      </c>
      <c r="B63" s="28" t="inlineStr">
        <is>
          <t>Pro Sonic</t>
        </is>
      </c>
      <c r="C63" s="28" t="inlineStr">
        <is>
          <t>Sonique</t>
        </is>
      </c>
      <c r="D63" s="28" t="inlineStr">
        <is>
          <t>Adulte</t>
        </is>
      </c>
      <c r="E63" s="29" t="n">
        <v>32000</v>
      </c>
      <c r="F63" s="29" t="n">
        <v>32000</v>
      </c>
      <c r="G63" s="30" t="n">
        <v>2</v>
      </c>
      <c r="H63" s="30" t="n">
        <v>25</v>
      </c>
      <c r="I63" s="30" t="n">
        <v>260</v>
      </c>
      <c r="J63" s="28" t="inlineStr">
        <is>
          <t>Batterie Li-ion rechargeable</t>
        </is>
      </c>
      <c r="K63" s="28" t="inlineStr">
        <is>
          <t>Inductive (socle)</t>
        </is>
      </c>
      <c r="L63" s="34" t="inlineStr">
        <is>
          <t>N/D</t>
        </is>
      </c>
      <c r="M63" s="28" t="inlineStr">
        <is>
          <t>IPX7</t>
        </is>
      </c>
      <c r="N63" s="28" t="inlineStr">
        <is>
          <t>Non</t>
        </is>
      </c>
      <c r="O63" s="28" t="inlineStr">
        <is>
          <t>Aucun</t>
        </is>
      </c>
      <c r="P63" s="28" t="inlineStr">
        <is>
          <t>Oui</t>
        </is>
      </c>
      <c r="Q63" s="31" t="n">
        <v>74</v>
      </c>
      <c r="R63" s="28" t="inlineStr">
        <is>
          <t>26.3*28.0*231.7</t>
        </is>
      </c>
      <c r="S63" s="32" t="inlineStr">
        <is>
          <t>2 LED bleues de blanchiment activant les agents blanchissants du dentifrice, mémoire intelligente</t>
        </is>
      </c>
      <c r="T63" s="33" t="n">
        <v>36</v>
      </c>
      <c r="U63" s="20" t="inlineStr">
        <is>
          <t>SONICARE_4100</t>
        </is>
      </c>
      <c r="V63" s="20" t="inlineStr">
        <is>
          <t>Sonicare ProtectiveClean 4100 (HX6817)</t>
        </is>
      </c>
      <c r="W63" s="20" t="inlineStr">
        <is>
          <t>Philips</t>
        </is>
      </c>
      <c r="X63" s="20" t="inlineStr">
        <is>
          <t>Sonique</t>
        </is>
      </c>
      <c r="Y63" s="20" t="inlineStr">
        <is>
          <t>31 000 strokes/min (62 000 mouvements/min)</t>
        </is>
      </c>
      <c r="Z63" s="20" t="inlineStr">
        <is>
          <t>1 mode Clean (2 intensités selon version)</t>
        </is>
      </c>
      <c r="AA63" s="20" t="n">
        <v>14</v>
      </c>
      <c r="AB63" s="20" t="inlineStr">
        <is>
          <t>IPX7</t>
        </is>
      </c>
      <c r="AC63" s="20" t="inlineStr">
        <is>
          <t>Oui (alerte sonore)</t>
        </is>
      </c>
      <c r="AD63" s="20" t="inlineStr">
        <is>
          <t>Socle inductif</t>
        </is>
      </c>
      <c r="AE63" s="20" t="inlineStr">
        <is>
          <t>Non vérifié sur CI, SN, BF, CM, BJ. Présence confirmée aux EAU (Noon).</t>
        </is>
      </c>
      <c r="AF63" s="20" t="inlineStr">
        <is>
          <t>Noon UAE, pharmacies et GMS</t>
        </is>
      </c>
      <c r="AG63" s="21" t="inlineStr">
        <is>
          <t>https://www.usa.philips.com/c-p/HX6817_01/sonicare-protectiveclean-4100-sonic-electric-toothbrush</t>
        </is>
      </c>
      <c r="AH63" s="21" t="inlineStr">
        <is>
          <t>https://www.noon.com/uae-en/beauty/personal-care-16343/oral-hygiene/power-toothbrushes/philips_sonicare/</t>
        </is>
      </c>
      <c r="AI63" s="20" t="inlineStr">
        <is>
          <t>Rapprochement sur la charge par socle inductif et le positionnement premium du segment sonique. Technologie BrushSync (rappel de remplacement de tête). Référence premium du segment sonique.</t>
        </is>
      </c>
      <c r="AJ63" s="22">
        <f>IFERROR(IF(IF('Relevé prix'!$B$1="SN",VLOOKUP($U63,'Relevé prix'!$A$4:$N$60,11,FALSE),VLOOKUP($U63,'Relevé prix'!$A$4:$N$60,7,FALSE))=0,"",IF('Relevé prix'!$B$1="SN",VLOOKUP($U63,'Relevé prix'!$A$4:$N$60,11,FALSE),VLOOKUP($U63,'Relevé prix'!$A$4:$N$60,7,FALSE))),"")</f>
        <v/>
      </c>
      <c r="AK63" s="23">
        <f>IFERROR(IF(IF('Relevé prix'!$B$1="SN",VLOOKUP($U63,'Relevé prix'!$A$4:$N$60,12,FALSE),VLOOKUP($U63,'Relevé prix'!$A$4:$N$60,8,FALSE))=0,"",IF('Relevé prix'!$B$1="SN",VLOOKUP($U63,'Relevé prix'!$A$4:$N$60,12,FALSE),VLOOKUP($U63,'Relevé prix'!$A$4:$N$60,8,FALSE))),"")</f>
        <v/>
      </c>
      <c r="AL63" s="24" t="n"/>
      <c r="AM63" s="25" t="n"/>
      <c r="AN63" s="25" t="n"/>
      <c r="AO63" s="22">
        <f>IF(OR(AL63="",AJ63=""),"",AL63-AJ63)</f>
        <v/>
      </c>
      <c r="AP63" s="26">
        <f>IF(OR(AL63="",AJ63="",AJ63=0),"",(AL63-AJ63)/AJ63)</f>
        <v/>
      </c>
      <c r="AQ63" s="27">
        <f>IF(AP63="","",IF(AP63&lt;-0.05,"Moins cher",IF(AP63&gt;0.05,"Plus cher","Équivalent")))</f>
        <v/>
      </c>
    </row>
    <row r="64">
      <c r="A64" s="13" t="inlineStr">
        <is>
          <t>SG-501</t>
        </is>
      </c>
      <c r="B64" s="13" t="inlineStr">
        <is>
          <t>Daily Clean</t>
        </is>
      </c>
      <c r="C64" s="13" t="inlineStr">
        <is>
          <t>Sonique</t>
        </is>
      </c>
      <c r="D64" s="13" t="inlineStr">
        <is>
          <t>Adulte</t>
        </is>
      </c>
      <c r="E64" s="14" t="n">
        <v>28000</v>
      </c>
      <c r="F64" s="14" t="n">
        <v>28000</v>
      </c>
      <c r="G64" s="15" t="n">
        <v>2</v>
      </c>
      <c r="H64" s="15" t="n">
        <v>120</v>
      </c>
      <c r="I64" s="38" t="inlineStr">
        <is>
          <t>N/D</t>
        </is>
      </c>
      <c r="J64" s="13" t="inlineStr">
        <is>
          <t>Pile (1x AAA)</t>
        </is>
      </c>
      <c r="K64" s="13" t="inlineStr">
        <is>
          <t>Piles</t>
        </is>
      </c>
      <c r="L64" s="16" t="inlineStr">
        <is>
          <t>N/D</t>
        </is>
      </c>
      <c r="M64" s="13" t="inlineStr">
        <is>
          <t>IPX7</t>
        </is>
      </c>
      <c r="N64" s="13" t="inlineStr">
        <is>
          <t>Non</t>
        </is>
      </c>
      <c r="O64" s="13" t="inlineStr">
        <is>
          <t>Aucun</t>
        </is>
      </c>
      <c r="P64" s="13" t="inlineStr">
        <is>
          <t>Oui</t>
        </is>
      </c>
      <c r="Q64" s="17" t="n">
        <v>33</v>
      </c>
      <c r="R64" s="13" t="inlineStr">
        <is>
          <t>179.00*20.48*20.51</t>
        </is>
      </c>
      <c r="S64" s="18" t="inlineStr">
        <is>
          <t>Design rouge à lèvres fin, format voyage</t>
        </is>
      </c>
      <c r="T64" s="19" t="n">
        <v>38</v>
      </c>
      <c r="U64" s="20" t="inlineStr">
        <is>
          <t>COLGATE_150</t>
        </is>
      </c>
      <c r="V64" s="20" t="inlineStr">
        <is>
          <t>ProClinical 150 (Charcoal / Deep Clean)</t>
        </is>
      </c>
      <c r="W64" s="20" t="inlineStr">
        <is>
          <t>Colgate</t>
        </is>
      </c>
      <c r="X64" s="20" t="inlineStr">
        <is>
          <t>Sonique à piles</t>
        </is>
      </c>
      <c r="Y64" s="20" t="inlineStr">
        <is>
          <t>20 000 strokes/min</t>
        </is>
      </c>
      <c r="Z64" s="20" t="inlineStr">
        <is>
          <t>1 mode</t>
        </is>
      </c>
      <c r="AA64" s="37" t="inlineStr">
        <is>
          <t>N/D</t>
        </is>
      </c>
      <c r="AB64" s="37" t="inlineStr">
        <is>
          <t>N/D</t>
        </is>
      </c>
      <c r="AC64" s="20" t="inlineStr">
        <is>
          <t>Non</t>
        </is>
      </c>
      <c r="AD64" s="20" t="inlineStr">
        <is>
          <t>2 piles AAA</t>
        </is>
      </c>
      <c r="AE64" s="20" t="inlineStr">
        <is>
          <t>Non vérifié sur CI, SN, BF, CM, BJ. Marque Colgate largement distribuée en GMS et pharmacie sur ces marchés.</t>
        </is>
      </c>
      <c r="AF64" s="20" t="inlineStr">
        <is>
          <t>GMS, pharmacies</t>
        </is>
      </c>
      <c r="AG64" s="21" t="inlineStr">
        <is>
          <t>https://www.colgate.com/en-my/products/toothbrush/colgate-proclinical-150-charcoal-battery-powered-toothbrush</t>
        </is>
      </c>
      <c r="AH64" s="21" t="inlineStr">
        <is>
          <t>https://www.colgate.com/en-my/products/toothbrush/colgate-proclinical-150-deepclean-battery-powered-toothbrush</t>
        </is>
      </c>
      <c r="AI64" s="20" t="inlineStr">
        <is>
          <t>Rapprochement sur l'alimentation à piles et le positionnement prix d'entrée de gamme. Concurrent de référence du segment SEAGO à piles : marque installée, prix d'entrée, tête remplaçable.</t>
        </is>
      </c>
      <c r="AJ64" s="22">
        <f>IFERROR(IF(IF('Relevé prix'!$B$1="SN",VLOOKUP($U64,'Relevé prix'!$A$4:$N$60,11,FALSE),VLOOKUP($U64,'Relevé prix'!$A$4:$N$60,7,FALSE))=0,"",IF('Relevé prix'!$B$1="SN",VLOOKUP($U64,'Relevé prix'!$A$4:$N$60,11,FALSE),VLOOKUP($U64,'Relevé prix'!$A$4:$N$60,7,FALSE))),"")</f>
        <v/>
      </c>
      <c r="AK64" s="23">
        <f>IFERROR(IF(IF('Relevé prix'!$B$1="SN",VLOOKUP($U64,'Relevé prix'!$A$4:$N$60,12,FALSE),VLOOKUP($U64,'Relevé prix'!$A$4:$N$60,8,FALSE))=0,"",IF('Relevé prix'!$B$1="SN",VLOOKUP($U64,'Relevé prix'!$A$4:$N$60,12,FALSE),VLOOKUP($U64,'Relevé prix'!$A$4:$N$60,8,FALSE))),"")</f>
        <v/>
      </c>
      <c r="AL64" s="24" t="n"/>
      <c r="AM64" s="25" t="n"/>
      <c r="AN64" s="25" t="n"/>
      <c r="AO64" s="22">
        <f>IF(OR(AL64="",AJ64=""),"",AL64-AJ64)</f>
        <v/>
      </c>
      <c r="AP64" s="26">
        <f>IF(OR(AL64="",AJ64="",AJ64=0),"",(AL64-AJ64)/AJ64)</f>
        <v/>
      </c>
      <c r="AQ64" s="27">
        <f>IF(AP64="","",IF(AP64&lt;-0.05,"Moins cher",IF(AP64&gt;0.05,"Plus cher","Équivalent")))</f>
        <v/>
      </c>
    </row>
    <row r="65">
      <c r="A65" s="28" t="inlineStr">
        <is>
          <t>SG-505</t>
        </is>
      </c>
      <c r="B65" s="28" t="inlineStr">
        <is>
          <t>Daily Clean</t>
        </is>
      </c>
      <c r="C65" s="28" t="inlineStr">
        <is>
          <t>Sonique</t>
        </is>
      </c>
      <c r="D65" s="28" t="inlineStr">
        <is>
          <t>Adulte</t>
        </is>
      </c>
      <c r="E65" s="29" t="n">
        <v>24000</v>
      </c>
      <c r="F65" s="29" t="n">
        <v>24000</v>
      </c>
      <c r="G65" s="30" t="n">
        <v>2</v>
      </c>
      <c r="H65" s="30" t="n">
        <v>120</v>
      </c>
      <c r="I65" s="35" t="inlineStr">
        <is>
          <t>N/D</t>
        </is>
      </c>
      <c r="J65" s="28" t="inlineStr">
        <is>
          <t>Pile (1x AAA)</t>
        </is>
      </c>
      <c r="K65" s="28" t="inlineStr">
        <is>
          <t>Piles</t>
        </is>
      </c>
      <c r="L65" s="34" t="inlineStr">
        <is>
          <t>N/D</t>
        </is>
      </c>
      <c r="M65" s="28" t="inlineStr">
        <is>
          <t>IPX7</t>
        </is>
      </c>
      <c r="N65" s="28" t="inlineStr">
        <is>
          <t>Non</t>
        </is>
      </c>
      <c r="O65" s="28" t="inlineStr">
        <is>
          <t>Aucun</t>
        </is>
      </c>
      <c r="P65" s="28" t="inlineStr">
        <is>
          <t>Oui</t>
        </is>
      </c>
      <c r="Q65" s="31" t="n">
        <v>29.4</v>
      </c>
      <c r="R65" s="28" t="inlineStr">
        <is>
          <t>19.6*168.4</t>
        </is>
      </c>
      <c r="S65" s="32" t="inlineStr">
        <is>
          <t>Design rouge à lèvres fin, minuteur 2 min avec rappel toutes les 30 s, format voyage</t>
        </is>
      </c>
      <c r="T65" s="33" t="n">
        <v>38</v>
      </c>
      <c r="U65" s="20" t="inlineStr">
        <is>
          <t>COLGATE_150</t>
        </is>
      </c>
      <c r="V65" s="20" t="inlineStr">
        <is>
          <t>ProClinical 150 (Charcoal / Deep Clean)</t>
        </is>
      </c>
      <c r="W65" s="20" t="inlineStr">
        <is>
          <t>Colgate</t>
        </is>
      </c>
      <c r="X65" s="20" t="inlineStr">
        <is>
          <t>Sonique à piles</t>
        </is>
      </c>
      <c r="Y65" s="20" t="inlineStr">
        <is>
          <t>20 000 strokes/min</t>
        </is>
      </c>
      <c r="Z65" s="20" t="inlineStr">
        <is>
          <t>1 mode</t>
        </is>
      </c>
      <c r="AA65" s="37" t="inlineStr">
        <is>
          <t>N/D</t>
        </is>
      </c>
      <c r="AB65" s="37" t="inlineStr">
        <is>
          <t>N/D</t>
        </is>
      </c>
      <c r="AC65" s="20" t="inlineStr">
        <is>
          <t>Non</t>
        </is>
      </c>
      <c r="AD65" s="20" t="inlineStr">
        <is>
          <t>2 piles AAA</t>
        </is>
      </c>
      <c r="AE65" s="20" t="inlineStr">
        <is>
          <t>Non vérifié sur CI, SN, BF, CM, BJ. Marque Colgate largement distribuée en GMS et pharmacie sur ces marchés.</t>
        </is>
      </c>
      <c r="AF65" s="20" t="inlineStr">
        <is>
          <t>GMS, pharmacies</t>
        </is>
      </c>
      <c r="AG65" s="21" t="inlineStr">
        <is>
          <t>https://www.colgate.com/en-my/products/toothbrush/colgate-proclinical-150-charcoal-battery-powered-toothbrush</t>
        </is>
      </c>
      <c r="AH65" s="21" t="inlineStr">
        <is>
          <t>https://www.colgate.com/en-my/products/toothbrush/colgate-proclinical-150-deepclean-battery-powered-toothbrush</t>
        </is>
      </c>
      <c r="AI65" s="20" t="inlineStr">
        <is>
          <t>Rapprochement sur l'alimentation à piles et le positionnement prix d'entrée de gamme. Concurrent de référence du segment SEAGO à piles : marque installée, prix d'entrée, tête remplaçable.</t>
        </is>
      </c>
      <c r="AJ65" s="22">
        <f>IFERROR(IF(IF('Relevé prix'!$B$1="SN",VLOOKUP($U65,'Relevé prix'!$A$4:$N$60,11,FALSE),VLOOKUP($U65,'Relevé prix'!$A$4:$N$60,7,FALSE))=0,"",IF('Relevé prix'!$B$1="SN",VLOOKUP($U65,'Relevé prix'!$A$4:$N$60,11,FALSE),VLOOKUP($U65,'Relevé prix'!$A$4:$N$60,7,FALSE))),"")</f>
        <v/>
      </c>
      <c r="AK65" s="23">
        <f>IFERROR(IF(IF('Relevé prix'!$B$1="SN",VLOOKUP($U65,'Relevé prix'!$A$4:$N$60,12,FALSE),VLOOKUP($U65,'Relevé prix'!$A$4:$N$60,8,FALSE))=0,"",IF('Relevé prix'!$B$1="SN",VLOOKUP($U65,'Relevé prix'!$A$4:$N$60,12,FALSE),VLOOKUP($U65,'Relevé prix'!$A$4:$N$60,8,FALSE))),"")</f>
        <v/>
      </c>
      <c r="AL65" s="24" t="n"/>
      <c r="AM65" s="25" t="n"/>
      <c r="AN65" s="25" t="n"/>
      <c r="AO65" s="22">
        <f>IF(OR(AL65="",AJ65=""),"",AL65-AJ65)</f>
        <v/>
      </c>
      <c r="AP65" s="26">
        <f>IF(OR(AL65="",AJ65="",AJ65=0),"",(AL65-AJ65)/AJ65)</f>
        <v/>
      </c>
      <c r="AQ65" s="27">
        <f>IF(AP65="","",IF(AP65&lt;-0.05,"Moins cher",IF(AP65&gt;0.05,"Plus cher","Équivalent")))</f>
        <v/>
      </c>
    </row>
    <row r="66">
      <c r="A66" s="13" t="inlineStr">
        <is>
          <t>SG-929</t>
        </is>
      </c>
      <c r="B66" s="13" t="inlineStr">
        <is>
          <t>Daily Clean</t>
        </is>
      </c>
      <c r="C66" s="13" t="inlineStr">
        <is>
          <t>Sonique</t>
        </is>
      </c>
      <c r="D66" s="13" t="inlineStr">
        <is>
          <t>Adulte</t>
        </is>
      </c>
      <c r="E66" s="14" t="n">
        <v>22000</v>
      </c>
      <c r="F66" s="14" t="n">
        <v>22000</v>
      </c>
      <c r="G66" s="38" t="inlineStr">
        <is>
          <t>N/D</t>
        </is>
      </c>
      <c r="H66" s="15" t="n">
        <v>120</v>
      </c>
      <c r="I66" s="38" t="inlineStr">
        <is>
          <t>N/D</t>
        </is>
      </c>
      <c r="J66" s="13" t="inlineStr">
        <is>
          <t>Piles (1x AAA brosse + 2x AAA stérilisateur)</t>
        </is>
      </c>
      <c r="K66" s="13" t="inlineStr">
        <is>
          <t>Piles</t>
        </is>
      </c>
      <c r="L66" s="16" t="inlineStr">
        <is>
          <t>N/D</t>
        </is>
      </c>
      <c r="M66" s="40" t="inlineStr">
        <is>
          <t>N/D</t>
        </is>
      </c>
      <c r="N66" s="13" t="inlineStr">
        <is>
          <t>Non</t>
        </is>
      </c>
      <c r="O66" s="13" t="inlineStr">
        <is>
          <t>Aucun</t>
        </is>
      </c>
      <c r="P66" s="13" t="inlineStr">
        <is>
          <t>Non</t>
        </is>
      </c>
      <c r="Q66" s="17" t="n">
        <v>74</v>
      </c>
      <c r="R66" s="13" t="inlineStr">
        <is>
          <t>40.5*20*172</t>
        </is>
      </c>
      <c r="S66" s="18" t="inlineStr">
        <is>
          <t>Stérilisateur UV intégré (99,9 % des bactéries), intensité UV supérieure à 230 µW/cm², durée de vie du tube supérieure à 8000 h, autonomie UV 30 jours, tenon plastique</t>
        </is>
      </c>
      <c r="T66" s="19" t="n">
        <v>39</v>
      </c>
      <c r="U66" s="20" t="inlineStr">
        <is>
          <t>COLGATE_150</t>
        </is>
      </c>
      <c r="V66" s="20" t="inlineStr">
        <is>
          <t>ProClinical 150 (Charcoal / Deep Clean)</t>
        </is>
      </c>
      <c r="W66" s="20" t="inlineStr">
        <is>
          <t>Colgate</t>
        </is>
      </c>
      <c r="X66" s="20" t="inlineStr">
        <is>
          <t>Sonique à piles</t>
        </is>
      </c>
      <c r="Y66" s="20" t="inlineStr">
        <is>
          <t>20 000 strokes/min</t>
        </is>
      </c>
      <c r="Z66" s="20" t="inlineStr">
        <is>
          <t>1 mode</t>
        </is>
      </c>
      <c r="AA66" s="37" t="inlineStr">
        <is>
          <t>N/D</t>
        </is>
      </c>
      <c r="AB66" s="37" t="inlineStr">
        <is>
          <t>N/D</t>
        </is>
      </c>
      <c r="AC66" s="20" t="inlineStr">
        <is>
          <t>Non</t>
        </is>
      </c>
      <c r="AD66" s="20" t="inlineStr">
        <is>
          <t>2 piles AAA</t>
        </is>
      </c>
      <c r="AE66" s="20" t="inlineStr">
        <is>
          <t>Non vérifié sur CI, SN, BF, CM, BJ. Marque Colgate largement distribuée en GMS et pharmacie sur ces marchés.</t>
        </is>
      </c>
      <c r="AF66" s="20" t="inlineStr">
        <is>
          <t>GMS, pharmacies</t>
        </is>
      </c>
      <c r="AG66" s="21" t="inlineStr">
        <is>
          <t>https://www.colgate.com/en-my/products/toothbrush/colgate-proclinical-150-charcoal-battery-powered-toothbrush</t>
        </is>
      </c>
      <c r="AH66" s="21" t="inlineStr">
        <is>
          <t>https://www.colgate.com/en-my/products/toothbrush/colgate-proclinical-150-deepclean-battery-powered-toothbrush</t>
        </is>
      </c>
      <c r="AI66" s="20" t="inlineStr">
        <is>
          <t>Rapprochement sur l'alimentation à piles et le positionnement prix d'entrée de gamme. Concurrent de référence du segment SEAGO à piles : marque installée, prix d'entrée, tête remplaçable.</t>
        </is>
      </c>
      <c r="AJ66" s="22">
        <f>IFERROR(IF(IF('Relevé prix'!$B$1="SN",VLOOKUP($U66,'Relevé prix'!$A$4:$N$60,11,FALSE),VLOOKUP($U66,'Relevé prix'!$A$4:$N$60,7,FALSE))=0,"",IF('Relevé prix'!$B$1="SN",VLOOKUP($U66,'Relevé prix'!$A$4:$N$60,11,FALSE),VLOOKUP($U66,'Relevé prix'!$A$4:$N$60,7,FALSE))),"")</f>
        <v/>
      </c>
      <c r="AK66" s="23">
        <f>IFERROR(IF(IF('Relevé prix'!$B$1="SN",VLOOKUP($U66,'Relevé prix'!$A$4:$N$60,12,FALSE),VLOOKUP($U66,'Relevé prix'!$A$4:$N$60,8,FALSE))=0,"",IF('Relevé prix'!$B$1="SN",VLOOKUP($U66,'Relevé prix'!$A$4:$N$60,12,FALSE),VLOOKUP($U66,'Relevé prix'!$A$4:$N$60,8,FALSE))),"")</f>
        <v/>
      </c>
      <c r="AL66" s="24" t="n"/>
      <c r="AM66" s="25" t="n"/>
      <c r="AN66" s="25" t="n"/>
      <c r="AO66" s="22">
        <f>IF(OR(AL66="",AJ66=""),"",AL66-AJ66)</f>
        <v/>
      </c>
      <c r="AP66" s="26">
        <f>IF(OR(AL66="",AJ66="",AJ66=0),"",(AL66-AJ66)/AJ66)</f>
        <v/>
      </c>
      <c r="AQ66" s="27">
        <f>IF(AP66="","",IF(AP66&lt;-0.05,"Moins cher",IF(AP66&gt;0.05,"Plus cher","Équivalent")))</f>
        <v/>
      </c>
    </row>
    <row r="67">
      <c r="A67" s="28" t="inlineStr">
        <is>
          <t>SG-933</t>
        </is>
      </c>
      <c r="B67" s="28" t="inlineStr">
        <is>
          <t>Daily Clean</t>
        </is>
      </c>
      <c r="C67" s="28" t="inlineStr">
        <is>
          <t>Sonique</t>
        </is>
      </c>
      <c r="D67" s="28" t="inlineStr">
        <is>
          <t>Adulte</t>
        </is>
      </c>
      <c r="E67" s="29" t="n">
        <v>24000</v>
      </c>
      <c r="F67" s="29" t="n">
        <v>24000</v>
      </c>
      <c r="G67" s="35" t="inlineStr">
        <is>
          <t>N/D</t>
        </is>
      </c>
      <c r="H67" s="30" t="n">
        <v>120</v>
      </c>
      <c r="I67" s="35" t="inlineStr">
        <is>
          <t>N/D</t>
        </is>
      </c>
      <c r="J67" s="28" t="inlineStr">
        <is>
          <t>Pile (1x AAA)</t>
        </is>
      </c>
      <c r="K67" s="28" t="inlineStr">
        <is>
          <t>Piles</t>
        </is>
      </c>
      <c r="L67" s="34" t="inlineStr">
        <is>
          <t>N/D</t>
        </is>
      </c>
      <c r="M67" s="28" t="inlineStr">
        <is>
          <t>IPX7</t>
        </is>
      </c>
      <c r="N67" s="28" t="inlineStr">
        <is>
          <t>Non</t>
        </is>
      </c>
      <c r="O67" s="28" t="inlineStr">
        <is>
          <t>Aucun</t>
        </is>
      </c>
      <c r="P67" s="28" t="inlineStr">
        <is>
          <t>Non</t>
        </is>
      </c>
      <c r="Q67" s="31" t="n">
        <v>30</v>
      </c>
      <c r="R67" s="28" t="inlineStr">
        <is>
          <t>20*20*163.5</t>
        </is>
      </c>
      <c r="S67" s="32" t="inlineStr">
        <is>
          <t>Design rouge à lèvres fin, format voyage, tenon plastique</t>
        </is>
      </c>
      <c r="T67" s="33" t="n">
        <v>39</v>
      </c>
      <c r="U67" s="20" t="inlineStr">
        <is>
          <t>COLGATE_150</t>
        </is>
      </c>
      <c r="V67" s="20" t="inlineStr">
        <is>
          <t>ProClinical 150 (Charcoal / Deep Clean)</t>
        </is>
      </c>
      <c r="W67" s="20" t="inlineStr">
        <is>
          <t>Colgate</t>
        </is>
      </c>
      <c r="X67" s="20" t="inlineStr">
        <is>
          <t>Sonique à piles</t>
        </is>
      </c>
      <c r="Y67" s="20" t="inlineStr">
        <is>
          <t>20 000 strokes/min</t>
        </is>
      </c>
      <c r="Z67" s="20" t="inlineStr">
        <is>
          <t>1 mode</t>
        </is>
      </c>
      <c r="AA67" s="37" t="inlineStr">
        <is>
          <t>N/D</t>
        </is>
      </c>
      <c r="AB67" s="37" t="inlineStr">
        <is>
          <t>N/D</t>
        </is>
      </c>
      <c r="AC67" s="20" t="inlineStr">
        <is>
          <t>Non</t>
        </is>
      </c>
      <c r="AD67" s="20" t="inlineStr">
        <is>
          <t>2 piles AAA</t>
        </is>
      </c>
      <c r="AE67" s="20" t="inlineStr">
        <is>
          <t>Non vérifié sur CI, SN, BF, CM, BJ. Marque Colgate largement distribuée en GMS et pharmacie sur ces marchés.</t>
        </is>
      </c>
      <c r="AF67" s="20" t="inlineStr">
        <is>
          <t>GMS, pharmacies</t>
        </is>
      </c>
      <c r="AG67" s="21" t="inlineStr">
        <is>
          <t>https://www.colgate.com/en-my/products/toothbrush/colgate-proclinical-150-charcoal-battery-powered-toothbrush</t>
        </is>
      </c>
      <c r="AH67" s="21" t="inlineStr">
        <is>
          <t>https://www.colgate.com/en-my/products/toothbrush/colgate-proclinical-150-deepclean-battery-powered-toothbrush</t>
        </is>
      </c>
      <c r="AI67" s="20" t="inlineStr">
        <is>
          <t>Rapprochement sur l'alimentation à piles et le positionnement prix d'entrée de gamme. Concurrent de référence du segment SEAGO à piles : marque installée, prix d'entrée, tête remplaçable.</t>
        </is>
      </c>
      <c r="AJ67" s="22">
        <f>IFERROR(IF(IF('Relevé prix'!$B$1="SN",VLOOKUP($U67,'Relevé prix'!$A$4:$N$60,11,FALSE),VLOOKUP($U67,'Relevé prix'!$A$4:$N$60,7,FALSE))=0,"",IF('Relevé prix'!$B$1="SN",VLOOKUP($U67,'Relevé prix'!$A$4:$N$60,11,FALSE),VLOOKUP($U67,'Relevé prix'!$A$4:$N$60,7,FALSE))),"")</f>
        <v/>
      </c>
      <c r="AK67" s="23">
        <f>IFERROR(IF(IF('Relevé prix'!$B$1="SN",VLOOKUP($U67,'Relevé prix'!$A$4:$N$60,12,FALSE),VLOOKUP($U67,'Relevé prix'!$A$4:$N$60,8,FALSE))=0,"",IF('Relevé prix'!$B$1="SN",VLOOKUP($U67,'Relevé prix'!$A$4:$N$60,12,FALSE),VLOOKUP($U67,'Relevé prix'!$A$4:$N$60,8,FALSE))),"")</f>
        <v/>
      </c>
      <c r="AL67" s="24" t="n"/>
      <c r="AM67" s="25" t="n"/>
      <c r="AN67" s="25" t="n"/>
      <c r="AO67" s="22">
        <f>IF(OR(AL67="",AJ67=""),"",AL67-AJ67)</f>
        <v/>
      </c>
      <c r="AP67" s="26">
        <f>IF(OR(AL67="",AJ67="",AJ67=0),"",(AL67-AJ67)/AJ67)</f>
        <v/>
      </c>
      <c r="AQ67" s="27">
        <f>IF(AP67="","",IF(AP67&lt;-0.05,"Moins cher",IF(AP67&gt;0.05,"Plus cher","Équivalent")))</f>
        <v/>
      </c>
    </row>
    <row r="68">
      <c r="A68" s="13" t="inlineStr">
        <is>
          <t>SG-928</t>
        </is>
      </c>
      <c r="B68" s="13" t="inlineStr">
        <is>
          <t>Daily Clean</t>
        </is>
      </c>
      <c r="C68" s="13" t="inlineStr">
        <is>
          <t>Sonique</t>
        </is>
      </c>
      <c r="D68" s="13" t="inlineStr">
        <is>
          <t>Adulte</t>
        </is>
      </c>
      <c r="E68" s="14" t="n">
        <v>24000</v>
      </c>
      <c r="F68" s="14" t="n">
        <v>24000</v>
      </c>
      <c r="G68" s="38" t="inlineStr">
        <is>
          <t>N/D</t>
        </is>
      </c>
      <c r="H68" s="15" t="n">
        <v>120</v>
      </c>
      <c r="I68" s="38" t="inlineStr">
        <is>
          <t>N/D</t>
        </is>
      </c>
      <c r="J68" s="13" t="inlineStr">
        <is>
          <t>Pile (1x AAA)</t>
        </is>
      </c>
      <c r="K68" s="13" t="inlineStr">
        <is>
          <t>Piles</t>
        </is>
      </c>
      <c r="L68" s="16" t="inlineStr">
        <is>
          <t>N/D</t>
        </is>
      </c>
      <c r="M68" s="13" t="inlineStr">
        <is>
          <t>IPX7</t>
        </is>
      </c>
      <c r="N68" s="13" t="inlineStr">
        <is>
          <t>Non</t>
        </is>
      </c>
      <c r="O68" s="13" t="inlineStr">
        <is>
          <t>Aucun</t>
        </is>
      </c>
      <c r="P68" s="13" t="inlineStr">
        <is>
          <t>Non</t>
        </is>
      </c>
      <c r="Q68" s="17" t="n">
        <v>30</v>
      </c>
      <c r="R68" s="13" t="inlineStr">
        <is>
          <t>22.8*22.8*182.5</t>
        </is>
      </c>
      <c r="S68" s="18" t="inlineStr">
        <is>
          <t>Design rouge à lèvres fin, format voyage, tenon plastique</t>
        </is>
      </c>
      <c r="T68" s="19" t="n">
        <v>40</v>
      </c>
      <c r="U68" s="20" t="inlineStr">
        <is>
          <t>COLGATE_150</t>
        </is>
      </c>
      <c r="V68" s="20" t="inlineStr">
        <is>
          <t>ProClinical 150 (Charcoal / Deep Clean)</t>
        </is>
      </c>
      <c r="W68" s="20" t="inlineStr">
        <is>
          <t>Colgate</t>
        </is>
      </c>
      <c r="X68" s="20" t="inlineStr">
        <is>
          <t>Sonique à piles</t>
        </is>
      </c>
      <c r="Y68" s="20" t="inlineStr">
        <is>
          <t>20 000 strokes/min</t>
        </is>
      </c>
      <c r="Z68" s="20" t="inlineStr">
        <is>
          <t>1 mode</t>
        </is>
      </c>
      <c r="AA68" s="37" t="inlineStr">
        <is>
          <t>N/D</t>
        </is>
      </c>
      <c r="AB68" s="37" t="inlineStr">
        <is>
          <t>N/D</t>
        </is>
      </c>
      <c r="AC68" s="20" t="inlineStr">
        <is>
          <t>Non</t>
        </is>
      </c>
      <c r="AD68" s="20" t="inlineStr">
        <is>
          <t>2 piles AAA</t>
        </is>
      </c>
      <c r="AE68" s="20" t="inlineStr">
        <is>
          <t>Non vérifié sur CI, SN, BF, CM, BJ. Marque Colgate largement distribuée en GMS et pharmacie sur ces marchés.</t>
        </is>
      </c>
      <c r="AF68" s="20" t="inlineStr">
        <is>
          <t>GMS, pharmacies</t>
        </is>
      </c>
      <c r="AG68" s="21" t="inlineStr">
        <is>
          <t>https://www.colgate.com/en-my/products/toothbrush/colgate-proclinical-150-charcoal-battery-powered-toothbrush</t>
        </is>
      </c>
      <c r="AH68" s="21" t="inlineStr">
        <is>
          <t>https://www.colgate.com/en-my/products/toothbrush/colgate-proclinical-150-deepclean-battery-powered-toothbrush</t>
        </is>
      </c>
      <c r="AI68" s="20" t="inlineStr">
        <is>
          <t>Rapprochement sur l'alimentation à piles et le positionnement prix d'entrée de gamme. Concurrent de référence du segment SEAGO à piles : marque installée, prix d'entrée, tête remplaçable.</t>
        </is>
      </c>
      <c r="AJ68" s="22">
        <f>IFERROR(IF(IF('Relevé prix'!$B$1="SN",VLOOKUP($U68,'Relevé prix'!$A$4:$N$60,11,FALSE),VLOOKUP($U68,'Relevé prix'!$A$4:$N$60,7,FALSE))=0,"",IF('Relevé prix'!$B$1="SN",VLOOKUP($U68,'Relevé prix'!$A$4:$N$60,11,FALSE),VLOOKUP($U68,'Relevé prix'!$A$4:$N$60,7,FALSE))),"")</f>
        <v/>
      </c>
      <c r="AK68" s="23">
        <f>IFERROR(IF(IF('Relevé prix'!$B$1="SN",VLOOKUP($U68,'Relevé prix'!$A$4:$N$60,12,FALSE),VLOOKUP($U68,'Relevé prix'!$A$4:$N$60,8,FALSE))=0,"",IF('Relevé prix'!$B$1="SN",VLOOKUP($U68,'Relevé prix'!$A$4:$N$60,12,FALSE),VLOOKUP($U68,'Relevé prix'!$A$4:$N$60,8,FALSE))),"")</f>
        <v/>
      </c>
      <c r="AL68" s="24" t="n"/>
      <c r="AM68" s="25" t="n"/>
      <c r="AN68" s="25" t="n"/>
      <c r="AO68" s="22">
        <f>IF(OR(AL68="",AJ68=""),"",AL68-AJ68)</f>
        <v/>
      </c>
      <c r="AP68" s="26">
        <f>IF(OR(AL68="",AJ68="",AJ68=0),"",(AL68-AJ68)/AJ68)</f>
        <v/>
      </c>
      <c r="AQ68" s="27">
        <f>IF(AP68="","",IF(AP68&lt;-0.05,"Moins cher",IF(AP68&gt;0.05,"Plus cher","Équivalent")))</f>
        <v/>
      </c>
    </row>
    <row r="69">
      <c r="A69" s="28" t="inlineStr">
        <is>
          <t>SG-923</t>
        </is>
      </c>
      <c r="B69" s="28" t="inlineStr">
        <is>
          <t>Daily Clean</t>
        </is>
      </c>
      <c r="C69" s="28" t="inlineStr">
        <is>
          <t>Sonique</t>
        </is>
      </c>
      <c r="D69" s="28" t="inlineStr">
        <is>
          <t>Adulte</t>
        </is>
      </c>
      <c r="E69" s="29" t="n">
        <v>24000</v>
      </c>
      <c r="F69" s="29" t="n">
        <v>24000</v>
      </c>
      <c r="G69" s="35" t="inlineStr">
        <is>
          <t>N/D</t>
        </is>
      </c>
      <c r="H69" s="30" t="n">
        <v>120</v>
      </c>
      <c r="I69" s="35" t="inlineStr">
        <is>
          <t>N/D</t>
        </is>
      </c>
      <c r="J69" s="28" t="inlineStr">
        <is>
          <t>Pile (1x AAA)</t>
        </is>
      </c>
      <c r="K69" s="28" t="inlineStr">
        <is>
          <t>Piles</t>
        </is>
      </c>
      <c r="L69" s="34" t="inlineStr">
        <is>
          <t>N/D</t>
        </is>
      </c>
      <c r="M69" s="28" t="inlineStr">
        <is>
          <t>IPX7</t>
        </is>
      </c>
      <c r="N69" s="28" t="inlineStr">
        <is>
          <t>Non</t>
        </is>
      </c>
      <c r="O69" s="28" t="inlineStr">
        <is>
          <t>Aucun</t>
        </is>
      </c>
      <c r="P69" s="28" t="inlineStr">
        <is>
          <t>Non</t>
        </is>
      </c>
      <c r="Q69" s="31" t="n">
        <v>30</v>
      </c>
      <c r="R69" s="28" t="inlineStr">
        <is>
          <t>20*20*162</t>
        </is>
      </c>
      <c r="S69" s="32" t="inlineStr">
        <is>
          <t>Design rouge à lèvres fin, impression ou motif en option, tenon plastique</t>
        </is>
      </c>
      <c r="T69" s="33" t="n">
        <v>40</v>
      </c>
      <c r="U69" s="20" t="inlineStr">
        <is>
          <t>COLGATE_150</t>
        </is>
      </c>
      <c r="V69" s="20" t="inlineStr">
        <is>
          <t>ProClinical 150 (Charcoal / Deep Clean)</t>
        </is>
      </c>
      <c r="W69" s="20" t="inlineStr">
        <is>
          <t>Colgate</t>
        </is>
      </c>
      <c r="X69" s="20" t="inlineStr">
        <is>
          <t>Sonique à piles</t>
        </is>
      </c>
      <c r="Y69" s="20" t="inlineStr">
        <is>
          <t>20 000 strokes/min</t>
        </is>
      </c>
      <c r="Z69" s="20" t="inlineStr">
        <is>
          <t>1 mode</t>
        </is>
      </c>
      <c r="AA69" s="37" t="inlineStr">
        <is>
          <t>N/D</t>
        </is>
      </c>
      <c r="AB69" s="37" t="inlineStr">
        <is>
          <t>N/D</t>
        </is>
      </c>
      <c r="AC69" s="20" t="inlineStr">
        <is>
          <t>Non</t>
        </is>
      </c>
      <c r="AD69" s="20" t="inlineStr">
        <is>
          <t>2 piles AAA</t>
        </is>
      </c>
      <c r="AE69" s="20" t="inlineStr">
        <is>
          <t>Non vérifié sur CI, SN, BF, CM, BJ. Marque Colgate largement distribuée en GMS et pharmacie sur ces marchés.</t>
        </is>
      </c>
      <c r="AF69" s="20" t="inlineStr">
        <is>
          <t>GMS, pharmacies</t>
        </is>
      </c>
      <c r="AG69" s="21" t="inlineStr">
        <is>
          <t>https://www.colgate.com/en-my/products/toothbrush/colgate-proclinical-150-charcoal-battery-powered-toothbrush</t>
        </is>
      </c>
      <c r="AH69" s="21" t="inlineStr">
        <is>
          <t>https://www.colgate.com/en-my/products/toothbrush/colgate-proclinical-150-deepclean-battery-powered-toothbrush</t>
        </is>
      </c>
      <c r="AI69" s="20" t="inlineStr">
        <is>
          <t>Rapprochement sur l'alimentation à piles et le positionnement prix d'entrée de gamme. Concurrent de référence du segment SEAGO à piles : marque installée, prix d'entrée, tête remplaçable.</t>
        </is>
      </c>
      <c r="AJ69" s="22">
        <f>IFERROR(IF(IF('Relevé prix'!$B$1="SN",VLOOKUP($U69,'Relevé prix'!$A$4:$N$60,11,FALSE),VLOOKUP($U69,'Relevé prix'!$A$4:$N$60,7,FALSE))=0,"",IF('Relevé prix'!$B$1="SN",VLOOKUP($U69,'Relevé prix'!$A$4:$N$60,11,FALSE),VLOOKUP($U69,'Relevé prix'!$A$4:$N$60,7,FALSE))),"")</f>
        <v/>
      </c>
      <c r="AK69" s="23">
        <f>IFERROR(IF(IF('Relevé prix'!$B$1="SN",VLOOKUP($U69,'Relevé prix'!$A$4:$N$60,12,FALSE),VLOOKUP($U69,'Relevé prix'!$A$4:$N$60,8,FALSE))=0,"",IF('Relevé prix'!$B$1="SN",VLOOKUP($U69,'Relevé prix'!$A$4:$N$60,12,FALSE),VLOOKUP($U69,'Relevé prix'!$A$4:$N$60,8,FALSE))),"")</f>
        <v/>
      </c>
      <c r="AL69" s="24" t="n"/>
      <c r="AM69" s="25" t="n"/>
      <c r="AN69" s="25" t="n"/>
      <c r="AO69" s="22">
        <f>IF(OR(AL69="",AJ69=""),"",AL69-AJ69)</f>
        <v/>
      </c>
      <c r="AP69" s="26">
        <f>IF(OR(AL69="",AJ69="",AJ69=0),"",(AL69-AJ69)/AJ69)</f>
        <v/>
      </c>
      <c r="AQ69" s="27">
        <f>IF(AP69="","",IF(AP69&lt;-0.05,"Moins cher",IF(AP69&gt;0.05,"Plus cher","Équivalent")))</f>
        <v/>
      </c>
    </row>
    <row r="70">
      <c r="A70" s="13" t="inlineStr">
        <is>
          <t>SG-932</t>
        </is>
      </c>
      <c r="B70" s="13" t="inlineStr">
        <is>
          <t>Daily Clean</t>
        </is>
      </c>
      <c r="C70" s="13" t="inlineStr">
        <is>
          <t>Sonique</t>
        </is>
      </c>
      <c r="D70" s="13" t="inlineStr">
        <is>
          <t>Adulte</t>
        </is>
      </c>
      <c r="E70" s="14" t="n">
        <v>24000</v>
      </c>
      <c r="F70" s="14" t="n">
        <v>24000</v>
      </c>
      <c r="G70" s="38" t="inlineStr">
        <is>
          <t>N/D</t>
        </is>
      </c>
      <c r="H70" s="15" t="n">
        <v>120</v>
      </c>
      <c r="I70" s="38" t="inlineStr">
        <is>
          <t>N/D</t>
        </is>
      </c>
      <c r="J70" s="13" t="inlineStr">
        <is>
          <t>Pile (1x AAA)</t>
        </is>
      </c>
      <c r="K70" s="13" t="inlineStr">
        <is>
          <t>Piles</t>
        </is>
      </c>
      <c r="L70" s="16" t="inlineStr">
        <is>
          <t>N/D</t>
        </is>
      </c>
      <c r="M70" s="13" t="inlineStr">
        <is>
          <t>IPX7</t>
        </is>
      </c>
      <c r="N70" s="13" t="inlineStr">
        <is>
          <t>Non</t>
        </is>
      </c>
      <c r="O70" s="13" t="inlineStr">
        <is>
          <t>Aucun</t>
        </is>
      </c>
      <c r="P70" s="13" t="inlineStr">
        <is>
          <t>Non</t>
        </is>
      </c>
      <c r="Q70" s="17" t="n">
        <v>30</v>
      </c>
      <c r="R70" s="13" t="inlineStr">
        <is>
          <t>20*19*171</t>
        </is>
      </c>
      <c r="S70" s="18" t="inlineStr">
        <is>
          <t>Design rouge à lèvres fin, format voyage</t>
        </is>
      </c>
      <c r="T70" s="19" t="n">
        <v>41</v>
      </c>
      <c r="U70" s="20" t="inlineStr">
        <is>
          <t>COLGATE_150</t>
        </is>
      </c>
      <c r="V70" s="20" t="inlineStr">
        <is>
          <t>ProClinical 150 (Charcoal / Deep Clean)</t>
        </is>
      </c>
      <c r="W70" s="20" t="inlineStr">
        <is>
          <t>Colgate</t>
        </is>
      </c>
      <c r="X70" s="20" t="inlineStr">
        <is>
          <t>Sonique à piles</t>
        </is>
      </c>
      <c r="Y70" s="20" t="inlineStr">
        <is>
          <t>20 000 strokes/min</t>
        </is>
      </c>
      <c r="Z70" s="20" t="inlineStr">
        <is>
          <t>1 mode</t>
        </is>
      </c>
      <c r="AA70" s="37" t="inlineStr">
        <is>
          <t>N/D</t>
        </is>
      </c>
      <c r="AB70" s="37" t="inlineStr">
        <is>
          <t>N/D</t>
        </is>
      </c>
      <c r="AC70" s="20" t="inlineStr">
        <is>
          <t>Non</t>
        </is>
      </c>
      <c r="AD70" s="20" t="inlineStr">
        <is>
          <t>2 piles AAA</t>
        </is>
      </c>
      <c r="AE70" s="20" t="inlineStr">
        <is>
          <t>Non vérifié sur CI, SN, BF, CM, BJ. Marque Colgate largement distribuée en GMS et pharmacie sur ces marchés.</t>
        </is>
      </c>
      <c r="AF70" s="20" t="inlineStr">
        <is>
          <t>GMS, pharmacies</t>
        </is>
      </c>
      <c r="AG70" s="21" t="inlineStr">
        <is>
          <t>https://www.colgate.com/en-my/products/toothbrush/colgate-proclinical-150-charcoal-battery-powered-toothbrush</t>
        </is>
      </c>
      <c r="AH70" s="21" t="inlineStr">
        <is>
          <t>https://www.colgate.com/en-my/products/toothbrush/colgate-proclinical-150-deepclean-battery-powered-toothbrush</t>
        </is>
      </c>
      <c r="AI70" s="20" t="inlineStr">
        <is>
          <t>Rapprochement sur l'alimentation à piles et le positionnement prix d'entrée de gamme. Concurrent de référence du segment SEAGO à piles : marque installée, prix d'entrée, tête remplaçable.</t>
        </is>
      </c>
      <c r="AJ70" s="22">
        <f>IFERROR(IF(IF('Relevé prix'!$B$1="SN",VLOOKUP($U70,'Relevé prix'!$A$4:$N$60,11,FALSE),VLOOKUP($U70,'Relevé prix'!$A$4:$N$60,7,FALSE))=0,"",IF('Relevé prix'!$B$1="SN",VLOOKUP($U70,'Relevé prix'!$A$4:$N$60,11,FALSE),VLOOKUP($U70,'Relevé prix'!$A$4:$N$60,7,FALSE))),"")</f>
        <v/>
      </c>
      <c r="AK70" s="23">
        <f>IFERROR(IF(IF('Relevé prix'!$B$1="SN",VLOOKUP($U70,'Relevé prix'!$A$4:$N$60,12,FALSE),VLOOKUP($U70,'Relevé prix'!$A$4:$N$60,8,FALSE))=0,"",IF('Relevé prix'!$B$1="SN",VLOOKUP($U70,'Relevé prix'!$A$4:$N$60,12,FALSE),VLOOKUP($U70,'Relevé prix'!$A$4:$N$60,8,FALSE))),"")</f>
        <v/>
      </c>
      <c r="AL70" s="24" t="n"/>
      <c r="AM70" s="25" t="n"/>
      <c r="AN70" s="25" t="n"/>
      <c r="AO70" s="22">
        <f>IF(OR(AL70="",AJ70=""),"",AL70-AJ70)</f>
        <v/>
      </c>
      <c r="AP70" s="26">
        <f>IF(OR(AL70="",AJ70="",AJ70=0),"",(AL70-AJ70)/AJ70)</f>
        <v/>
      </c>
      <c r="AQ70" s="27">
        <f>IF(AP70="","",IF(AP70&lt;-0.05,"Moins cher",IF(AP70&gt;0.05,"Plus cher","Équivalent")))</f>
        <v/>
      </c>
    </row>
    <row r="71">
      <c r="A71" s="28" t="inlineStr">
        <is>
          <t>SG-956</t>
        </is>
      </c>
      <c r="B71" s="28" t="inlineStr">
        <is>
          <t>Daily Clean</t>
        </is>
      </c>
      <c r="C71" s="28" t="inlineStr">
        <is>
          <t>Sonique</t>
        </is>
      </c>
      <c r="D71" s="28" t="inlineStr">
        <is>
          <t>Adulte</t>
        </is>
      </c>
      <c r="E71" s="29" t="n">
        <v>28000</v>
      </c>
      <c r="F71" s="29" t="n">
        <v>28000</v>
      </c>
      <c r="G71" s="30" t="n">
        <v>2</v>
      </c>
      <c r="H71" s="30" t="n">
        <v>120</v>
      </c>
      <c r="I71" s="35" t="inlineStr">
        <is>
          <t>N/D</t>
        </is>
      </c>
      <c r="J71" s="28" t="inlineStr">
        <is>
          <t>Pile (1x AAA)</t>
        </is>
      </c>
      <c r="K71" s="28" t="inlineStr">
        <is>
          <t>Piles</t>
        </is>
      </c>
      <c r="L71" s="34" t="inlineStr">
        <is>
          <t>N/D</t>
        </is>
      </c>
      <c r="M71" s="28" t="inlineStr">
        <is>
          <t>IPX7</t>
        </is>
      </c>
      <c r="N71" s="28" t="inlineStr">
        <is>
          <t>Non</t>
        </is>
      </c>
      <c r="O71" s="28" t="inlineStr">
        <is>
          <t>Aucun</t>
        </is>
      </c>
      <c r="P71" s="28" t="inlineStr">
        <is>
          <t>Oui</t>
        </is>
      </c>
      <c r="Q71" s="31" t="n">
        <v>19</v>
      </c>
      <c r="R71" s="28" t="inlineStr">
        <is>
          <t>21*21*172</t>
        </is>
      </c>
      <c r="S71" s="32" t="inlineStr">
        <is>
          <t>Design rouge à lèvres fin, minuteur 2 min avec rappel toutes les 30 s</t>
        </is>
      </c>
      <c r="T71" s="33" t="n">
        <v>41</v>
      </c>
      <c r="U71" s="20" t="inlineStr">
        <is>
          <t>COLGATE_150</t>
        </is>
      </c>
      <c r="V71" s="20" t="inlineStr">
        <is>
          <t>ProClinical 150 (Charcoal / Deep Clean)</t>
        </is>
      </c>
      <c r="W71" s="20" t="inlineStr">
        <is>
          <t>Colgate</t>
        </is>
      </c>
      <c r="X71" s="20" t="inlineStr">
        <is>
          <t>Sonique à piles</t>
        </is>
      </c>
      <c r="Y71" s="20" t="inlineStr">
        <is>
          <t>20 000 strokes/min</t>
        </is>
      </c>
      <c r="Z71" s="20" t="inlineStr">
        <is>
          <t>1 mode</t>
        </is>
      </c>
      <c r="AA71" s="37" t="inlineStr">
        <is>
          <t>N/D</t>
        </is>
      </c>
      <c r="AB71" s="37" t="inlineStr">
        <is>
          <t>N/D</t>
        </is>
      </c>
      <c r="AC71" s="20" t="inlineStr">
        <is>
          <t>Non</t>
        </is>
      </c>
      <c r="AD71" s="20" t="inlineStr">
        <is>
          <t>2 piles AAA</t>
        </is>
      </c>
      <c r="AE71" s="20" t="inlineStr">
        <is>
          <t>Non vérifié sur CI, SN, BF, CM, BJ. Marque Colgate largement distribuée en GMS et pharmacie sur ces marchés.</t>
        </is>
      </c>
      <c r="AF71" s="20" t="inlineStr">
        <is>
          <t>GMS, pharmacies</t>
        </is>
      </c>
      <c r="AG71" s="21" t="inlineStr">
        <is>
          <t>https://www.colgate.com/en-my/products/toothbrush/colgate-proclinical-150-charcoal-battery-powered-toothbrush</t>
        </is>
      </c>
      <c r="AH71" s="21" t="inlineStr">
        <is>
          <t>https://www.colgate.com/en-my/products/toothbrush/colgate-proclinical-150-deepclean-battery-powered-toothbrush</t>
        </is>
      </c>
      <c r="AI71" s="20" t="inlineStr">
        <is>
          <t>Rapprochement sur l'alimentation à piles et le positionnement prix d'entrée de gamme. Concurrent de référence du segment SEAGO à piles : marque installée, prix d'entrée, tête remplaçable.</t>
        </is>
      </c>
      <c r="AJ71" s="22">
        <f>IFERROR(IF(IF('Relevé prix'!$B$1="SN",VLOOKUP($U71,'Relevé prix'!$A$4:$N$60,11,FALSE),VLOOKUP($U71,'Relevé prix'!$A$4:$N$60,7,FALSE))=0,"",IF('Relevé prix'!$B$1="SN",VLOOKUP($U71,'Relevé prix'!$A$4:$N$60,11,FALSE),VLOOKUP($U71,'Relevé prix'!$A$4:$N$60,7,FALSE))),"")</f>
        <v/>
      </c>
      <c r="AK71" s="23">
        <f>IFERROR(IF(IF('Relevé prix'!$B$1="SN",VLOOKUP($U71,'Relevé prix'!$A$4:$N$60,12,FALSE),VLOOKUP($U71,'Relevé prix'!$A$4:$N$60,8,FALSE))=0,"",IF('Relevé prix'!$B$1="SN",VLOOKUP($U71,'Relevé prix'!$A$4:$N$60,12,FALSE),VLOOKUP($U71,'Relevé prix'!$A$4:$N$60,8,FALSE))),"")</f>
        <v/>
      </c>
      <c r="AL71" s="24" t="n"/>
      <c r="AM71" s="25" t="n"/>
      <c r="AN71" s="25" t="n"/>
      <c r="AO71" s="22">
        <f>IF(OR(AL71="",AJ71=""),"",AL71-AJ71)</f>
        <v/>
      </c>
      <c r="AP71" s="26">
        <f>IF(OR(AL71="",AJ71="",AJ71=0),"",(AL71-AJ71)/AJ71)</f>
        <v/>
      </c>
      <c r="AQ71" s="27">
        <f>IF(AP71="","",IF(AP71&lt;-0.05,"Moins cher",IF(AP71&gt;0.05,"Plus cher","Équivalent")))</f>
        <v/>
      </c>
    </row>
    <row r="72">
      <c r="A72" s="13" t="inlineStr">
        <is>
          <t>SG-522</t>
        </is>
      </c>
      <c r="B72" s="13" t="inlineStr">
        <is>
          <t>Daily Clean</t>
        </is>
      </c>
      <c r="C72" s="13" t="inlineStr">
        <is>
          <t>Sonique</t>
        </is>
      </c>
      <c r="D72" s="13" t="inlineStr">
        <is>
          <t>Adulte</t>
        </is>
      </c>
      <c r="E72" s="14" t="n">
        <v>28000</v>
      </c>
      <c r="F72" s="14" t="n">
        <v>28000</v>
      </c>
      <c r="G72" s="38" t="inlineStr">
        <is>
          <t>N/D</t>
        </is>
      </c>
      <c r="H72" s="15" t="n">
        <v>120</v>
      </c>
      <c r="I72" s="38" t="inlineStr">
        <is>
          <t>N/D</t>
        </is>
      </c>
      <c r="J72" s="13" t="inlineStr">
        <is>
          <t>Pile (1x AAA)</t>
        </is>
      </c>
      <c r="K72" s="13" t="inlineStr">
        <is>
          <t>Piles</t>
        </is>
      </c>
      <c r="L72" s="16" t="inlineStr">
        <is>
          <t>N/D</t>
        </is>
      </c>
      <c r="M72" s="13" t="inlineStr">
        <is>
          <t>IPX7</t>
        </is>
      </c>
      <c r="N72" s="13" t="inlineStr">
        <is>
          <t>Non</t>
        </is>
      </c>
      <c r="O72" s="13" t="inlineStr">
        <is>
          <t>Aucun</t>
        </is>
      </c>
      <c r="P72" s="13" t="inlineStr">
        <is>
          <t>Optionnel</t>
        </is>
      </c>
      <c r="Q72" s="17" t="n">
        <v>22</v>
      </c>
      <c r="R72" s="13" t="inlineStr">
        <is>
          <t>16*16*190</t>
        </is>
      </c>
      <c r="S72" s="18" t="inlineStr">
        <is>
          <t>Manche antidérapant fin, pack 1 brosse + 3 têtes de rechange (1 an d'usage), tenon plastique, minuteur en option</t>
        </is>
      </c>
      <c r="T72" s="19" t="n">
        <v>42</v>
      </c>
      <c r="U72" s="20" t="inlineStr">
        <is>
          <t>COLGATE_150</t>
        </is>
      </c>
      <c r="V72" s="20" t="inlineStr">
        <is>
          <t>ProClinical 150 (Charcoal / Deep Clean)</t>
        </is>
      </c>
      <c r="W72" s="20" t="inlineStr">
        <is>
          <t>Colgate</t>
        </is>
      </c>
      <c r="X72" s="20" t="inlineStr">
        <is>
          <t>Sonique à piles</t>
        </is>
      </c>
      <c r="Y72" s="20" t="inlineStr">
        <is>
          <t>20 000 strokes/min</t>
        </is>
      </c>
      <c r="Z72" s="20" t="inlineStr">
        <is>
          <t>1 mode</t>
        </is>
      </c>
      <c r="AA72" s="37" t="inlineStr">
        <is>
          <t>N/D</t>
        </is>
      </c>
      <c r="AB72" s="37" t="inlineStr">
        <is>
          <t>N/D</t>
        </is>
      </c>
      <c r="AC72" s="20" t="inlineStr">
        <is>
          <t>Non</t>
        </is>
      </c>
      <c r="AD72" s="20" t="inlineStr">
        <is>
          <t>2 piles AAA</t>
        </is>
      </c>
      <c r="AE72" s="20" t="inlineStr">
        <is>
          <t>Non vérifié sur CI, SN, BF, CM, BJ. Marque Colgate largement distribuée en GMS et pharmacie sur ces marchés.</t>
        </is>
      </c>
      <c r="AF72" s="20" t="inlineStr">
        <is>
          <t>GMS, pharmacies</t>
        </is>
      </c>
      <c r="AG72" s="21" t="inlineStr">
        <is>
          <t>https://www.colgate.com/en-my/products/toothbrush/colgate-proclinical-150-charcoal-battery-powered-toothbrush</t>
        </is>
      </c>
      <c r="AH72" s="21" t="inlineStr">
        <is>
          <t>https://www.colgate.com/en-my/products/toothbrush/colgate-proclinical-150-deepclean-battery-powered-toothbrush</t>
        </is>
      </c>
      <c r="AI72" s="20" t="inlineStr">
        <is>
          <t>Rapprochement sur l'alimentation à piles et le positionnement prix d'entrée de gamme. Concurrent de référence du segment SEAGO à piles : marque installée, prix d'entrée, tête remplaçable.</t>
        </is>
      </c>
      <c r="AJ72" s="22">
        <f>IFERROR(IF(IF('Relevé prix'!$B$1="SN",VLOOKUP($U72,'Relevé prix'!$A$4:$N$60,11,FALSE),VLOOKUP($U72,'Relevé prix'!$A$4:$N$60,7,FALSE))=0,"",IF('Relevé prix'!$B$1="SN",VLOOKUP($U72,'Relevé prix'!$A$4:$N$60,11,FALSE),VLOOKUP($U72,'Relevé prix'!$A$4:$N$60,7,FALSE))),"")</f>
        <v/>
      </c>
      <c r="AK72" s="23">
        <f>IFERROR(IF(IF('Relevé prix'!$B$1="SN",VLOOKUP($U72,'Relevé prix'!$A$4:$N$60,12,FALSE),VLOOKUP($U72,'Relevé prix'!$A$4:$N$60,8,FALSE))=0,"",IF('Relevé prix'!$B$1="SN",VLOOKUP($U72,'Relevé prix'!$A$4:$N$60,12,FALSE),VLOOKUP($U72,'Relevé prix'!$A$4:$N$60,8,FALSE))),"")</f>
        <v/>
      </c>
      <c r="AL72" s="24" t="n"/>
      <c r="AM72" s="25" t="n"/>
      <c r="AN72" s="25" t="n"/>
      <c r="AO72" s="22">
        <f>IF(OR(AL72="",AJ72=""),"",AL72-AJ72)</f>
        <v/>
      </c>
      <c r="AP72" s="26">
        <f>IF(OR(AL72="",AJ72="",AJ72=0),"",(AL72-AJ72)/AJ72)</f>
        <v/>
      </c>
      <c r="AQ72" s="27">
        <f>IF(AP72="","",IF(AP72&lt;-0.05,"Moins cher",IF(AP72&gt;0.05,"Plus cher","Équivalent")))</f>
        <v/>
      </c>
    </row>
    <row r="73">
      <c r="A73" s="28" t="inlineStr">
        <is>
          <t>SG-915</t>
        </is>
      </c>
      <c r="B73" s="28" t="inlineStr">
        <is>
          <t>Daily Clean</t>
        </is>
      </c>
      <c r="C73" s="28" t="inlineStr">
        <is>
          <t>Sonique</t>
        </is>
      </c>
      <c r="D73" s="28" t="inlineStr">
        <is>
          <t>Adulte</t>
        </is>
      </c>
      <c r="E73" s="29" t="n">
        <v>28000</v>
      </c>
      <c r="F73" s="29" t="n">
        <v>28000</v>
      </c>
      <c r="G73" s="35" t="inlineStr">
        <is>
          <t>N/D</t>
        </is>
      </c>
      <c r="H73" s="30" t="n">
        <v>120</v>
      </c>
      <c r="I73" s="35" t="inlineStr">
        <is>
          <t>N/D</t>
        </is>
      </c>
      <c r="J73" s="28" t="inlineStr">
        <is>
          <t>Pile (1x AAA)</t>
        </is>
      </c>
      <c r="K73" s="28" t="inlineStr">
        <is>
          <t>Piles</t>
        </is>
      </c>
      <c r="L73" s="34" t="inlineStr">
        <is>
          <t>N/D</t>
        </is>
      </c>
      <c r="M73" s="28" t="inlineStr">
        <is>
          <t>IPX7</t>
        </is>
      </c>
      <c r="N73" s="28" t="inlineStr">
        <is>
          <t>Non</t>
        </is>
      </c>
      <c r="O73" s="28" t="inlineStr">
        <is>
          <t>Aucun</t>
        </is>
      </c>
      <c r="P73" s="28" t="inlineStr">
        <is>
          <t>Non</t>
        </is>
      </c>
      <c r="Q73" s="31" t="n">
        <v>22</v>
      </c>
      <c r="R73" s="28" t="inlineStr">
        <is>
          <t>19*19*179</t>
        </is>
      </c>
      <c r="S73" s="32" t="inlineStr">
        <is>
          <t>Pack 1 brosse + 3 têtes de rechange (1 an d'usage), design fin, tenon plastique</t>
        </is>
      </c>
      <c r="T73" s="33" t="n">
        <v>42</v>
      </c>
      <c r="U73" s="20" t="inlineStr">
        <is>
          <t>COLGATE_150</t>
        </is>
      </c>
      <c r="V73" s="20" t="inlineStr">
        <is>
          <t>ProClinical 150 (Charcoal / Deep Clean)</t>
        </is>
      </c>
      <c r="W73" s="20" t="inlineStr">
        <is>
          <t>Colgate</t>
        </is>
      </c>
      <c r="X73" s="20" t="inlineStr">
        <is>
          <t>Sonique à piles</t>
        </is>
      </c>
      <c r="Y73" s="20" t="inlineStr">
        <is>
          <t>20 000 strokes/min</t>
        </is>
      </c>
      <c r="Z73" s="20" t="inlineStr">
        <is>
          <t>1 mode</t>
        </is>
      </c>
      <c r="AA73" s="37" t="inlineStr">
        <is>
          <t>N/D</t>
        </is>
      </c>
      <c r="AB73" s="37" t="inlineStr">
        <is>
          <t>N/D</t>
        </is>
      </c>
      <c r="AC73" s="20" t="inlineStr">
        <is>
          <t>Non</t>
        </is>
      </c>
      <c r="AD73" s="20" t="inlineStr">
        <is>
          <t>2 piles AAA</t>
        </is>
      </c>
      <c r="AE73" s="20" t="inlineStr">
        <is>
          <t>Non vérifié sur CI, SN, BF, CM, BJ. Marque Colgate largement distribuée en GMS et pharmacie sur ces marchés.</t>
        </is>
      </c>
      <c r="AF73" s="20" t="inlineStr">
        <is>
          <t>GMS, pharmacies</t>
        </is>
      </c>
      <c r="AG73" s="21" t="inlineStr">
        <is>
          <t>https://www.colgate.com/en-my/products/toothbrush/colgate-proclinical-150-charcoal-battery-powered-toothbrush</t>
        </is>
      </c>
      <c r="AH73" s="21" t="inlineStr">
        <is>
          <t>https://www.colgate.com/en-my/products/toothbrush/colgate-proclinical-150-deepclean-battery-powered-toothbrush</t>
        </is>
      </c>
      <c r="AI73" s="20" t="inlineStr">
        <is>
          <t>Rapprochement sur l'alimentation à piles et le positionnement prix d'entrée de gamme. Concurrent de référence du segment SEAGO à piles : marque installée, prix d'entrée, tête remplaçable.</t>
        </is>
      </c>
      <c r="AJ73" s="22">
        <f>IFERROR(IF(IF('Relevé prix'!$B$1="SN",VLOOKUP($U73,'Relevé prix'!$A$4:$N$60,11,FALSE),VLOOKUP($U73,'Relevé prix'!$A$4:$N$60,7,FALSE))=0,"",IF('Relevé prix'!$B$1="SN",VLOOKUP($U73,'Relevé prix'!$A$4:$N$60,11,FALSE),VLOOKUP($U73,'Relevé prix'!$A$4:$N$60,7,FALSE))),"")</f>
        <v/>
      </c>
      <c r="AK73" s="23">
        <f>IFERROR(IF(IF('Relevé prix'!$B$1="SN",VLOOKUP($U73,'Relevé prix'!$A$4:$N$60,12,FALSE),VLOOKUP($U73,'Relevé prix'!$A$4:$N$60,8,FALSE))=0,"",IF('Relevé prix'!$B$1="SN",VLOOKUP($U73,'Relevé prix'!$A$4:$N$60,12,FALSE),VLOOKUP($U73,'Relevé prix'!$A$4:$N$60,8,FALSE))),"")</f>
        <v/>
      </c>
      <c r="AL73" s="24" t="n"/>
      <c r="AM73" s="25" t="n"/>
      <c r="AN73" s="25" t="n"/>
      <c r="AO73" s="22">
        <f>IF(OR(AL73="",AJ73=""),"",AL73-AJ73)</f>
        <v/>
      </c>
      <c r="AP73" s="26">
        <f>IF(OR(AL73="",AJ73="",AJ73=0),"",(AL73-AJ73)/AJ73)</f>
        <v/>
      </c>
      <c r="AQ73" s="27">
        <f>IF(AP73="","",IF(AP73&lt;-0.05,"Moins cher",IF(AP73&gt;0.05,"Plus cher","Équivalent")))</f>
        <v/>
      </c>
    </row>
    <row r="74">
      <c r="A74" s="13" t="inlineStr">
        <is>
          <t>SG-920</t>
        </is>
      </c>
      <c r="B74" s="13" t="inlineStr">
        <is>
          <t>Daily Clean</t>
        </is>
      </c>
      <c r="C74" s="13" t="inlineStr">
        <is>
          <t>Sonique</t>
        </is>
      </c>
      <c r="D74" s="13" t="inlineStr">
        <is>
          <t>Adulte</t>
        </is>
      </c>
      <c r="E74" s="14" t="n">
        <v>24000</v>
      </c>
      <c r="F74" s="14" t="n">
        <v>24000</v>
      </c>
      <c r="G74" s="38" t="inlineStr">
        <is>
          <t>N/D</t>
        </is>
      </c>
      <c r="H74" s="15" t="n">
        <v>120</v>
      </c>
      <c r="I74" s="38" t="inlineStr">
        <is>
          <t>N/D</t>
        </is>
      </c>
      <c r="J74" s="13" t="inlineStr">
        <is>
          <t>Pile (1x AAA)</t>
        </is>
      </c>
      <c r="K74" s="13" t="inlineStr">
        <is>
          <t>Piles</t>
        </is>
      </c>
      <c r="L74" s="16" t="inlineStr">
        <is>
          <t>N/D</t>
        </is>
      </c>
      <c r="M74" s="13" t="inlineStr">
        <is>
          <t>IPX7</t>
        </is>
      </c>
      <c r="N74" s="13" t="inlineStr">
        <is>
          <t>Non</t>
        </is>
      </c>
      <c r="O74" s="13" t="inlineStr">
        <is>
          <t>Aucun</t>
        </is>
      </c>
      <c r="P74" s="13" t="inlineStr">
        <is>
          <t>Non</t>
        </is>
      </c>
      <c r="Q74" s="17" t="n">
        <v>23</v>
      </c>
      <c r="R74" s="13" t="inlineStr">
        <is>
          <t>18*18*197</t>
        </is>
      </c>
      <c r="S74" s="18" t="inlineStr">
        <is>
          <t>Pack 1 brosse + 3 têtes de rechange, design fin, tenon plastique</t>
        </is>
      </c>
      <c r="T74" s="19" t="n">
        <v>43</v>
      </c>
      <c r="U74" s="20" t="inlineStr">
        <is>
          <t>COLGATE_150</t>
        </is>
      </c>
      <c r="V74" s="20" t="inlineStr">
        <is>
          <t>ProClinical 150 (Charcoal / Deep Clean)</t>
        </is>
      </c>
      <c r="W74" s="20" t="inlineStr">
        <is>
          <t>Colgate</t>
        </is>
      </c>
      <c r="X74" s="20" t="inlineStr">
        <is>
          <t>Sonique à piles</t>
        </is>
      </c>
      <c r="Y74" s="20" t="inlineStr">
        <is>
          <t>20 000 strokes/min</t>
        </is>
      </c>
      <c r="Z74" s="20" t="inlineStr">
        <is>
          <t>1 mode</t>
        </is>
      </c>
      <c r="AA74" s="37" t="inlineStr">
        <is>
          <t>N/D</t>
        </is>
      </c>
      <c r="AB74" s="37" t="inlineStr">
        <is>
          <t>N/D</t>
        </is>
      </c>
      <c r="AC74" s="20" t="inlineStr">
        <is>
          <t>Non</t>
        </is>
      </c>
      <c r="AD74" s="20" t="inlineStr">
        <is>
          <t>2 piles AAA</t>
        </is>
      </c>
      <c r="AE74" s="20" t="inlineStr">
        <is>
          <t>Non vérifié sur CI, SN, BF, CM, BJ. Marque Colgate largement distribuée en GMS et pharmacie sur ces marchés.</t>
        </is>
      </c>
      <c r="AF74" s="20" t="inlineStr">
        <is>
          <t>GMS, pharmacies</t>
        </is>
      </c>
      <c r="AG74" s="21" t="inlineStr">
        <is>
          <t>https://www.colgate.com/en-my/products/toothbrush/colgate-proclinical-150-charcoal-battery-powered-toothbrush</t>
        </is>
      </c>
      <c r="AH74" s="21" t="inlineStr">
        <is>
          <t>https://www.colgate.com/en-my/products/toothbrush/colgate-proclinical-150-deepclean-battery-powered-toothbrush</t>
        </is>
      </c>
      <c r="AI74" s="20" t="inlineStr">
        <is>
          <t>Rapprochement sur l'alimentation à piles et le positionnement prix d'entrée de gamme. Concurrent de référence du segment SEAGO à piles : marque installée, prix d'entrée, tête remplaçable.</t>
        </is>
      </c>
      <c r="AJ74" s="22">
        <f>IFERROR(IF(IF('Relevé prix'!$B$1="SN",VLOOKUP($U74,'Relevé prix'!$A$4:$N$60,11,FALSE),VLOOKUP($U74,'Relevé prix'!$A$4:$N$60,7,FALSE))=0,"",IF('Relevé prix'!$B$1="SN",VLOOKUP($U74,'Relevé prix'!$A$4:$N$60,11,FALSE),VLOOKUP($U74,'Relevé prix'!$A$4:$N$60,7,FALSE))),"")</f>
        <v/>
      </c>
      <c r="AK74" s="23">
        <f>IFERROR(IF(IF('Relevé prix'!$B$1="SN",VLOOKUP($U74,'Relevé prix'!$A$4:$N$60,12,FALSE),VLOOKUP($U74,'Relevé prix'!$A$4:$N$60,8,FALSE))=0,"",IF('Relevé prix'!$B$1="SN",VLOOKUP($U74,'Relevé prix'!$A$4:$N$60,12,FALSE),VLOOKUP($U74,'Relevé prix'!$A$4:$N$60,8,FALSE))),"")</f>
        <v/>
      </c>
      <c r="AL74" s="24" t="n"/>
      <c r="AM74" s="25" t="n"/>
      <c r="AN74" s="25" t="n"/>
      <c r="AO74" s="22">
        <f>IF(OR(AL74="",AJ74=""),"",AL74-AJ74)</f>
        <v/>
      </c>
      <c r="AP74" s="26">
        <f>IF(OR(AL74="",AJ74="",AJ74=0),"",(AL74-AJ74)/AJ74)</f>
        <v/>
      </c>
      <c r="AQ74" s="27">
        <f>IF(AP74="","",IF(AP74&lt;-0.05,"Moins cher",IF(AP74&gt;0.05,"Plus cher","Équivalent")))</f>
        <v/>
      </c>
    </row>
    <row r="75">
      <c r="A75" s="28" t="inlineStr">
        <is>
          <t>SG-963</t>
        </is>
      </c>
      <c r="B75" s="28" t="inlineStr">
        <is>
          <t>Daily Clean</t>
        </is>
      </c>
      <c r="C75" s="28" t="inlineStr">
        <is>
          <t>Sonique</t>
        </is>
      </c>
      <c r="D75" s="28" t="inlineStr">
        <is>
          <t>Adulte</t>
        </is>
      </c>
      <c r="E75" s="29" t="n">
        <v>20000</v>
      </c>
      <c r="F75" s="29" t="n">
        <v>20000</v>
      </c>
      <c r="G75" s="30" t="n">
        <v>2</v>
      </c>
      <c r="H75" s="30" t="n">
        <v>120</v>
      </c>
      <c r="I75" s="35" t="inlineStr">
        <is>
          <t>N/D</t>
        </is>
      </c>
      <c r="J75" s="28" t="inlineStr">
        <is>
          <t>Pile (1x AAA)</t>
        </is>
      </c>
      <c r="K75" s="28" t="inlineStr">
        <is>
          <t>Piles</t>
        </is>
      </c>
      <c r="L75" s="34" t="inlineStr">
        <is>
          <t>N/D</t>
        </is>
      </c>
      <c r="M75" s="28" t="inlineStr">
        <is>
          <t>IPX7</t>
        </is>
      </c>
      <c r="N75" s="28" t="inlineStr">
        <is>
          <t>Non</t>
        </is>
      </c>
      <c r="O75" s="28" t="inlineStr">
        <is>
          <t>Aucun</t>
        </is>
      </c>
      <c r="P75" s="28" t="inlineStr">
        <is>
          <t>Oui</t>
        </is>
      </c>
      <c r="Q75" s="31" t="n">
        <v>29</v>
      </c>
      <c r="R75" s="28" t="inlineStr">
        <is>
          <t>19.8*19.8*216.6</t>
        </is>
      </c>
      <c r="S75" s="32" t="inlineStr">
        <is>
          <t>Pack 1 brosse + 3 têtes de rechange, tête avec gratte-langue, tenon plastique</t>
        </is>
      </c>
      <c r="T75" s="33" t="n">
        <v>43</v>
      </c>
      <c r="U75" s="20" t="inlineStr">
        <is>
          <t>COLGATE_150</t>
        </is>
      </c>
      <c r="V75" s="20" t="inlineStr">
        <is>
          <t>ProClinical 150 (Charcoal / Deep Clean)</t>
        </is>
      </c>
      <c r="W75" s="20" t="inlineStr">
        <is>
          <t>Colgate</t>
        </is>
      </c>
      <c r="X75" s="20" t="inlineStr">
        <is>
          <t>Sonique à piles</t>
        </is>
      </c>
      <c r="Y75" s="20" t="inlineStr">
        <is>
          <t>20 000 strokes/min</t>
        </is>
      </c>
      <c r="Z75" s="20" t="inlineStr">
        <is>
          <t>1 mode</t>
        </is>
      </c>
      <c r="AA75" s="37" t="inlineStr">
        <is>
          <t>N/D</t>
        </is>
      </c>
      <c r="AB75" s="37" t="inlineStr">
        <is>
          <t>N/D</t>
        </is>
      </c>
      <c r="AC75" s="20" t="inlineStr">
        <is>
          <t>Non</t>
        </is>
      </c>
      <c r="AD75" s="20" t="inlineStr">
        <is>
          <t>2 piles AAA</t>
        </is>
      </c>
      <c r="AE75" s="20" t="inlineStr">
        <is>
          <t>Non vérifié sur CI, SN, BF, CM, BJ. Marque Colgate largement distribuée en GMS et pharmacie sur ces marchés.</t>
        </is>
      </c>
      <c r="AF75" s="20" t="inlineStr">
        <is>
          <t>GMS, pharmacies</t>
        </is>
      </c>
      <c r="AG75" s="21" t="inlineStr">
        <is>
          <t>https://www.colgate.com/en-my/products/toothbrush/colgate-proclinical-150-charcoal-battery-powered-toothbrush</t>
        </is>
      </c>
      <c r="AH75" s="21" t="inlineStr">
        <is>
          <t>https://www.colgate.com/en-my/products/toothbrush/colgate-proclinical-150-deepclean-battery-powered-toothbrush</t>
        </is>
      </c>
      <c r="AI75" s="20" t="inlineStr">
        <is>
          <t>Rapprochement sur l'alimentation à piles et le positionnement prix d'entrée de gamme. Concurrent de référence du segment SEAGO à piles : marque installée, prix d'entrée, tête remplaçable.</t>
        </is>
      </c>
      <c r="AJ75" s="22">
        <f>IFERROR(IF(IF('Relevé prix'!$B$1="SN",VLOOKUP($U75,'Relevé prix'!$A$4:$N$60,11,FALSE),VLOOKUP($U75,'Relevé prix'!$A$4:$N$60,7,FALSE))=0,"",IF('Relevé prix'!$B$1="SN",VLOOKUP($U75,'Relevé prix'!$A$4:$N$60,11,FALSE),VLOOKUP($U75,'Relevé prix'!$A$4:$N$60,7,FALSE))),"")</f>
        <v/>
      </c>
      <c r="AK75" s="23">
        <f>IFERROR(IF(IF('Relevé prix'!$B$1="SN",VLOOKUP($U75,'Relevé prix'!$A$4:$N$60,12,FALSE),VLOOKUP($U75,'Relevé prix'!$A$4:$N$60,8,FALSE))=0,"",IF('Relevé prix'!$B$1="SN",VLOOKUP($U75,'Relevé prix'!$A$4:$N$60,12,FALSE),VLOOKUP($U75,'Relevé prix'!$A$4:$N$60,8,FALSE))),"")</f>
        <v/>
      </c>
      <c r="AL75" s="24" t="n"/>
      <c r="AM75" s="25" t="n"/>
      <c r="AN75" s="25" t="n"/>
      <c r="AO75" s="22">
        <f>IF(OR(AL75="",AJ75=""),"",AL75-AJ75)</f>
        <v/>
      </c>
      <c r="AP75" s="26">
        <f>IF(OR(AL75="",AJ75="",AJ75=0),"",(AL75-AJ75)/AJ75)</f>
        <v/>
      </c>
      <c r="AQ75" s="27">
        <f>IF(AP75="","",IF(AP75&lt;-0.05,"Moins cher",IF(AP75&gt;0.05,"Plus cher","Équivalent")))</f>
        <v/>
      </c>
    </row>
    <row r="76">
      <c r="A76" s="13" t="inlineStr">
        <is>
          <t>SG-912</t>
        </is>
      </c>
      <c r="B76" s="13" t="inlineStr">
        <is>
          <t>Daily Clean</t>
        </is>
      </c>
      <c r="C76" s="13" t="inlineStr">
        <is>
          <t>Sonique</t>
        </is>
      </c>
      <c r="D76" s="13" t="inlineStr">
        <is>
          <t>Adulte</t>
        </is>
      </c>
      <c r="E76" s="14" t="n">
        <v>24000</v>
      </c>
      <c r="F76" s="14" t="n">
        <v>24000</v>
      </c>
      <c r="G76" s="38" t="inlineStr">
        <is>
          <t>N/D</t>
        </is>
      </c>
      <c r="H76" s="15" t="n">
        <v>120</v>
      </c>
      <c r="I76" s="38" t="inlineStr">
        <is>
          <t>N/D</t>
        </is>
      </c>
      <c r="J76" s="13" t="inlineStr">
        <is>
          <t>Pile (1x AAA)</t>
        </is>
      </c>
      <c r="K76" s="13" t="inlineStr">
        <is>
          <t>Piles</t>
        </is>
      </c>
      <c r="L76" s="16" t="inlineStr">
        <is>
          <t>N/D</t>
        </is>
      </c>
      <c r="M76" s="13" t="inlineStr">
        <is>
          <t>IPX7</t>
        </is>
      </c>
      <c r="N76" s="13" t="inlineStr">
        <is>
          <t>Non</t>
        </is>
      </c>
      <c r="O76" s="13" t="inlineStr">
        <is>
          <t>Aucun</t>
        </is>
      </c>
      <c r="P76" s="13" t="inlineStr">
        <is>
          <t>Non</t>
        </is>
      </c>
      <c r="Q76" s="17" t="n">
        <v>22</v>
      </c>
      <c r="R76" s="13" t="inlineStr">
        <is>
          <t>18*18*179</t>
        </is>
      </c>
      <c r="S76" s="18" t="inlineStr">
        <is>
          <t>Pack 1 brosse + 3 têtes de rechange, design fin, tenon plastique</t>
        </is>
      </c>
      <c r="T76" s="19" t="n">
        <v>44</v>
      </c>
      <c r="U76" s="20" t="inlineStr">
        <is>
          <t>COLGATE_150</t>
        </is>
      </c>
      <c r="V76" s="20" t="inlineStr">
        <is>
          <t>ProClinical 150 (Charcoal / Deep Clean)</t>
        </is>
      </c>
      <c r="W76" s="20" t="inlineStr">
        <is>
          <t>Colgate</t>
        </is>
      </c>
      <c r="X76" s="20" t="inlineStr">
        <is>
          <t>Sonique à piles</t>
        </is>
      </c>
      <c r="Y76" s="20" t="inlineStr">
        <is>
          <t>20 000 strokes/min</t>
        </is>
      </c>
      <c r="Z76" s="20" t="inlineStr">
        <is>
          <t>1 mode</t>
        </is>
      </c>
      <c r="AA76" s="37" t="inlineStr">
        <is>
          <t>N/D</t>
        </is>
      </c>
      <c r="AB76" s="37" t="inlineStr">
        <is>
          <t>N/D</t>
        </is>
      </c>
      <c r="AC76" s="20" t="inlineStr">
        <is>
          <t>Non</t>
        </is>
      </c>
      <c r="AD76" s="20" t="inlineStr">
        <is>
          <t>2 piles AAA</t>
        </is>
      </c>
      <c r="AE76" s="20" t="inlineStr">
        <is>
          <t>Non vérifié sur CI, SN, BF, CM, BJ. Marque Colgate largement distribuée en GMS et pharmacie sur ces marchés.</t>
        </is>
      </c>
      <c r="AF76" s="20" t="inlineStr">
        <is>
          <t>GMS, pharmacies</t>
        </is>
      </c>
      <c r="AG76" s="21" t="inlineStr">
        <is>
          <t>https://www.colgate.com/en-my/products/toothbrush/colgate-proclinical-150-charcoal-battery-powered-toothbrush</t>
        </is>
      </c>
      <c r="AH76" s="21" t="inlineStr">
        <is>
          <t>https://www.colgate.com/en-my/products/toothbrush/colgate-proclinical-150-deepclean-battery-powered-toothbrush</t>
        </is>
      </c>
      <c r="AI76" s="20" t="inlineStr">
        <is>
          <t>Rapprochement sur l'alimentation à piles et le positionnement prix d'entrée de gamme. Concurrent de référence du segment SEAGO à piles : marque installée, prix d'entrée, tête remplaçable.</t>
        </is>
      </c>
      <c r="AJ76" s="22">
        <f>IFERROR(IF(IF('Relevé prix'!$B$1="SN",VLOOKUP($U76,'Relevé prix'!$A$4:$N$60,11,FALSE),VLOOKUP($U76,'Relevé prix'!$A$4:$N$60,7,FALSE))=0,"",IF('Relevé prix'!$B$1="SN",VLOOKUP($U76,'Relevé prix'!$A$4:$N$60,11,FALSE),VLOOKUP($U76,'Relevé prix'!$A$4:$N$60,7,FALSE))),"")</f>
        <v/>
      </c>
      <c r="AK76" s="23">
        <f>IFERROR(IF(IF('Relevé prix'!$B$1="SN",VLOOKUP($U76,'Relevé prix'!$A$4:$N$60,12,FALSE),VLOOKUP($U76,'Relevé prix'!$A$4:$N$60,8,FALSE))=0,"",IF('Relevé prix'!$B$1="SN",VLOOKUP($U76,'Relevé prix'!$A$4:$N$60,12,FALSE),VLOOKUP($U76,'Relevé prix'!$A$4:$N$60,8,FALSE))),"")</f>
        <v/>
      </c>
      <c r="AL76" s="24" t="n"/>
      <c r="AM76" s="25" t="n"/>
      <c r="AN76" s="25" t="n"/>
      <c r="AO76" s="22">
        <f>IF(OR(AL76="",AJ76=""),"",AL76-AJ76)</f>
        <v/>
      </c>
      <c r="AP76" s="26">
        <f>IF(OR(AL76="",AJ76="",AJ76=0),"",(AL76-AJ76)/AJ76)</f>
        <v/>
      </c>
      <c r="AQ76" s="27">
        <f>IF(AP76="","",IF(AP76&lt;-0.05,"Moins cher",IF(AP76&gt;0.05,"Plus cher","Équivalent")))</f>
        <v/>
      </c>
    </row>
    <row r="77">
      <c r="A77" s="28" t="inlineStr">
        <is>
          <t>SG-967</t>
        </is>
      </c>
      <c r="B77" s="28" t="inlineStr">
        <is>
          <t>Daily Clean</t>
        </is>
      </c>
      <c r="C77" s="28" t="inlineStr">
        <is>
          <t>Sonique</t>
        </is>
      </c>
      <c r="D77" s="28" t="inlineStr">
        <is>
          <t>Adulte</t>
        </is>
      </c>
      <c r="E77" s="29" t="n">
        <v>20000</v>
      </c>
      <c r="F77" s="29" t="n">
        <v>20000</v>
      </c>
      <c r="G77" s="35" t="inlineStr">
        <is>
          <t>N/D</t>
        </is>
      </c>
      <c r="H77" s="30" t="n">
        <v>120</v>
      </c>
      <c r="I77" s="35" t="inlineStr">
        <is>
          <t>N/D</t>
        </is>
      </c>
      <c r="J77" s="28" t="inlineStr">
        <is>
          <t>Pile (1x AAA)</t>
        </is>
      </c>
      <c r="K77" s="28" t="inlineStr">
        <is>
          <t>Piles</t>
        </is>
      </c>
      <c r="L77" s="34" t="inlineStr">
        <is>
          <t>N/D</t>
        </is>
      </c>
      <c r="M77" s="28" t="inlineStr">
        <is>
          <t>IPX7</t>
        </is>
      </c>
      <c r="N77" s="28" t="inlineStr">
        <is>
          <t>Non</t>
        </is>
      </c>
      <c r="O77" s="28" t="inlineStr">
        <is>
          <t>Aucun</t>
        </is>
      </c>
      <c r="P77" s="28" t="inlineStr">
        <is>
          <t>Non</t>
        </is>
      </c>
      <c r="Q77" s="31" t="n">
        <v>22</v>
      </c>
      <c r="R77" s="28" t="inlineStr">
        <is>
          <t>18*18*193</t>
        </is>
      </c>
      <c r="S77" s="32" t="inlineStr">
        <is>
          <t>Pack 1 brosse + 3 têtes de rechange, design fin, tenon plastique</t>
        </is>
      </c>
      <c r="T77" s="33" t="n">
        <v>44</v>
      </c>
      <c r="U77" s="20" t="inlineStr">
        <is>
          <t>COLGATE_150</t>
        </is>
      </c>
      <c r="V77" s="20" t="inlineStr">
        <is>
          <t>ProClinical 150 (Charcoal / Deep Clean)</t>
        </is>
      </c>
      <c r="W77" s="20" t="inlineStr">
        <is>
          <t>Colgate</t>
        </is>
      </c>
      <c r="X77" s="20" t="inlineStr">
        <is>
          <t>Sonique à piles</t>
        </is>
      </c>
      <c r="Y77" s="20" t="inlineStr">
        <is>
          <t>20 000 strokes/min</t>
        </is>
      </c>
      <c r="Z77" s="20" t="inlineStr">
        <is>
          <t>1 mode</t>
        </is>
      </c>
      <c r="AA77" s="37" t="inlineStr">
        <is>
          <t>N/D</t>
        </is>
      </c>
      <c r="AB77" s="37" t="inlineStr">
        <is>
          <t>N/D</t>
        </is>
      </c>
      <c r="AC77" s="20" t="inlineStr">
        <is>
          <t>Non</t>
        </is>
      </c>
      <c r="AD77" s="20" t="inlineStr">
        <is>
          <t>2 piles AAA</t>
        </is>
      </c>
      <c r="AE77" s="20" t="inlineStr">
        <is>
          <t>Non vérifié sur CI, SN, BF, CM, BJ. Marque Colgate largement distribuée en GMS et pharmacie sur ces marchés.</t>
        </is>
      </c>
      <c r="AF77" s="20" t="inlineStr">
        <is>
          <t>GMS, pharmacies</t>
        </is>
      </c>
      <c r="AG77" s="21" t="inlineStr">
        <is>
          <t>https://www.colgate.com/en-my/products/toothbrush/colgate-proclinical-150-charcoal-battery-powered-toothbrush</t>
        </is>
      </c>
      <c r="AH77" s="21" t="inlineStr">
        <is>
          <t>https://www.colgate.com/en-my/products/toothbrush/colgate-proclinical-150-deepclean-battery-powered-toothbrush</t>
        </is>
      </c>
      <c r="AI77" s="20" t="inlineStr">
        <is>
          <t>Rapprochement sur l'alimentation à piles et le positionnement prix d'entrée de gamme. Concurrent de référence du segment SEAGO à piles : marque installée, prix d'entrée, tête remplaçable.</t>
        </is>
      </c>
      <c r="AJ77" s="22">
        <f>IFERROR(IF(IF('Relevé prix'!$B$1="SN",VLOOKUP($U77,'Relevé prix'!$A$4:$N$60,11,FALSE),VLOOKUP($U77,'Relevé prix'!$A$4:$N$60,7,FALSE))=0,"",IF('Relevé prix'!$B$1="SN",VLOOKUP($U77,'Relevé prix'!$A$4:$N$60,11,FALSE),VLOOKUP($U77,'Relevé prix'!$A$4:$N$60,7,FALSE))),"")</f>
        <v/>
      </c>
      <c r="AK77" s="23">
        <f>IFERROR(IF(IF('Relevé prix'!$B$1="SN",VLOOKUP($U77,'Relevé prix'!$A$4:$N$60,12,FALSE),VLOOKUP($U77,'Relevé prix'!$A$4:$N$60,8,FALSE))=0,"",IF('Relevé prix'!$B$1="SN",VLOOKUP($U77,'Relevé prix'!$A$4:$N$60,12,FALSE),VLOOKUP($U77,'Relevé prix'!$A$4:$N$60,8,FALSE))),"")</f>
        <v/>
      </c>
      <c r="AL77" s="24" t="n"/>
      <c r="AM77" s="25" t="n"/>
      <c r="AN77" s="25" t="n"/>
      <c r="AO77" s="22">
        <f>IF(OR(AL77="",AJ77=""),"",AL77-AJ77)</f>
        <v/>
      </c>
      <c r="AP77" s="26">
        <f>IF(OR(AL77="",AJ77="",AJ77=0),"",(AL77-AJ77)/AJ77)</f>
        <v/>
      </c>
      <c r="AQ77" s="27">
        <f>IF(AP77="","",IF(AP77&lt;-0.05,"Moins cher",IF(AP77&gt;0.05,"Plus cher","Équivalent")))</f>
        <v/>
      </c>
    </row>
    <row r="78">
      <c r="A78" s="13" t="inlineStr">
        <is>
          <t>SG-582</t>
        </is>
      </c>
      <c r="B78" s="13" t="inlineStr">
        <is>
          <t>Daily Clean</t>
        </is>
      </c>
      <c r="C78" s="13" t="inlineStr">
        <is>
          <t>Sonique</t>
        </is>
      </c>
      <c r="D78" s="13" t="inlineStr">
        <is>
          <t>Adulte</t>
        </is>
      </c>
      <c r="E78" s="14" t="n">
        <v>28000</v>
      </c>
      <c r="F78" s="14" t="n">
        <v>28000</v>
      </c>
      <c r="G78" s="38" t="inlineStr">
        <is>
          <t>N/D</t>
        </is>
      </c>
      <c r="H78" s="15" t="n">
        <v>120</v>
      </c>
      <c r="I78" s="38" t="inlineStr">
        <is>
          <t>N/D</t>
        </is>
      </c>
      <c r="J78" s="13" t="inlineStr">
        <is>
          <t>Pile (1x AAA)</t>
        </is>
      </c>
      <c r="K78" s="13" t="inlineStr">
        <is>
          <t>Piles</t>
        </is>
      </c>
      <c r="L78" s="16" t="inlineStr">
        <is>
          <t>N/D</t>
        </is>
      </c>
      <c r="M78" s="13" t="inlineStr">
        <is>
          <t>IPX7</t>
        </is>
      </c>
      <c r="N78" s="13" t="inlineStr">
        <is>
          <t>Non</t>
        </is>
      </c>
      <c r="O78" s="13" t="inlineStr">
        <is>
          <t>Aucun</t>
        </is>
      </c>
      <c r="P78" s="13" t="inlineStr">
        <is>
          <t>Non</t>
        </is>
      </c>
      <c r="Q78" s="17" t="n">
        <v>18</v>
      </c>
      <c r="R78" s="13" t="inlineStr">
        <is>
          <t>16.6*16.6*193</t>
        </is>
      </c>
      <c r="S78" s="18" t="inlineStr">
        <is>
          <t>Pack 1 brosse + 3 têtes de rechange, design fin, tenon plastique</t>
        </is>
      </c>
      <c r="T78" s="19" t="n">
        <v>45</v>
      </c>
      <c r="U78" s="20" t="inlineStr">
        <is>
          <t>COLGATE_150</t>
        </is>
      </c>
      <c r="V78" s="20" t="inlineStr">
        <is>
          <t>ProClinical 150 (Charcoal / Deep Clean)</t>
        </is>
      </c>
      <c r="W78" s="20" t="inlineStr">
        <is>
          <t>Colgate</t>
        </is>
      </c>
      <c r="X78" s="20" t="inlineStr">
        <is>
          <t>Sonique à piles</t>
        </is>
      </c>
      <c r="Y78" s="20" t="inlineStr">
        <is>
          <t>20 000 strokes/min</t>
        </is>
      </c>
      <c r="Z78" s="20" t="inlineStr">
        <is>
          <t>1 mode</t>
        </is>
      </c>
      <c r="AA78" s="37" t="inlineStr">
        <is>
          <t>N/D</t>
        </is>
      </c>
      <c r="AB78" s="37" t="inlineStr">
        <is>
          <t>N/D</t>
        </is>
      </c>
      <c r="AC78" s="20" t="inlineStr">
        <is>
          <t>Non</t>
        </is>
      </c>
      <c r="AD78" s="20" t="inlineStr">
        <is>
          <t>2 piles AAA</t>
        </is>
      </c>
      <c r="AE78" s="20" t="inlineStr">
        <is>
          <t>Non vérifié sur CI, SN, BF, CM, BJ. Marque Colgate largement distribuée en GMS et pharmacie sur ces marchés.</t>
        </is>
      </c>
      <c r="AF78" s="20" t="inlineStr">
        <is>
          <t>GMS, pharmacies</t>
        </is>
      </c>
      <c r="AG78" s="21" t="inlineStr">
        <is>
          <t>https://www.colgate.com/en-my/products/toothbrush/colgate-proclinical-150-charcoal-battery-powered-toothbrush</t>
        </is>
      </c>
      <c r="AH78" s="21" t="inlineStr">
        <is>
          <t>https://www.colgate.com/en-my/products/toothbrush/colgate-proclinical-150-deepclean-battery-powered-toothbrush</t>
        </is>
      </c>
      <c r="AI78" s="20" t="inlineStr">
        <is>
          <t>Rapprochement sur l'alimentation à piles et le positionnement prix d'entrée de gamme. Concurrent de référence du segment SEAGO à piles : marque installée, prix d'entrée, tête remplaçable.</t>
        </is>
      </c>
      <c r="AJ78" s="22">
        <f>IFERROR(IF(IF('Relevé prix'!$B$1="SN",VLOOKUP($U78,'Relevé prix'!$A$4:$N$60,11,FALSE),VLOOKUP($U78,'Relevé prix'!$A$4:$N$60,7,FALSE))=0,"",IF('Relevé prix'!$B$1="SN",VLOOKUP($U78,'Relevé prix'!$A$4:$N$60,11,FALSE),VLOOKUP($U78,'Relevé prix'!$A$4:$N$60,7,FALSE))),"")</f>
        <v/>
      </c>
      <c r="AK78" s="23">
        <f>IFERROR(IF(IF('Relevé prix'!$B$1="SN",VLOOKUP($U78,'Relevé prix'!$A$4:$N$60,12,FALSE),VLOOKUP($U78,'Relevé prix'!$A$4:$N$60,8,FALSE))=0,"",IF('Relevé prix'!$B$1="SN",VLOOKUP($U78,'Relevé prix'!$A$4:$N$60,12,FALSE),VLOOKUP($U78,'Relevé prix'!$A$4:$N$60,8,FALSE))),"")</f>
        <v/>
      </c>
      <c r="AL78" s="24" t="n"/>
      <c r="AM78" s="25" t="n"/>
      <c r="AN78" s="25" t="n"/>
      <c r="AO78" s="22">
        <f>IF(OR(AL78="",AJ78=""),"",AL78-AJ78)</f>
        <v/>
      </c>
      <c r="AP78" s="26">
        <f>IF(OR(AL78="",AJ78="",AJ78=0),"",(AL78-AJ78)/AJ78)</f>
        <v/>
      </c>
      <c r="AQ78" s="27">
        <f>IF(AP78="","",IF(AP78&lt;-0.05,"Moins cher",IF(AP78&gt;0.05,"Plus cher","Équivalent")))</f>
        <v/>
      </c>
    </row>
    <row r="79">
      <c r="A79" s="28" t="inlineStr">
        <is>
          <t>SG-2007</t>
        </is>
      </c>
      <c r="B79" s="28" t="inlineStr">
        <is>
          <t>Daily Clean</t>
        </is>
      </c>
      <c r="C79" s="28" t="inlineStr">
        <is>
          <t>Sonique</t>
        </is>
      </c>
      <c r="D79" s="28" t="inlineStr">
        <is>
          <t>Adulte</t>
        </is>
      </c>
      <c r="E79" s="29" t="n">
        <v>24000</v>
      </c>
      <c r="F79" s="29" t="n">
        <v>24000</v>
      </c>
      <c r="G79" s="30" t="n">
        <v>2</v>
      </c>
      <c r="H79" s="30" t="n">
        <v>120</v>
      </c>
      <c r="I79" s="35" t="inlineStr">
        <is>
          <t>N/D</t>
        </is>
      </c>
      <c r="J79" s="28" t="inlineStr">
        <is>
          <t>Pile (1x AAA)</t>
        </is>
      </c>
      <c r="K79" s="28" t="inlineStr">
        <is>
          <t>Piles</t>
        </is>
      </c>
      <c r="L79" s="34" t="inlineStr">
        <is>
          <t>N/D</t>
        </is>
      </c>
      <c r="M79" s="28" t="inlineStr">
        <is>
          <t>IPX7</t>
        </is>
      </c>
      <c r="N79" s="28" t="inlineStr">
        <is>
          <t>Non</t>
        </is>
      </c>
      <c r="O79" s="28" t="inlineStr">
        <is>
          <t>Aucun</t>
        </is>
      </c>
      <c r="P79" s="28" t="inlineStr">
        <is>
          <t>Oui</t>
        </is>
      </c>
      <c r="Q79" s="31" t="n">
        <v>26</v>
      </c>
      <c r="R79" s="28" t="inlineStr">
        <is>
          <t>18.3*18.3*190</t>
        </is>
      </c>
      <c r="S79" s="32" t="inlineStr">
        <is>
          <t>Design fin avec tenon métal, minuteur 2 min avec rappel toutes les 30 s</t>
        </is>
      </c>
      <c r="T79" s="33" t="n">
        <v>45</v>
      </c>
      <c r="U79" s="20" t="inlineStr">
        <is>
          <t>COLGATE_150</t>
        </is>
      </c>
      <c r="V79" s="20" t="inlineStr">
        <is>
          <t>ProClinical 150 (Charcoal / Deep Clean)</t>
        </is>
      </c>
      <c r="W79" s="20" t="inlineStr">
        <is>
          <t>Colgate</t>
        </is>
      </c>
      <c r="X79" s="20" t="inlineStr">
        <is>
          <t>Sonique à piles</t>
        </is>
      </c>
      <c r="Y79" s="20" t="inlineStr">
        <is>
          <t>20 000 strokes/min</t>
        </is>
      </c>
      <c r="Z79" s="20" t="inlineStr">
        <is>
          <t>1 mode</t>
        </is>
      </c>
      <c r="AA79" s="37" t="inlineStr">
        <is>
          <t>N/D</t>
        </is>
      </c>
      <c r="AB79" s="37" t="inlineStr">
        <is>
          <t>N/D</t>
        </is>
      </c>
      <c r="AC79" s="20" t="inlineStr">
        <is>
          <t>Non</t>
        </is>
      </c>
      <c r="AD79" s="20" t="inlineStr">
        <is>
          <t>2 piles AAA</t>
        </is>
      </c>
      <c r="AE79" s="20" t="inlineStr">
        <is>
          <t>Non vérifié sur CI, SN, BF, CM, BJ. Marque Colgate largement distribuée en GMS et pharmacie sur ces marchés.</t>
        </is>
      </c>
      <c r="AF79" s="20" t="inlineStr">
        <is>
          <t>GMS, pharmacies</t>
        </is>
      </c>
      <c r="AG79" s="21" t="inlineStr">
        <is>
          <t>https://www.colgate.com/en-my/products/toothbrush/colgate-proclinical-150-charcoal-battery-powered-toothbrush</t>
        </is>
      </c>
      <c r="AH79" s="21" t="inlineStr">
        <is>
          <t>https://www.colgate.com/en-my/products/toothbrush/colgate-proclinical-150-deepclean-battery-powered-toothbrush</t>
        </is>
      </c>
      <c r="AI79" s="20" t="inlineStr">
        <is>
          <t>Rapprochement sur l'alimentation à piles et le positionnement prix d'entrée de gamme. Concurrent de référence du segment SEAGO à piles : marque installée, prix d'entrée, tête remplaçable.</t>
        </is>
      </c>
      <c r="AJ79" s="22">
        <f>IFERROR(IF(IF('Relevé prix'!$B$1="SN",VLOOKUP($U79,'Relevé prix'!$A$4:$N$60,11,FALSE),VLOOKUP($U79,'Relevé prix'!$A$4:$N$60,7,FALSE))=0,"",IF('Relevé prix'!$B$1="SN",VLOOKUP($U79,'Relevé prix'!$A$4:$N$60,11,FALSE),VLOOKUP($U79,'Relevé prix'!$A$4:$N$60,7,FALSE))),"")</f>
        <v/>
      </c>
      <c r="AK79" s="23">
        <f>IFERROR(IF(IF('Relevé prix'!$B$1="SN",VLOOKUP($U79,'Relevé prix'!$A$4:$N$60,12,FALSE),VLOOKUP($U79,'Relevé prix'!$A$4:$N$60,8,FALSE))=0,"",IF('Relevé prix'!$B$1="SN",VLOOKUP($U79,'Relevé prix'!$A$4:$N$60,12,FALSE),VLOOKUP($U79,'Relevé prix'!$A$4:$N$60,8,FALSE))),"")</f>
        <v/>
      </c>
      <c r="AL79" s="24" t="n"/>
      <c r="AM79" s="25" t="n"/>
      <c r="AN79" s="25" t="n"/>
      <c r="AO79" s="22">
        <f>IF(OR(AL79="",AJ79=""),"",AL79-AJ79)</f>
        <v/>
      </c>
      <c r="AP79" s="26">
        <f>IF(OR(AL79="",AJ79="",AJ79=0),"",(AL79-AJ79)/AJ79)</f>
        <v/>
      </c>
      <c r="AQ79" s="27">
        <f>IF(AP79="","",IF(AP79&lt;-0.05,"Moins cher",IF(AP79&gt;0.05,"Plus cher","Équivalent")))</f>
        <v/>
      </c>
    </row>
    <row r="80">
      <c r="A80" s="13" t="inlineStr">
        <is>
          <t>SG-557A</t>
        </is>
      </c>
      <c r="B80" s="13" t="inlineStr">
        <is>
          <t>Daily Clean</t>
        </is>
      </c>
      <c r="C80" s="13" t="inlineStr">
        <is>
          <t>Sonique</t>
        </is>
      </c>
      <c r="D80" s="13" t="inlineStr">
        <is>
          <t>Adulte</t>
        </is>
      </c>
      <c r="E80" s="14" t="n">
        <v>18000</v>
      </c>
      <c r="F80" s="14" t="n">
        <v>18000</v>
      </c>
      <c r="G80" s="38" t="inlineStr">
        <is>
          <t>N/D</t>
        </is>
      </c>
      <c r="H80" s="15" t="n">
        <v>120</v>
      </c>
      <c r="I80" s="38" t="inlineStr">
        <is>
          <t>N/D</t>
        </is>
      </c>
      <c r="J80" s="13" t="inlineStr">
        <is>
          <t>Pile (1x AAA)</t>
        </is>
      </c>
      <c r="K80" s="13" t="inlineStr">
        <is>
          <t>Piles</t>
        </is>
      </c>
      <c r="L80" s="16" t="inlineStr">
        <is>
          <t>N/D</t>
        </is>
      </c>
      <c r="M80" s="13" t="inlineStr">
        <is>
          <t>IPX7</t>
        </is>
      </c>
      <c r="N80" s="13" t="inlineStr">
        <is>
          <t>Non</t>
        </is>
      </c>
      <c r="O80" s="13" t="inlineStr">
        <is>
          <t>Aucun</t>
        </is>
      </c>
      <c r="P80" s="13" t="inlineStr">
        <is>
          <t>Non</t>
        </is>
      </c>
      <c r="Q80" s="17" t="n">
        <v>20</v>
      </c>
      <c r="R80" s="13" t="inlineStr">
        <is>
          <t>16*16*180</t>
        </is>
      </c>
      <c r="S80" s="18" t="inlineStr">
        <is>
          <t>Design fin avec tenon métal, pack 1 brosse + 3 têtes de rechange</t>
        </is>
      </c>
      <c r="T80" s="19" t="n">
        <v>46</v>
      </c>
      <c r="U80" s="20" t="inlineStr">
        <is>
          <t>COLGATE_150</t>
        </is>
      </c>
      <c r="V80" s="20" t="inlineStr">
        <is>
          <t>ProClinical 150 (Charcoal / Deep Clean)</t>
        </is>
      </c>
      <c r="W80" s="20" t="inlineStr">
        <is>
          <t>Colgate</t>
        </is>
      </c>
      <c r="X80" s="20" t="inlineStr">
        <is>
          <t>Sonique à piles</t>
        </is>
      </c>
      <c r="Y80" s="20" t="inlineStr">
        <is>
          <t>20 000 strokes/min</t>
        </is>
      </c>
      <c r="Z80" s="20" t="inlineStr">
        <is>
          <t>1 mode</t>
        </is>
      </c>
      <c r="AA80" s="37" t="inlineStr">
        <is>
          <t>N/D</t>
        </is>
      </c>
      <c r="AB80" s="37" t="inlineStr">
        <is>
          <t>N/D</t>
        </is>
      </c>
      <c r="AC80" s="20" t="inlineStr">
        <is>
          <t>Non</t>
        </is>
      </c>
      <c r="AD80" s="20" t="inlineStr">
        <is>
          <t>2 piles AAA</t>
        </is>
      </c>
      <c r="AE80" s="20" t="inlineStr">
        <is>
          <t>Non vérifié sur CI, SN, BF, CM, BJ. Marque Colgate largement distribuée en GMS et pharmacie sur ces marchés.</t>
        </is>
      </c>
      <c r="AF80" s="20" t="inlineStr">
        <is>
          <t>GMS, pharmacies</t>
        </is>
      </c>
      <c r="AG80" s="21" t="inlineStr">
        <is>
          <t>https://www.colgate.com/en-my/products/toothbrush/colgate-proclinical-150-charcoal-battery-powered-toothbrush</t>
        </is>
      </c>
      <c r="AH80" s="21" t="inlineStr">
        <is>
          <t>https://www.colgate.com/en-my/products/toothbrush/colgate-proclinical-150-deepclean-battery-powered-toothbrush</t>
        </is>
      </c>
      <c r="AI80" s="20" t="inlineStr">
        <is>
          <t>Rapprochement sur l'alimentation à piles et le positionnement prix d'entrée de gamme. Concurrent de référence du segment SEAGO à piles : marque installée, prix d'entrée, tête remplaçable.</t>
        </is>
      </c>
      <c r="AJ80" s="22">
        <f>IFERROR(IF(IF('Relevé prix'!$B$1="SN",VLOOKUP($U80,'Relevé prix'!$A$4:$N$60,11,FALSE),VLOOKUP($U80,'Relevé prix'!$A$4:$N$60,7,FALSE))=0,"",IF('Relevé prix'!$B$1="SN",VLOOKUP($U80,'Relevé prix'!$A$4:$N$60,11,FALSE),VLOOKUP($U80,'Relevé prix'!$A$4:$N$60,7,FALSE))),"")</f>
        <v/>
      </c>
      <c r="AK80" s="23">
        <f>IFERROR(IF(IF('Relevé prix'!$B$1="SN",VLOOKUP($U80,'Relevé prix'!$A$4:$N$60,12,FALSE),VLOOKUP($U80,'Relevé prix'!$A$4:$N$60,8,FALSE))=0,"",IF('Relevé prix'!$B$1="SN",VLOOKUP($U80,'Relevé prix'!$A$4:$N$60,12,FALSE),VLOOKUP($U80,'Relevé prix'!$A$4:$N$60,8,FALSE))),"")</f>
        <v/>
      </c>
      <c r="AL80" s="24" t="n"/>
      <c r="AM80" s="25" t="n"/>
      <c r="AN80" s="25" t="n"/>
      <c r="AO80" s="22">
        <f>IF(OR(AL80="",AJ80=""),"",AL80-AJ80)</f>
        <v/>
      </c>
      <c r="AP80" s="26">
        <f>IF(OR(AL80="",AJ80="",AJ80=0),"",(AL80-AJ80)/AJ80)</f>
        <v/>
      </c>
      <c r="AQ80" s="27">
        <f>IF(AP80="","",IF(AP80&lt;-0.05,"Moins cher",IF(AP80&gt;0.05,"Plus cher","Équivalent")))</f>
        <v/>
      </c>
    </row>
    <row r="81">
      <c r="A81" s="28" t="inlineStr">
        <is>
          <t>SG-557B</t>
        </is>
      </c>
      <c r="B81" s="28" t="inlineStr">
        <is>
          <t>Daily Clean</t>
        </is>
      </c>
      <c r="C81" s="28" t="inlineStr">
        <is>
          <t>Sonique</t>
        </is>
      </c>
      <c r="D81" s="28" t="inlineStr">
        <is>
          <t>Adulte</t>
        </is>
      </c>
      <c r="E81" s="29" t="n">
        <v>18000</v>
      </c>
      <c r="F81" s="29" t="n">
        <v>18000</v>
      </c>
      <c r="G81" s="30" t="n">
        <v>2</v>
      </c>
      <c r="H81" s="30" t="n">
        <v>120</v>
      </c>
      <c r="I81" s="35" t="inlineStr">
        <is>
          <t>N/D</t>
        </is>
      </c>
      <c r="J81" s="28" t="inlineStr">
        <is>
          <t>Pile (1x AAA)</t>
        </is>
      </c>
      <c r="K81" s="28" t="inlineStr">
        <is>
          <t>Piles</t>
        </is>
      </c>
      <c r="L81" s="34" t="inlineStr">
        <is>
          <t>N/D</t>
        </is>
      </c>
      <c r="M81" s="28" t="inlineStr">
        <is>
          <t>IPX7</t>
        </is>
      </c>
      <c r="N81" s="28" t="inlineStr">
        <is>
          <t>Non</t>
        </is>
      </c>
      <c r="O81" s="28" t="inlineStr">
        <is>
          <t>Aucun</t>
        </is>
      </c>
      <c r="P81" s="28" t="inlineStr">
        <is>
          <t>Oui</t>
        </is>
      </c>
      <c r="Q81" s="31" t="n">
        <v>20</v>
      </c>
      <c r="R81" s="28" t="inlineStr">
        <is>
          <t>16*16*180</t>
        </is>
      </c>
      <c r="S81" s="32" t="inlineStr">
        <is>
          <t>Design fin avec tenon métal, minuteur 2 min avec rappel toutes les 30 s</t>
        </is>
      </c>
      <c r="T81" s="33" t="n">
        <v>46</v>
      </c>
      <c r="U81" s="20" t="inlineStr">
        <is>
          <t>COLGATE_150</t>
        </is>
      </c>
      <c r="V81" s="20" t="inlineStr">
        <is>
          <t>ProClinical 150 (Charcoal / Deep Clean)</t>
        </is>
      </c>
      <c r="W81" s="20" t="inlineStr">
        <is>
          <t>Colgate</t>
        </is>
      </c>
      <c r="X81" s="20" t="inlineStr">
        <is>
          <t>Sonique à piles</t>
        </is>
      </c>
      <c r="Y81" s="20" t="inlineStr">
        <is>
          <t>20 000 strokes/min</t>
        </is>
      </c>
      <c r="Z81" s="20" t="inlineStr">
        <is>
          <t>1 mode</t>
        </is>
      </c>
      <c r="AA81" s="37" t="inlineStr">
        <is>
          <t>N/D</t>
        </is>
      </c>
      <c r="AB81" s="37" t="inlineStr">
        <is>
          <t>N/D</t>
        </is>
      </c>
      <c r="AC81" s="20" t="inlineStr">
        <is>
          <t>Non</t>
        </is>
      </c>
      <c r="AD81" s="20" t="inlineStr">
        <is>
          <t>2 piles AAA</t>
        </is>
      </c>
      <c r="AE81" s="20" t="inlineStr">
        <is>
          <t>Non vérifié sur CI, SN, BF, CM, BJ. Marque Colgate largement distribuée en GMS et pharmacie sur ces marchés.</t>
        </is>
      </c>
      <c r="AF81" s="20" t="inlineStr">
        <is>
          <t>GMS, pharmacies</t>
        </is>
      </c>
      <c r="AG81" s="21" t="inlineStr">
        <is>
          <t>https://www.colgate.com/en-my/products/toothbrush/colgate-proclinical-150-charcoal-battery-powered-toothbrush</t>
        </is>
      </c>
      <c r="AH81" s="21" t="inlineStr">
        <is>
          <t>https://www.colgate.com/en-my/products/toothbrush/colgate-proclinical-150-deepclean-battery-powered-toothbrush</t>
        </is>
      </c>
      <c r="AI81" s="20" t="inlineStr">
        <is>
          <t>Rapprochement sur l'alimentation à piles et le positionnement prix d'entrée de gamme. Concurrent de référence du segment SEAGO à piles : marque installée, prix d'entrée, tête remplaçable.</t>
        </is>
      </c>
      <c r="AJ81" s="22">
        <f>IFERROR(IF(IF('Relevé prix'!$B$1="SN",VLOOKUP($U81,'Relevé prix'!$A$4:$N$60,11,FALSE),VLOOKUP($U81,'Relevé prix'!$A$4:$N$60,7,FALSE))=0,"",IF('Relevé prix'!$B$1="SN",VLOOKUP($U81,'Relevé prix'!$A$4:$N$60,11,FALSE),VLOOKUP($U81,'Relevé prix'!$A$4:$N$60,7,FALSE))),"")</f>
        <v/>
      </c>
      <c r="AK81" s="23">
        <f>IFERROR(IF(IF('Relevé prix'!$B$1="SN",VLOOKUP($U81,'Relevé prix'!$A$4:$N$60,12,FALSE),VLOOKUP($U81,'Relevé prix'!$A$4:$N$60,8,FALSE))=0,"",IF('Relevé prix'!$B$1="SN",VLOOKUP($U81,'Relevé prix'!$A$4:$N$60,12,FALSE),VLOOKUP($U81,'Relevé prix'!$A$4:$N$60,8,FALSE))),"")</f>
        <v/>
      </c>
      <c r="AL81" s="24" t="n"/>
      <c r="AM81" s="25" t="n"/>
      <c r="AN81" s="25" t="n"/>
      <c r="AO81" s="22">
        <f>IF(OR(AL81="",AJ81=""),"",AL81-AJ81)</f>
        <v/>
      </c>
      <c r="AP81" s="26">
        <f>IF(OR(AL81="",AJ81="",AJ81=0),"",(AL81-AJ81)/AJ81)</f>
        <v/>
      </c>
      <c r="AQ81" s="27">
        <f>IF(AP81="","",IF(AP81&lt;-0.05,"Moins cher",IF(AP81&gt;0.05,"Plus cher","Équivalent")))</f>
        <v/>
      </c>
    </row>
    <row r="82">
      <c r="A82" s="13" t="inlineStr">
        <is>
          <t>SG-523</t>
        </is>
      </c>
      <c r="B82" s="13" t="inlineStr">
        <is>
          <t>Daily Clean</t>
        </is>
      </c>
      <c r="C82" s="13" t="inlineStr">
        <is>
          <t>Sonique</t>
        </is>
      </c>
      <c r="D82" s="13" t="inlineStr">
        <is>
          <t>Adulte</t>
        </is>
      </c>
      <c r="E82" s="14" t="n">
        <v>18000</v>
      </c>
      <c r="F82" s="14" t="n">
        <v>18000</v>
      </c>
      <c r="G82" s="15" t="n">
        <v>2</v>
      </c>
      <c r="H82" s="15" t="n">
        <v>120</v>
      </c>
      <c r="I82" s="38" t="inlineStr">
        <is>
          <t>N/D</t>
        </is>
      </c>
      <c r="J82" s="13" t="inlineStr">
        <is>
          <t>Pile (1x AAA)</t>
        </is>
      </c>
      <c r="K82" s="13" t="inlineStr">
        <is>
          <t>Piles</t>
        </is>
      </c>
      <c r="L82" s="16" t="inlineStr">
        <is>
          <t>N/D</t>
        </is>
      </c>
      <c r="M82" s="13" t="inlineStr">
        <is>
          <t>IPX7</t>
        </is>
      </c>
      <c r="N82" s="13" t="inlineStr">
        <is>
          <t>Non</t>
        </is>
      </c>
      <c r="O82" s="13" t="inlineStr">
        <is>
          <t>Aucun</t>
        </is>
      </c>
      <c r="P82" s="13" t="inlineStr">
        <is>
          <t>Oui</t>
        </is>
      </c>
      <c r="Q82" s="17" t="n">
        <v>31</v>
      </c>
      <c r="R82" s="13" t="inlineStr">
        <is>
          <t>16*16*196</t>
        </is>
      </c>
      <c r="S82" s="18" t="inlineStr">
        <is>
          <t>Design fin avec tenon métal, minuteur 2 min avec rappel toutes les 30 s</t>
        </is>
      </c>
      <c r="T82" s="19" t="n">
        <v>47</v>
      </c>
      <c r="U82" s="20" t="inlineStr">
        <is>
          <t>COLGATE_150</t>
        </is>
      </c>
      <c r="V82" s="20" t="inlineStr">
        <is>
          <t>ProClinical 150 (Charcoal / Deep Clean)</t>
        </is>
      </c>
      <c r="W82" s="20" t="inlineStr">
        <is>
          <t>Colgate</t>
        </is>
      </c>
      <c r="X82" s="20" t="inlineStr">
        <is>
          <t>Sonique à piles</t>
        </is>
      </c>
      <c r="Y82" s="20" t="inlineStr">
        <is>
          <t>20 000 strokes/min</t>
        </is>
      </c>
      <c r="Z82" s="20" t="inlineStr">
        <is>
          <t>1 mode</t>
        </is>
      </c>
      <c r="AA82" s="37" t="inlineStr">
        <is>
          <t>N/D</t>
        </is>
      </c>
      <c r="AB82" s="37" t="inlineStr">
        <is>
          <t>N/D</t>
        </is>
      </c>
      <c r="AC82" s="20" t="inlineStr">
        <is>
          <t>Non</t>
        </is>
      </c>
      <c r="AD82" s="20" t="inlineStr">
        <is>
          <t>2 piles AAA</t>
        </is>
      </c>
      <c r="AE82" s="20" t="inlineStr">
        <is>
          <t>Non vérifié sur CI, SN, BF, CM, BJ. Marque Colgate largement distribuée en GMS et pharmacie sur ces marchés.</t>
        </is>
      </c>
      <c r="AF82" s="20" t="inlineStr">
        <is>
          <t>GMS, pharmacies</t>
        </is>
      </c>
      <c r="AG82" s="21" t="inlineStr">
        <is>
          <t>https://www.colgate.com/en-my/products/toothbrush/colgate-proclinical-150-charcoal-battery-powered-toothbrush</t>
        </is>
      </c>
      <c r="AH82" s="21" t="inlineStr">
        <is>
          <t>https://www.colgate.com/en-my/products/toothbrush/colgate-proclinical-150-deepclean-battery-powered-toothbrush</t>
        </is>
      </c>
      <c r="AI82" s="20" t="inlineStr">
        <is>
          <t>Rapprochement sur l'alimentation à piles et le positionnement prix d'entrée de gamme. Concurrent de référence du segment SEAGO à piles : marque installée, prix d'entrée, tête remplaçable.</t>
        </is>
      </c>
      <c r="AJ82" s="22">
        <f>IFERROR(IF(IF('Relevé prix'!$B$1="SN",VLOOKUP($U82,'Relevé prix'!$A$4:$N$60,11,FALSE),VLOOKUP($U82,'Relevé prix'!$A$4:$N$60,7,FALSE))=0,"",IF('Relevé prix'!$B$1="SN",VLOOKUP($U82,'Relevé prix'!$A$4:$N$60,11,FALSE),VLOOKUP($U82,'Relevé prix'!$A$4:$N$60,7,FALSE))),"")</f>
        <v/>
      </c>
      <c r="AK82" s="23">
        <f>IFERROR(IF(IF('Relevé prix'!$B$1="SN",VLOOKUP($U82,'Relevé prix'!$A$4:$N$60,12,FALSE),VLOOKUP($U82,'Relevé prix'!$A$4:$N$60,8,FALSE))=0,"",IF('Relevé prix'!$B$1="SN",VLOOKUP($U82,'Relevé prix'!$A$4:$N$60,12,FALSE),VLOOKUP($U82,'Relevé prix'!$A$4:$N$60,8,FALSE))),"")</f>
        <v/>
      </c>
      <c r="AL82" s="24" t="n"/>
      <c r="AM82" s="25" t="n"/>
      <c r="AN82" s="25" t="n"/>
      <c r="AO82" s="22">
        <f>IF(OR(AL82="",AJ82=""),"",AL82-AJ82)</f>
        <v/>
      </c>
      <c r="AP82" s="26">
        <f>IF(OR(AL82="",AJ82="",AJ82=0),"",(AL82-AJ82)/AJ82)</f>
        <v/>
      </c>
      <c r="AQ82" s="27">
        <f>IF(AP82="","",IF(AP82&lt;-0.05,"Moins cher",IF(AP82&gt;0.05,"Plus cher","Équivalent")))</f>
        <v/>
      </c>
    </row>
    <row r="83">
      <c r="A83" s="28" t="inlineStr">
        <is>
          <t>SG-526</t>
        </is>
      </c>
      <c r="B83" s="28" t="inlineStr">
        <is>
          <t>Daily Clean</t>
        </is>
      </c>
      <c r="C83" s="28" t="inlineStr">
        <is>
          <t>Sonique</t>
        </is>
      </c>
      <c r="D83" s="28" t="inlineStr">
        <is>
          <t>Adulte</t>
        </is>
      </c>
      <c r="E83" s="29" t="n">
        <v>18000</v>
      </c>
      <c r="F83" s="29" t="n">
        <v>18000</v>
      </c>
      <c r="G83" s="35" t="inlineStr">
        <is>
          <t>N/D</t>
        </is>
      </c>
      <c r="H83" s="30" t="n">
        <v>120</v>
      </c>
      <c r="I83" s="35" t="inlineStr">
        <is>
          <t>N/D</t>
        </is>
      </c>
      <c r="J83" s="28" t="inlineStr">
        <is>
          <t>Pile (1x AAA)</t>
        </is>
      </c>
      <c r="K83" s="28" t="inlineStr">
        <is>
          <t>Piles</t>
        </is>
      </c>
      <c r="L83" s="34" t="inlineStr">
        <is>
          <t>N/D</t>
        </is>
      </c>
      <c r="M83" s="28" t="inlineStr">
        <is>
          <t>IPX7</t>
        </is>
      </c>
      <c r="N83" s="28" t="inlineStr">
        <is>
          <t>Non</t>
        </is>
      </c>
      <c r="O83" s="28" t="inlineStr">
        <is>
          <t>Aucun</t>
        </is>
      </c>
      <c r="P83" s="28" t="inlineStr">
        <is>
          <t>Non</t>
        </is>
      </c>
      <c r="Q83" s="31" t="n">
        <v>31</v>
      </c>
      <c r="R83" s="28" t="inlineStr">
        <is>
          <t>16*16*196</t>
        </is>
      </c>
      <c r="S83" s="32" t="inlineStr">
        <is>
          <t>Design fin avec tenon métal, pack 1 brosse + 3 têtes de rechange</t>
        </is>
      </c>
      <c r="T83" s="33" t="n">
        <v>47</v>
      </c>
      <c r="U83" s="20" t="inlineStr">
        <is>
          <t>COLGATE_150</t>
        </is>
      </c>
      <c r="V83" s="20" t="inlineStr">
        <is>
          <t>ProClinical 150 (Charcoal / Deep Clean)</t>
        </is>
      </c>
      <c r="W83" s="20" t="inlineStr">
        <is>
          <t>Colgate</t>
        </is>
      </c>
      <c r="X83" s="20" t="inlineStr">
        <is>
          <t>Sonique à piles</t>
        </is>
      </c>
      <c r="Y83" s="20" t="inlineStr">
        <is>
          <t>20 000 strokes/min</t>
        </is>
      </c>
      <c r="Z83" s="20" t="inlineStr">
        <is>
          <t>1 mode</t>
        </is>
      </c>
      <c r="AA83" s="37" t="inlineStr">
        <is>
          <t>N/D</t>
        </is>
      </c>
      <c r="AB83" s="37" t="inlineStr">
        <is>
          <t>N/D</t>
        </is>
      </c>
      <c r="AC83" s="20" t="inlineStr">
        <is>
          <t>Non</t>
        </is>
      </c>
      <c r="AD83" s="20" t="inlineStr">
        <is>
          <t>2 piles AAA</t>
        </is>
      </c>
      <c r="AE83" s="20" t="inlineStr">
        <is>
          <t>Non vérifié sur CI, SN, BF, CM, BJ. Marque Colgate largement distribuée en GMS et pharmacie sur ces marchés.</t>
        </is>
      </c>
      <c r="AF83" s="20" t="inlineStr">
        <is>
          <t>GMS, pharmacies</t>
        </is>
      </c>
      <c r="AG83" s="21" t="inlineStr">
        <is>
          <t>https://www.colgate.com/en-my/products/toothbrush/colgate-proclinical-150-charcoal-battery-powered-toothbrush</t>
        </is>
      </c>
      <c r="AH83" s="21" t="inlineStr">
        <is>
          <t>https://www.colgate.com/en-my/products/toothbrush/colgate-proclinical-150-deepclean-battery-powered-toothbrush</t>
        </is>
      </c>
      <c r="AI83" s="20" t="inlineStr">
        <is>
          <t>Rapprochement sur l'alimentation à piles et le positionnement prix d'entrée de gamme. Concurrent de référence du segment SEAGO à piles : marque installée, prix d'entrée, tête remplaçable.</t>
        </is>
      </c>
      <c r="AJ83" s="22">
        <f>IFERROR(IF(IF('Relevé prix'!$B$1="SN",VLOOKUP($U83,'Relevé prix'!$A$4:$N$60,11,FALSE),VLOOKUP($U83,'Relevé prix'!$A$4:$N$60,7,FALSE))=0,"",IF('Relevé prix'!$B$1="SN",VLOOKUP($U83,'Relevé prix'!$A$4:$N$60,11,FALSE),VLOOKUP($U83,'Relevé prix'!$A$4:$N$60,7,FALSE))),"")</f>
        <v/>
      </c>
      <c r="AK83" s="23">
        <f>IFERROR(IF(IF('Relevé prix'!$B$1="SN",VLOOKUP($U83,'Relevé prix'!$A$4:$N$60,12,FALSE),VLOOKUP($U83,'Relevé prix'!$A$4:$N$60,8,FALSE))=0,"",IF('Relevé prix'!$B$1="SN",VLOOKUP($U83,'Relevé prix'!$A$4:$N$60,12,FALSE),VLOOKUP($U83,'Relevé prix'!$A$4:$N$60,8,FALSE))),"")</f>
        <v/>
      </c>
      <c r="AL83" s="24" t="n"/>
      <c r="AM83" s="25" t="n"/>
      <c r="AN83" s="25" t="n"/>
      <c r="AO83" s="22">
        <f>IF(OR(AL83="",AJ83=""),"",AL83-AJ83)</f>
        <v/>
      </c>
      <c r="AP83" s="26">
        <f>IF(OR(AL83="",AJ83="",AJ83=0),"",(AL83-AJ83)/AJ83)</f>
        <v/>
      </c>
      <c r="AQ83" s="27">
        <f>IF(AP83="","",IF(AP83&lt;-0.05,"Moins cher",IF(AP83&gt;0.05,"Plus cher","Équivalent")))</f>
        <v/>
      </c>
    </row>
    <row r="84">
      <c r="A84" s="13" t="inlineStr">
        <is>
          <t>SG-981</t>
        </is>
      </c>
      <c r="B84" s="13" t="inlineStr">
        <is>
          <t>Daily Clean</t>
        </is>
      </c>
      <c r="C84" s="13" t="inlineStr">
        <is>
          <t>Sonique</t>
        </is>
      </c>
      <c r="D84" s="13" t="inlineStr">
        <is>
          <t>Adulte</t>
        </is>
      </c>
      <c r="E84" s="14" t="n">
        <v>28000</v>
      </c>
      <c r="F84" s="14" t="n">
        <v>28000</v>
      </c>
      <c r="G84" s="15" t="n">
        <v>2</v>
      </c>
      <c r="H84" s="15" t="n">
        <v>100</v>
      </c>
      <c r="I84" s="38" t="inlineStr">
        <is>
          <t>N/D</t>
        </is>
      </c>
      <c r="J84" s="13" t="inlineStr">
        <is>
          <t>Pile (1x AAA)</t>
        </is>
      </c>
      <c r="K84" s="13" t="inlineStr">
        <is>
          <t>Piles</t>
        </is>
      </c>
      <c r="L84" s="16" t="inlineStr">
        <is>
          <t>N/D</t>
        </is>
      </c>
      <c r="M84" s="13" t="inlineStr">
        <is>
          <t>IPX7</t>
        </is>
      </c>
      <c r="N84" s="13" t="inlineStr">
        <is>
          <t>Non</t>
        </is>
      </c>
      <c r="O84" s="13" t="inlineStr">
        <is>
          <t>Aucun</t>
        </is>
      </c>
      <c r="P84" s="13" t="inlineStr">
        <is>
          <t>Oui</t>
        </is>
      </c>
      <c r="Q84" s="17" t="n">
        <v>33</v>
      </c>
      <c r="R84" s="13" t="inlineStr">
        <is>
          <t>22*21*202</t>
        </is>
      </c>
      <c r="S84" s="18" t="inlineStr">
        <is>
          <t>Manche antidérapant avec tenon métal, minuteur 2 min avec rappel toutes les 30 s</t>
        </is>
      </c>
      <c r="T84" s="19" t="n">
        <v>48</v>
      </c>
      <c r="U84" s="20" t="inlineStr">
        <is>
          <t>COLGATE_150</t>
        </is>
      </c>
      <c r="V84" s="20" t="inlineStr">
        <is>
          <t>ProClinical 150 (Charcoal / Deep Clean)</t>
        </is>
      </c>
      <c r="W84" s="20" t="inlineStr">
        <is>
          <t>Colgate</t>
        </is>
      </c>
      <c r="X84" s="20" t="inlineStr">
        <is>
          <t>Sonique à piles</t>
        </is>
      </c>
      <c r="Y84" s="20" t="inlineStr">
        <is>
          <t>20 000 strokes/min</t>
        </is>
      </c>
      <c r="Z84" s="20" t="inlineStr">
        <is>
          <t>1 mode</t>
        </is>
      </c>
      <c r="AA84" s="37" t="inlineStr">
        <is>
          <t>N/D</t>
        </is>
      </c>
      <c r="AB84" s="37" t="inlineStr">
        <is>
          <t>N/D</t>
        </is>
      </c>
      <c r="AC84" s="20" t="inlineStr">
        <is>
          <t>Non</t>
        </is>
      </c>
      <c r="AD84" s="20" t="inlineStr">
        <is>
          <t>2 piles AAA</t>
        </is>
      </c>
      <c r="AE84" s="20" t="inlineStr">
        <is>
          <t>Non vérifié sur CI, SN, BF, CM, BJ. Marque Colgate largement distribuée en GMS et pharmacie sur ces marchés.</t>
        </is>
      </c>
      <c r="AF84" s="20" t="inlineStr">
        <is>
          <t>GMS, pharmacies</t>
        </is>
      </c>
      <c r="AG84" s="21" t="inlineStr">
        <is>
          <t>https://www.colgate.com/en-my/products/toothbrush/colgate-proclinical-150-charcoal-battery-powered-toothbrush</t>
        </is>
      </c>
      <c r="AH84" s="21" t="inlineStr">
        <is>
          <t>https://www.colgate.com/en-my/products/toothbrush/colgate-proclinical-150-deepclean-battery-powered-toothbrush</t>
        </is>
      </c>
      <c r="AI84" s="20" t="inlineStr">
        <is>
          <t>Rapprochement sur l'alimentation à piles et le positionnement prix d'entrée de gamme. Concurrent de référence du segment SEAGO à piles : marque installée, prix d'entrée, tête remplaçable.</t>
        </is>
      </c>
      <c r="AJ84" s="22">
        <f>IFERROR(IF(IF('Relevé prix'!$B$1="SN",VLOOKUP($U84,'Relevé prix'!$A$4:$N$60,11,FALSE),VLOOKUP($U84,'Relevé prix'!$A$4:$N$60,7,FALSE))=0,"",IF('Relevé prix'!$B$1="SN",VLOOKUP($U84,'Relevé prix'!$A$4:$N$60,11,FALSE),VLOOKUP($U84,'Relevé prix'!$A$4:$N$60,7,FALSE))),"")</f>
        <v/>
      </c>
      <c r="AK84" s="23">
        <f>IFERROR(IF(IF('Relevé prix'!$B$1="SN",VLOOKUP($U84,'Relevé prix'!$A$4:$N$60,12,FALSE),VLOOKUP($U84,'Relevé prix'!$A$4:$N$60,8,FALSE))=0,"",IF('Relevé prix'!$B$1="SN",VLOOKUP($U84,'Relevé prix'!$A$4:$N$60,12,FALSE),VLOOKUP($U84,'Relevé prix'!$A$4:$N$60,8,FALSE))),"")</f>
        <v/>
      </c>
      <c r="AL84" s="24" t="n"/>
      <c r="AM84" s="25" t="n"/>
      <c r="AN84" s="25" t="n"/>
      <c r="AO84" s="22">
        <f>IF(OR(AL84="",AJ84=""),"",AL84-AJ84)</f>
        <v/>
      </c>
      <c r="AP84" s="26">
        <f>IF(OR(AL84="",AJ84="",AJ84=0),"",(AL84-AJ84)/AJ84)</f>
        <v/>
      </c>
      <c r="AQ84" s="27">
        <f>IF(AP84="","",IF(AP84&lt;-0.05,"Moins cher",IF(AP84&gt;0.05,"Plus cher","Équivalent")))</f>
        <v/>
      </c>
    </row>
    <row r="85">
      <c r="A85" s="28" t="inlineStr">
        <is>
          <t>SG-2102</t>
        </is>
      </c>
      <c r="B85" s="28" t="inlineStr">
        <is>
          <t>Daily Clean</t>
        </is>
      </c>
      <c r="C85" s="28" t="inlineStr">
        <is>
          <t>Sonique</t>
        </is>
      </c>
      <c r="D85" s="28" t="inlineStr">
        <is>
          <t>Adulte</t>
        </is>
      </c>
      <c r="E85" s="29" t="n">
        <v>28000</v>
      </c>
      <c r="F85" s="29" t="n">
        <v>28000</v>
      </c>
      <c r="G85" s="30" t="n">
        <v>2</v>
      </c>
      <c r="H85" s="30" t="n">
        <v>120</v>
      </c>
      <c r="I85" s="35" t="inlineStr">
        <is>
          <t>N/D</t>
        </is>
      </c>
      <c r="J85" s="28" t="inlineStr">
        <is>
          <t>Pile (1x AAA)</t>
        </is>
      </c>
      <c r="K85" s="28" t="inlineStr">
        <is>
          <t>Piles</t>
        </is>
      </c>
      <c r="L85" s="34" t="inlineStr">
        <is>
          <t>N/D</t>
        </is>
      </c>
      <c r="M85" s="28" t="inlineStr">
        <is>
          <t>IPX7</t>
        </is>
      </c>
      <c r="N85" s="28" t="inlineStr">
        <is>
          <t>Non</t>
        </is>
      </c>
      <c r="O85" s="28" t="inlineStr">
        <is>
          <t>Aucun</t>
        </is>
      </c>
      <c r="P85" s="28" t="inlineStr">
        <is>
          <t>Non</t>
        </is>
      </c>
      <c r="Q85" s="31" t="n">
        <v>40</v>
      </c>
      <c r="R85" s="28" t="inlineStr">
        <is>
          <t>20*20*194.5</t>
        </is>
      </c>
      <c r="S85" s="32" t="inlineStr">
        <is>
          <t>Manche métal haut de gamme avec tenon métal, tête avec gratte-langue, format voyage</t>
        </is>
      </c>
      <c r="T85" s="33" t="n">
        <v>48</v>
      </c>
      <c r="U85" s="20" t="inlineStr">
        <is>
          <t>COLGATE_150</t>
        </is>
      </c>
      <c r="V85" s="20" t="inlineStr">
        <is>
          <t>ProClinical 150 (Charcoal / Deep Clean)</t>
        </is>
      </c>
      <c r="W85" s="20" t="inlineStr">
        <is>
          <t>Colgate</t>
        </is>
      </c>
      <c r="X85" s="20" t="inlineStr">
        <is>
          <t>Sonique à piles</t>
        </is>
      </c>
      <c r="Y85" s="20" t="inlineStr">
        <is>
          <t>20 000 strokes/min</t>
        </is>
      </c>
      <c r="Z85" s="20" t="inlineStr">
        <is>
          <t>1 mode</t>
        </is>
      </c>
      <c r="AA85" s="37" t="inlineStr">
        <is>
          <t>N/D</t>
        </is>
      </c>
      <c r="AB85" s="37" t="inlineStr">
        <is>
          <t>N/D</t>
        </is>
      </c>
      <c r="AC85" s="20" t="inlineStr">
        <is>
          <t>Non</t>
        </is>
      </c>
      <c r="AD85" s="20" t="inlineStr">
        <is>
          <t>2 piles AAA</t>
        </is>
      </c>
      <c r="AE85" s="20" t="inlineStr">
        <is>
          <t>Non vérifié sur CI, SN, BF, CM, BJ. Marque Colgate largement distribuée en GMS et pharmacie sur ces marchés.</t>
        </is>
      </c>
      <c r="AF85" s="20" t="inlineStr">
        <is>
          <t>GMS, pharmacies</t>
        </is>
      </c>
      <c r="AG85" s="21" t="inlineStr">
        <is>
          <t>https://www.colgate.com/en-my/products/toothbrush/colgate-proclinical-150-charcoal-battery-powered-toothbrush</t>
        </is>
      </c>
      <c r="AH85" s="21" t="inlineStr">
        <is>
          <t>https://www.colgate.com/en-my/products/toothbrush/colgate-proclinical-150-deepclean-battery-powered-toothbrush</t>
        </is>
      </c>
      <c r="AI85" s="20" t="inlineStr">
        <is>
          <t>Rapprochement sur l'alimentation à piles et le positionnement prix d'entrée de gamme. Concurrent de référence du segment SEAGO à piles : marque installée, prix d'entrée, tête remplaçable.</t>
        </is>
      </c>
      <c r="AJ85" s="22">
        <f>IFERROR(IF(IF('Relevé prix'!$B$1="SN",VLOOKUP($U85,'Relevé prix'!$A$4:$N$60,11,FALSE),VLOOKUP($U85,'Relevé prix'!$A$4:$N$60,7,FALSE))=0,"",IF('Relevé prix'!$B$1="SN",VLOOKUP($U85,'Relevé prix'!$A$4:$N$60,11,FALSE),VLOOKUP($U85,'Relevé prix'!$A$4:$N$60,7,FALSE))),"")</f>
        <v/>
      </c>
      <c r="AK85" s="23">
        <f>IFERROR(IF(IF('Relevé prix'!$B$1="SN",VLOOKUP($U85,'Relevé prix'!$A$4:$N$60,12,FALSE),VLOOKUP($U85,'Relevé prix'!$A$4:$N$60,8,FALSE))=0,"",IF('Relevé prix'!$B$1="SN",VLOOKUP($U85,'Relevé prix'!$A$4:$N$60,12,FALSE),VLOOKUP($U85,'Relevé prix'!$A$4:$N$60,8,FALSE))),"")</f>
        <v/>
      </c>
      <c r="AL85" s="24" t="n"/>
      <c r="AM85" s="25" t="n"/>
      <c r="AN85" s="25" t="n"/>
      <c r="AO85" s="22">
        <f>IF(OR(AL85="",AJ85=""),"",AL85-AJ85)</f>
        <v/>
      </c>
      <c r="AP85" s="26">
        <f>IF(OR(AL85="",AJ85="",AJ85=0),"",(AL85-AJ85)/AJ85)</f>
        <v/>
      </c>
      <c r="AQ85" s="27">
        <f>IF(AP85="","",IF(AP85&lt;-0.05,"Moins cher",IF(AP85&gt;0.05,"Plus cher","Équivalent")))</f>
        <v/>
      </c>
    </row>
    <row r="86">
      <c r="A86" s="13" t="inlineStr">
        <is>
          <t>SG-926</t>
        </is>
      </c>
      <c r="B86" s="13" t="inlineStr">
        <is>
          <t>Daily Clean</t>
        </is>
      </c>
      <c r="C86" s="13" t="inlineStr">
        <is>
          <t>Sonique</t>
        </is>
      </c>
      <c r="D86" s="13" t="inlineStr">
        <is>
          <t>Adulte</t>
        </is>
      </c>
      <c r="E86" s="14" t="n">
        <v>28000</v>
      </c>
      <c r="F86" s="14" t="n">
        <v>28000</v>
      </c>
      <c r="G86" s="15" t="n">
        <v>2</v>
      </c>
      <c r="H86" s="15" t="n">
        <v>45</v>
      </c>
      <c r="I86" s="15" t="n">
        <v>600</v>
      </c>
      <c r="J86" s="13" t="inlineStr">
        <is>
          <t>Batterie Ni-MH rechargeable</t>
        </is>
      </c>
      <c r="K86" s="13" t="inlineStr">
        <is>
          <t>USB</t>
        </is>
      </c>
      <c r="L86" s="16" t="inlineStr">
        <is>
          <t>N/D</t>
        </is>
      </c>
      <c r="M86" s="13" t="inlineStr">
        <is>
          <t>IPX7</t>
        </is>
      </c>
      <c r="N86" s="13" t="inlineStr">
        <is>
          <t>Non</t>
        </is>
      </c>
      <c r="O86" s="13" t="inlineStr">
        <is>
          <t>Aucun</t>
        </is>
      </c>
      <c r="P86" s="13" t="inlineStr">
        <is>
          <t>Oui</t>
        </is>
      </c>
      <c r="Q86" s="17" t="n">
        <v>54</v>
      </c>
      <c r="R86" s="13" t="inlineStr">
        <is>
          <t>D18*184</t>
        </is>
      </c>
      <c r="S86" s="18" t="inlineStr">
        <is>
          <t>Mémoire de mode, format voyage, minuteur 2 min avec rappel toutes les 30 s, batterie Ni-MH 1,2 V</t>
        </is>
      </c>
      <c r="T86" s="19" t="n">
        <v>49</v>
      </c>
      <c r="U86" s="20" t="inlineStr">
        <is>
          <t>SURI_JUMIA</t>
        </is>
      </c>
      <c r="V86" s="20" t="inlineStr">
        <is>
          <t>Brosse à dents électrique sonique durable</t>
        </is>
      </c>
      <c r="W86" s="20" t="inlineStr">
        <is>
          <t>Suri (marketplace)</t>
        </is>
      </c>
      <c r="X86" s="20" t="inlineStr">
        <is>
          <t>Sonique</t>
        </is>
      </c>
      <c r="Y86" s="20" t="inlineStr">
        <is>
          <t>40 000 VPM</t>
        </is>
      </c>
      <c r="Z86" s="20" t="inlineStr">
        <is>
          <t>5 modes (Clean, White, Polish, Soft, Gum Care)</t>
        </is>
      </c>
      <c r="AA86" s="20" t="n">
        <v>30</v>
      </c>
      <c r="AB86" s="37" t="inlineStr">
        <is>
          <t>N/D</t>
        </is>
      </c>
      <c r="AC86" s="20" t="inlineStr">
        <is>
          <t>Non</t>
        </is>
      </c>
      <c r="AD86" s="20" t="inlineStr">
        <is>
          <t>Li-ion, charge rapide 4 h</t>
        </is>
      </c>
      <c r="AE86" s="20" t="inlineStr">
        <is>
          <t>CI vérifié (Jumia). SN, BF, CM, BJ non vérifiés.</t>
        </is>
      </c>
      <c r="AF86" s="20" t="inlineStr">
        <is>
          <t>Jumia CI</t>
        </is>
      </c>
      <c r="AG86" s="21" t="inlineStr">
        <is>
          <t>https://www.jumia.ci/slp/brosse-a-dents-electrique-durable-suri</t>
        </is>
      </c>
      <c r="AH86" s="21" t="inlineStr">
        <is>
          <t>https://www.jumia.ci/brosse-a-dents-electrique/</t>
        </is>
      </c>
      <c r="AI86" s="20" t="inlineStr">
        <is>
          <t>Rapprochement sur le positionnement marketplace : specs proches, marque non installée. Offre marketplace au positionnement identique à SEAGO : mêmes specs annoncées, marque non installée.</t>
        </is>
      </c>
      <c r="AJ86" s="22">
        <f>IFERROR(IF(IF('Relevé prix'!$B$1="SN",VLOOKUP($U86,'Relevé prix'!$A$4:$N$60,11,FALSE),VLOOKUP($U86,'Relevé prix'!$A$4:$N$60,7,FALSE))=0,"",IF('Relevé prix'!$B$1="SN",VLOOKUP($U86,'Relevé prix'!$A$4:$N$60,11,FALSE),VLOOKUP($U86,'Relevé prix'!$A$4:$N$60,7,FALSE))),"")</f>
        <v/>
      </c>
      <c r="AK86" s="23">
        <f>IFERROR(IF(IF('Relevé prix'!$B$1="SN",VLOOKUP($U86,'Relevé prix'!$A$4:$N$60,12,FALSE),VLOOKUP($U86,'Relevé prix'!$A$4:$N$60,8,FALSE))=0,"",IF('Relevé prix'!$B$1="SN",VLOOKUP($U86,'Relevé prix'!$A$4:$N$60,12,FALSE),VLOOKUP($U86,'Relevé prix'!$A$4:$N$60,8,FALSE))),"")</f>
        <v/>
      </c>
      <c r="AL86" s="24" t="n"/>
      <c r="AM86" s="25" t="n"/>
      <c r="AN86" s="25" t="n"/>
      <c r="AO86" s="22">
        <f>IF(OR(AL86="",AJ86=""),"",AL86-AJ86)</f>
        <v/>
      </c>
      <c r="AP86" s="26">
        <f>IF(OR(AL86="",AJ86="",AJ86=0),"",(AL86-AJ86)/AJ86)</f>
        <v/>
      </c>
      <c r="AQ86" s="27">
        <f>IF(AP86="","",IF(AP86&lt;-0.05,"Moins cher",IF(AP86&gt;0.05,"Plus cher","Équivalent")))</f>
        <v/>
      </c>
    </row>
    <row r="87">
      <c r="A87" s="28" t="inlineStr">
        <is>
          <t>SG-957</t>
        </is>
      </c>
      <c r="B87" s="28" t="inlineStr">
        <is>
          <t>Daily Clean</t>
        </is>
      </c>
      <c r="C87" s="28" t="inlineStr">
        <is>
          <t>Sonique</t>
        </is>
      </c>
      <c r="D87" s="28" t="inlineStr">
        <is>
          <t>Adulte</t>
        </is>
      </c>
      <c r="E87" s="29" t="n">
        <v>28000</v>
      </c>
      <c r="F87" s="29" t="n">
        <v>28000</v>
      </c>
      <c r="G87" s="30" t="n">
        <v>2</v>
      </c>
      <c r="H87" s="30" t="n">
        <v>45</v>
      </c>
      <c r="I87" s="30" t="n">
        <v>600</v>
      </c>
      <c r="J87" s="28" t="inlineStr">
        <is>
          <t>Batterie Ni-MH rechargeable</t>
        </is>
      </c>
      <c r="K87" s="28" t="inlineStr">
        <is>
          <t>USB</t>
        </is>
      </c>
      <c r="L87" s="34" t="inlineStr">
        <is>
          <t>N/D</t>
        </is>
      </c>
      <c r="M87" s="28" t="inlineStr">
        <is>
          <t>IPX7</t>
        </is>
      </c>
      <c r="N87" s="28" t="inlineStr">
        <is>
          <t>Non</t>
        </is>
      </c>
      <c r="O87" s="28" t="inlineStr">
        <is>
          <t>Aucun</t>
        </is>
      </c>
      <c r="P87" s="28" t="inlineStr">
        <is>
          <t>Oui</t>
        </is>
      </c>
      <c r="Q87" s="31" t="n">
        <v>45</v>
      </c>
      <c r="R87" s="28" t="inlineStr">
        <is>
          <t>D19.9*184.9</t>
        </is>
      </c>
      <c r="S87" s="32" t="inlineStr">
        <is>
          <t>Mémoire de mode, format voyage, minuteur 2 min avec rappel toutes les 30 s, batterie Ni-MH 1,2 V</t>
        </is>
      </c>
      <c r="T87" s="33" t="n">
        <v>49</v>
      </c>
      <c r="U87" s="20" t="inlineStr">
        <is>
          <t>SURI_JUMIA</t>
        </is>
      </c>
      <c r="V87" s="20" t="inlineStr">
        <is>
          <t>Brosse à dents électrique sonique durable</t>
        </is>
      </c>
      <c r="W87" s="20" t="inlineStr">
        <is>
          <t>Suri (marketplace)</t>
        </is>
      </c>
      <c r="X87" s="20" t="inlineStr">
        <is>
          <t>Sonique</t>
        </is>
      </c>
      <c r="Y87" s="20" t="inlineStr">
        <is>
          <t>40 000 VPM</t>
        </is>
      </c>
      <c r="Z87" s="20" t="inlineStr">
        <is>
          <t>5 modes (Clean, White, Polish, Soft, Gum Care)</t>
        </is>
      </c>
      <c r="AA87" s="20" t="n">
        <v>30</v>
      </c>
      <c r="AB87" s="37" t="inlineStr">
        <is>
          <t>N/D</t>
        </is>
      </c>
      <c r="AC87" s="20" t="inlineStr">
        <is>
          <t>Non</t>
        </is>
      </c>
      <c r="AD87" s="20" t="inlineStr">
        <is>
          <t>Li-ion, charge rapide 4 h</t>
        </is>
      </c>
      <c r="AE87" s="20" t="inlineStr">
        <is>
          <t>CI vérifié (Jumia). SN, BF, CM, BJ non vérifiés.</t>
        </is>
      </c>
      <c r="AF87" s="20" t="inlineStr">
        <is>
          <t>Jumia CI</t>
        </is>
      </c>
      <c r="AG87" s="21" t="inlineStr">
        <is>
          <t>https://www.jumia.ci/slp/brosse-a-dents-electrique-durable-suri</t>
        </is>
      </c>
      <c r="AH87" s="21" t="inlineStr">
        <is>
          <t>https://www.jumia.ci/brosse-a-dents-electrique/</t>
        </is>
      </c>
      <c r="AI87" s="20" t="inlineStr">
        <is>
          <t>Rapprochement sur le positionnement marketplace : specs proches, marque non installée. Offre marketplace au positionnement identique à SEAGO : mêmes specs annoncées, marque non installée.</t>
        </is>
      </c>
      <c r="AJ87" s="22">
        <f>IFERROR(IF(IF('Relevé prix'!$B$1="SN",VLOOKUP($U87,'Relevé prix'!$A$4:$N$60,11,FALSE),VLOOKUP($U87,'Relevé prix'!$A$4:$N$60,7,FALSE))=0,"",IF('Relevé prix'!$B$1="SN",VLOOKUP($U87,'Relevé prix'!$A$4:$N$60,11,FALSE),VLOOKUP($U87,'Relevé prix'!$A$4:$N$60,7,FALSE))),"")</f>
        <v/>
      </c>
      <c r="AK87" s="23">
        <f>IFERROR(IF(IF('Relevé prix'!$B$1="SN",VLOOKUP($U87,'Relevé prix'!$A$4:$N$60,12,FALSE),VLOOKUP($U87,'Relevé prix'!$A$4:$N$60,8,FALSE))=0,"",IF('Relevé prix'!$B$1="SN",VLOOKUP($U87,'Relevé prix'!$A$4:$N$60,12,FALSE),VLOOKUP($U87,'Relevé prix'!$A$4:$N$60,8,FALSE))),"")</f>
        <v/>
      </c>
      <c r="AL87" s="24" t="n"/>
      <c r="AM87" s="25" t="n"/>
      <c r="AN87" s="25" t="n"/>
      <c r="AO87" s="22">
        <f>IF(OR(AL87="",AJ87=""),"",AL87-AJ87)</f>
        <v/>
      </c>
      <c r="AP87" s="26">
        <f>IF(OR(AL87="",AJ87="",AJ87=0),"",(AL87-AJ87)/AJ87)</f>
        <v/>
      </c>
      <c r="AQ87" s="27">
        <f>IF(AP87="","",IF(AP87&lt;-0.05,"Moins cher",IF(AP87&gt;0.05,"Plus cher","Équivalent")))</f>
        <v/>
      </c>
    </row>
    <row r="88">
      <c r="A88" s="13" t="inlineStr">
        <is>
          <t>SG-2772</t>
        </is>
      </c>
      <c r="B88" s="13" t="inlineStr">
        <is>
          <t>Kids Sonic</t>
        </is>
      </c>
      <c r="C88" s="13" t="inlineStr">
        <is>
          <t>Sonique</t>
        </is>
      </c>
      <c r="D88" s="13" t="inlineStr">
        <is>
          <t>Enfant</t>
        </is>
      </c>
      <c r="E88" s="14" t="n">
        <v>32000</v>
      </c>
      <c r="F88" s="14" t="n">
        <v>40000</v>
      </c>
      <c r="G88" s="15" t="n">
        <v>3</v>
      </c>
      <c r="H88" s="15" t="n">
        <v>21</v>
      </c>
      <c r="I88" s="15" t="n">
        <v>700</v>
      </c>
      <c r="J88" s="13" t="inlineStr">
        <is>
          <t>Batterie Li-ion rechargeable</t>
        </is>
      </c>
      <c r="K88" s="13" t="inlineStr">
        <is>
          <t>Type-C</t>
        </is>
      </c>
      <c r="L88" s="16" t="inlineStr">
        <is>
          <t>N/D</t>
        </is>
      </c>
      <c r="M88" s="13" t="inlineStr">
        <is>
          <t>IPX7</t>
        </is>
      </c>
      <c r="N88" s="13" t="inlineStr">
        <is>
          <t>Oui</t>
        </is>
      </c>
      <c r="O88" s="13" t="inlineStr">
        <is>
          <t>Écran (6 langues)</t>
        </is>
      </c>
      <c r="P88" s="13" t="inlineStr">
        <is>
          <t>Oui</t>
        </is>
      </c>
      <c r="Q88" s="17" t="n">
        <v>126</v>
      </c>
      <c r="R88" s="13" t="inlineStr">
        <is>
          <t>31.1*29.5*151.9 (manche)</t>
        </is>
      </c>
      <c r="S88" s="18" t="inlineStr">
        <is>
          <t>Écran 6 langues, anti-projection de dentifrice, rappel de brossage intelligent, sans BPA, moteur magnétique, système super silencieux</t>
        </is>
      </c>
      <c r="T88" s="19" t="n">
        <v>51</v>
      </c>
      <c r="U88" s="20" t="inlineStr">
        <is>
          <t>SONICARE_KIDS</t>
        </is>
      </c>
      <c r="V88" s="20" t="inlineStr">
        <is>
          <t>Sonicare For Kids HX6321/02</t>
        </is>
      </c>
      <c r="W88" s="20" t="inlineStr">
        <is>
          <t>Philips</t>
        </is>
      </c>
      <c r="X88" s="20" t="inlineStr">
        <is>
          <t>Sonique enfant</t>
        </is>
      </c>
      <c r="Y88" s="20" t="inlineStr">
        <is>
          <t>62 000 mouvements/min</t>
        </is>
      </c>
      <c r="Z88" s="20" t="inlineStr">
        <is>
          <t>2 modes</t>
        </is>
      </c>
      <c r="AA88" s="20" t="n">
        <v>21</v>
      </c>
      <c r="AB88" s="37" t="inlineStr">
        <is>
          <t>N/D</t>
        </is>
      </c>
      <c r="AC88" s="20" t="inlineStr">
        <is>
          <t>Non</t>
        </is>
      </c>
      <c r="AD88" s="20" t="inlineStr">
        <is>
          <t>Socle inductif</t>
        </is>
      </c>
      <c r="AE88" s="20" t="inlineStr">
        <is>
          <t>Non vérifié sur CI, SN, BF, CM, BJ. Présence confirmée aux EAU (Noon).</t>
        </is>
      </c>
      <c r="AF88" s="20" t="inlineStr">
        <is>
          <t>Noon UAE, pharmacies</t>
        </is>
      </c>
      <c r="AG88" s="21" t="inlineStr">
        <is>
          <t>https://www.usa.philips.com/c-p/HX6321_02/sonicare-for-kids-sonic-electric-toothbrush</t>
        </is>
      </c>
      <c r="AH88" s="21" t="inlineStr">
        <is>
          <t>https://www.philips.com/c-dam/b2c/category-pages/personal-care/POHC/resource-library-docs/HX6321-03%20LEAFLET-Sonicare-%20For-Kids-%20Connected-Electric-Toothbrush.pdf</t>
        </is>
      </c>
      <c r="AI88" s="20" t="inlineStr">
        <is>
          <t>Rapprochement sur la cible enfant et la technologie sonique rechargeable. Connectivité Bluetooth et application de coaching enfant. Indicateur de batterie.</t>
        </is>
      </c>
      <c r="AJ88" s="22">
        <f>IFERROR(IF(IF('Relevé prix'!$B$1="SN",VLOOKUP($U88,'Relevé prix'!$A$4:$N$60,11,FALSE),VLOOKUP($U88,'Relevé prix'!$A$4:$N$60,7,FALSE))=0,"",IF('Relevé prix'!$B$1="SN",VLOOKUP($U88,'Relevé prix'!$A$4:$N$60,11,FALSE),VLOOKUP($U88,'Relevé prix'!$A$4:$N$60,7,FALSE))),"")</f>
        <v/>
      </c>
      <c r="AK88" s="23">
        <f>IFERROR(IF(IF('Relevé prix'!$B$1="SN",VLOOKUP($U88,'Relevé prix'!$A$4:$N$60,12,FALSE),VLOOKUP($U88,'Relevé prix'!$A$4:$N$60,8,FALSE))=0,"",IF('Relevé prix'!$B$1="SN",VLOOKUP($U88,'Relevé prix'!$A$4:$N$60,12,FALSE),VLOOKUP($U88,'Relevé prix'!$A$4:$N$60,8,FALSE))),"")</f>
        <v/>
      </c>
      <c r="AL88" s="24" t="n"/>
      <c r="AM88" s="25" t="n"/>
      <c r="AN88" s="25" t="n"/>
      <c r="AO88" s="22">
        <f>IF(OR(AL88="",AJ88=""),"",AL88-AJ88)</f>
        <v/>
      </c>
      <c r="AP88" s="26">
        <f>IF(OR(AL88="",AJ88="",AJ88=0),"",(AL88-AJ88)/AJ88)</f>
        <v/>
      </c>
      <c r="AQ88" s="27">
        <f>IF(AP88="","",IF(AP88&lt;-0.05,"Moins cher",IF(AP88&gt;0.05,"Plus cher","Équivalent")))</f>
        <v/>
      </c>
    </row>
    <row r="89">
      <c r="A89" s="28" t="inlineStr">
        <is>
          <t>SG-2118</t>
        </is>
      </c>
      <c r="B89" s="28" t="inlineStr">
        <is>
          <t>Kids Sonic</t>
        </is>
      </c>
      <c r="C89" s="28" t="inlineStr">
        <is>
          <t>Sonique</t>
        </is>
      </c>
      <c r="D89" s="28" t="inlineStr">
        <is>
          <t>Enfant</t>
        </is>
      </c>
      <c r="E89" s="29" t="n">
        <v>30000</v>
      </c>
      <c r="F89" s="29" t="n">
        <v>30000</v>
      </c>
      <c r="G89" s="30" t="n">
        <v>3</v>
      </c>
      <c r="H89" s="30" t="n">
        <v>45</v>
      </c>
      <c r="I89" s="30" t="n">
        <v>260</v>
      </c>
      <c r="J89" s="28" t="inlineStr">
        <is>
          <t>Batterie Li-ion rechargeable</t>
        </is>
      </c>
      <c r="K89" s="28" t="inlineStr">
        <is>
          <t>Inductive (socle)</t>
        </is>
      </c>
      <c r="L89" s="34" t="inlineStr">
        <is>
          <t>N/D</t>
        </is>
      </c>
      <c r="M89" s="28" t="inlineStr">
        <is>
          <t>IPX6</t>
        </is>
      </c>
      <c r="N89" s="28" t="inlineStr">
        <is>
          <t>Oui</t>
        </is>
      </c>
      <c r="O89" s="28" t="inlineStr">
        <is>
          <t>Aucun</t>
        </is>
      </c>
      <c r="P89" s="28" t="inlineStr">
        <is>
          <t>Oui</t>
        </is>
      </c>
      <c r="Q89" s="31" t="n">
        <v>56</v>
      </c>
      <c r="R89" s="28" t="inlineStr">
        <is>
          <t>25*25*165.8</t>
        </is>
      </c>
      <c r="S89" s="32" t="inlineStr">
        <is>
          <t>Brosse musicale avec 7 chansons anglaises, alerte sonore du socle en cas de pression excessive, socle désinfectant, mémoire intelligente</t>
        </is>
      </c>
      <c r="T89" s="33" t="n">
        <v>51</v>
      </c>
      <c r="U89" s="20" t="inlineStr">
        <is>
          <t>SONICARE_KIDS</t>
        </is>
      </c>
      <c r="V89" s="20" t="inlineStr">
        <is>
          <t>Sonicare For Kids HX6321/02</t>
        </is>
      </c>
      <c r="W89" s="20" t="inlineStr">
        <is>
          <t>Philips</t>
        </is>
      </c>
      <c r="X89" s="20" t="inlineStr">
        <is>
          <t>Sonique enfant</t>
        </is>
      </c>
      <c r="Y89" s="20" t="inlineStr">
        <is>
          <t>62 000 mouvements/min</t>
        </is>
      </c>
      <c r="Z89" s="20" t="inlineStr">
        <is>
          <t>2 modes</t>
        </is>
      </c>
      <c r="AA89" s="20" t="n">
        <v>21</v>
      </c>
      <c r="AB89" s="37" t="inlineStr">
        <is>
          <t>N/D</t>
        </is>
      </c>
      <c r="AC89" s="20" t="inlineStr">
        <is>
          <t>Non</t>
        </is>
      </c>
      <c r="AD89" s="20" t="inlineStr">
        <is>
          <t>Socle inductif</t>
        </is>
      </c>
      <c r="AE89" s="20" t="inlineStr">
        <is>
          <t>Non vérifié sur CI, SN, BF, CM, BJ. Présence confirmée aux EAU (Noon).</t>
        </is>
      </c>
      <c r="AF89" s="20" t="inlineStr">
        <is>
          <t>Noon UAE, pharmacies</t>
        </is>
      </c>
      <c r="AG89" s="21" t="inlineStr">
        <is>
          <t>https://www.usa.philips.com/c-p/HX6321_02/sonicare-for-kids-sonic-electric-toothbrush</t>
        </is>
      </c>
      <c r="AH89" s="21" t="inlineStr">
        <is>
          <t>https://www.philips.com/c-dam/b2c/category-pages/personal-care/POHC/resource-library-docs/HX6321-03%20LEAFLET-Sonicare-%20For-Kids-%20Connected-Electric-Toothbrush.pdf</t>
        </is>
      </c>
      <c r="AI89" s="20" t="inlineStr">
        <is>
          <t>Rapprochement sur la cible enfant et la technologie sonique rechargeable. Connectivité Bluetooth et application de coaching enfant. Indicateur de batterie.</t>
        </is>
      </c>
      <c r="AJ89" s="22">
        <f>IFERROR(IF(IF('Relevé prix'!$B$1="SN",VLOOKUP($U89,'Relevé prix'!$A$4:$N$60,11,FALSE),VLOOKUP($U89,'Relevé prix'!$A$4:$N$60,7,FALSE))=0,"",IF('Relevé prix'!$B$1="SN",VLOOKUP($U89,'Relevé prix'!$A$4:$N$60,11,FALSE),VLOOKUP($U89,'Relevé prix'!$A$4:$N$60,7,FALSE))),"")</f>
        <v/>
      </c>
      <c r="AK89" s="23">
        <f>IFERROR(IF(IF('Relevé prix'!$B$1="SN",VLOOKUP($U89,'Relevé prix'!$A$4:$N$60,12,FALSE),VLOOKUP($U89,'Relevé prix'!$A$4:$N$60,8,FALSE))=0,"",IF('Relevé prix'!$B$1="SN",VLOOKUP($U89,'Relevé prix'!$A$4:$N$60,12,FALSE),VLOOKUP($U89,'Relevé prix'!$A$4:$N$60,8,FALSE))),"")</f>
        <v/>
      </c>
      <c r="AL89" s="24" t="n"/>
      <c r="AM89" s="25" t="n"/>
      <c r="AN89" s="25" t="n"/>
      <c r="AO89" s="22">
        <f>IF(OR(AL89="",AJ89=""),"",AL89-AJ89)</f>
        <v/>
      </c>
      <c r="AP89" s="26">
        <f>IF(OR(AL89="",AJ89="",AJ89=0),"",(AL89-AJ89)/AJ89)</f>
        <v/>
      </c>
      <c r="AQ89" s="27">
        <f>IF(AP89="","",IF(AP89&lt;-0.05,"Moins cher",IF(AP89&gt;0.05,"Plus cher","Équivalent")))</f>
        <v/>
      </c>
    </row>
    <row r="90">
      <c r="A90" s="13" t="inlineStr">
        <is>
          <t>SG-2731</t>
        </is>
      </c>
      <c r="B90" s="13" t="inlineStr">
        <is>
          <t>Kids Sonic</t>
        </is>
      </c>
      <c r="C90" s="13" t="inlineStr">
        <is>
          <t>Sonique</t>
        </is>
      </c>
      <c r="D90" s="13" t="inlineStr">
        <is>
          <t>Enfant</t>
        </is>
      </c>
      <c r="E90" s="14" t="n">
        <v>35000</v>
      </c>
      <c r="F90" s="14" t="n">
        <v>35000</v>
      </c>
      <c r="G90" s="15" t="n">
        <v>2</v>
      </c>
      <c r="H90" s="15" t="n">
        <v>21</v>
      </c>
      <c r="I90" s="15" t="n">
        <v>600</v>
      </c>
      <c r="J90" s="13" t="inlineStr">
        <is>
          <t>Batterie Li-ion rechargeable</t>
        </is>
      </c>
      <c r="K90" s="13" t="inlineStr">
        <is>
          <t>Inductive (socle)</t>
        </is>
      </c>
      <c r="L90" s="16" t="inlineStr">
        <is>
          <t>N/D</t>
        </is>
      </c>
      <c r="M90" s="13" t="inlineStr">
        <is>
          <t>IPX7</t>
        </is>
      </c>
      <c r="N90" s="13" t="inlineStr">
        <is>
          <t>Non</t>
        </is>
      </c>
      <c r="O90" s="13" t="inlineStr">
        <is>
          <t>Aucun</t>
        </is>
      </c>
      <c r="P90" s="13" t="inlineStr">
        <is>
          <t>Oui</t>
        </is>
      </c>
      <c r="Q90" s="17" t="n">
        <v>113</v>
      </c>
      <c r="R90" s="13" t="inlineStr">
        <is>
          <t>32*31*210 ; chargeur 4017B : 58.0*58.0*28.0</t>
        </is>
      </c>
      <c r="S90" s="18" t="inlineStr">
        <is>
          <t>Corps intégral en silicone alimentaire sans BPA, minuteur 2 min avec pause 30 s, moteur magnétique dynamique, système super silencieux</t>
        </is>
      </c>
      <c r="T90" s="19" t="n">
        <v>52</v>
      </c>
      <c r="U90" s="20" t="inlineStr">
        <is>
          <t>SONICARE_KIDS</t>
        </is>
      </c>
      <c r="V90" s="20" t="inlineStr">
        <is>
          <t>Sonicare For Kids HX6321/02</t>
        </is>
      </c>
      <c r="W90" s="20" t="inlineStr">
        <is>
          <t>Philips</t>
        </is>
      </c>
      <c r="X90" s="20" t="inlineStr">
        <is>
          <t>Sonique enfant</t>
        </is>
      </c>
      <c r="Y90" s="20" t="inlineStr">
        <is>
          <t>62 000 mouvements/min</t>
        </is>
      </c>
      <c r="Z90" s="20" t="inlineStr">
        <is>
          <t>2 modes</t>
        </is>
      </c>
      <c r="AA90" s="20" t="n">
        <v>21</v>
      </c>
      <c r="AB90" s="37" t="inlineStr">
        <is>
          <t>N/D</t>
        </is>
      </c>
      <c r="AC90" s="20" t="inlineStr">
        <is>
          <t>Non</t>
        </is>
      </c>
      <c r="AD90" s="20" t="inlineStr">
        <is>
          <t>Socle inductif</t>
        </is>
      </c>
      <c r="AE90" s="20" t="inlineStr">
        <is>
          <t>Non vérifié sur CI, SN, BF, CM, BJ. Présence confirmée aux EAU (Noon).</t>
        </is>
      </c>
      <c r="AF90" s="20" t="inlineStr">
        <is>
          <t>Noon UAE, pharmacies</t>
        </is>
      </c>
      <c r="AG90" s="21" t="inlineStr">
        <is>
          <t>https://www.usa.philips.com/c-p/HX6321_02/sonicare-for-kids-sonic-electric-toothbrush</t>
        </is>
      </c>
      <c r="AH90" s="21" t="inlineStr">
        <is>
          <t>https://www.philips.com/c-dam/b2c/category-pages/personal-care/POHC/resource-library-docs/HX6321-03%20LEAFLET-Sonicare-%20For-Kids-%20Connected-Electric-Toothbrush.pdf</t>
        </is>
      </c>
      <c r="AI90" s="20" t="inlineStr">
        <is>
          <t>Rapprochement sur la cible enfant et la technologie sonique rechargeable. Connectivité Bluetooth et application de coaching enfant. Indicateur de batterie.</t>
        </is>
      </c>
      <c r="AJ90" s="22">
        <f>IFERROR(IF(IF('Relevé prix'!$B$1="SN",VLOOKUP($U90,'Relevé prix'!$A$4:$N$60,11,FALSE),VLOOKUP($U90,'Relevé prix'!$A$4:$N$60,7,FALSE))=0,"",IF('Relevé prix'!$B$1="SN",VLOOKUP($U90,'Relevé prix'!$A$4:$N$60,11,FALSE),VLOOKUP($U90,'Relevé prix'!$A$4:$N$60,7,FALSE))),"")</f>
        <v/>
      </c>
      <c r="AK90" s="23">
        <f>IFERROR(IF(IF('Relevé prix'!$B$1="SN",VLOOKUP($U90,'Relevé prix'!$A$4:$N$60,12,FALSE),VLOOKUP($U90,'Relevé prix'!$A$4:$N$60,8,FALSE))=0,"",IF('Relevé prix'!$B$1="SN",VLOOKUP($U90,'Relevé prix'!$A$4:$N$60,12,FALSE),VLOOKUP($U90,'Relevé prix'!$A$4:$N$60,8,FALSE))),"")</f>
        <v/>
      </c>
      <c r="AL90" s="24" t="n"/>
      <c r="AM90" s="25" t="n"/>
      <c r="AN90" s="25" t="n"/>
      <c r="AO90" s="22">
        <f>IF(OR(AL90="",AJ90=""),"",AL90-AJ90)</f>
        <v/>
      </c>
      <c r="AP90" s="26">
        <f>IF(OR(AL90="",AJ90="",AJ90=0),"",(AL90-AJ90)/AJ90)</f>
        <v/>
      </c>
      <c r="AQ90" s="27">
        <f>IF(AP90="","",IF(AP90&lt;-0.05,"Moins cher",IF(AP90&gt;0.05,"Plus cher","Équivalent")))</f>
        <v/>
      </c>
    </row>
    <row r="91">
      <c r="A91" s="28" t="inlineStr">
        <is>
          <t>SG-2159</t>
        </is>
      </c>
      <c r="B91" s="28" t="inlineStr">
        <is>
          <t>Kids Sonic</t>
        </is>
      </c>
      <c r="C91" s="28" t="inlineStr">
        <is>
          <t>Sonique</t>
        </is>
      </c>
      <c r="D91" s="28" t="inlineStr">
        <is>
          <t>Enfant</t>
        </is>
      </c>
      <c r="E91" s="29" t="n">
        <v>24000</v>
      </c>
      <c r="F91" s="29" t="n">
        <v>24000</v>
      </c>
      <c r="G91" s="30" t="n">
        <v>3</v>
      </c>
      <c r="H91" s="30" t="n">
        <v>60</v>
      </c>
      <c r="I91" s="30" t="n">
        <v>260</v>
      </c>
      <c r="J91" s="28" t="inlineStr">
        <is>
          <t>Batterie Li-ion rechargeable</t>
        </is>
      </c>
      <c r="K91" s="28" t="inlineStr">
        <is>
          <t>USB</t>
        </is>
      </c>
      <c r="L91" s="34" t="inlineStr">
        <is>
          <t>N/D</t>
        </is>
      </c>
      <c r="M91" s="28" t="inlineStr">
        <is>
          <t>IPX7</t>
        </is>
      </c>
      <c r="N91" s="28" t="inlineStr">
        <is>
          <t>Non</t>
        </is>
      </c>
      <c r="O91" s="28" t="inlineStr">
        <is>
          <t>LED colorée</t>
        </is>
      </c>
      <c r="P91" s="28" t="inlineStr">
        <is>
          <t>Oui</t>
        </is>
      </c>
      <c r="Q91" s="31" t="n">
        <v>66.7</v>
      </c>
      <c r="R91" s="28" t="inlineStr">
        <is>
          <t>21.5*22.1*160</t>
        </is>
      </c>
      <c r="S91" s="32" t="inlineStr">
        <is>
          <t>LED clignotantes colorées, poils souples, minuteur 2 min avec pause 30 s, LED d'observation, manche compact personnalisable</t>
        </is>
      </c>
      <c r="T91" s="33" t="n">
        <v>52</v>
      </c>
      <c r="U91" s="20" t="inlineStr">
        <is>
          <t>SONICARE_KIDS</t>
        </is>
      </c>
      <c r="V91" s="20" t="inlineStr">
        <is>
          <t>Sonicare For Kids HX6321/02</t>
        </is>
      </c>
      <c r="W91" s="20" t="inlineStr">
        <is>
          <t>Philips</t>
        </is>
      </c>
      <c r="X91" s="20" t="inlineStr">
        <is>
          <t>Sonique enfant</t>
        </is>
      </c>
      <c r="Y91" s="20" t="inlineStr">
        <is>
          <t>62 000 mouvements/min</t>
        </is>
      </c>
      <c r="Z91" s="20" t="inlineStr">
        <is>
          <t>2 modes</t>
        </is>
      </c>
      <c r="AA91" s="20" t="n">
        <v>21</v>
      </c>
      <c r="AB91" s="37" t="inlineStr">
        <is>
          <t>N/D</t>
        </is>
      </c>
      <c r="AC91" s="20" t="inlineStr">
        <is>
          <t>Non</t>
        </is>
      </c>
      <c r="AD91" s="20" t="inlineStr">
        <is>
          <t>Socle inductif</t>
        </is>
      </c>
      <c r="AE91" s="20" t="inlineStr">
        <is>
          <t>Non vérifié sur CI, SN, BF, CM, BJ. Présence confirmée aux EAU (Noon).</t>
        </is>
      </c>
      <c r="AF91" s="20" t="inlineStr">
        <is>
          <t>Noon UAE, pharmacies</t>
        </is>
      </c>
      <c r="AG91" s="21" t="inlineStr">
        <is>
          <t>https://www.usa.philips.com/c-p/HX6321_02/sonicare-for-kids-sonic-electric-toothbrush</t>
        </is>
      </c>
      <c r="AH91" s="21" t="inlineStr">
        <is>
          <t>https://www.philips.com/c-dam/b2c/category-pages/personal-care/POHC/resource-library-docs/HX6321-03%20LEAFLET-Sonicare-%20For-Kids-%20Connected-Electric-Toothbrush.pdf</t>
        </is>
      </c>
      <c r="AI91" s="20" t="inlineStr">
        <is>
          <t>Rapprochement sur la cible enfant et la technologie sonique rechargeable. Connectivité Bluetooth et application de coaching enfant. Indicateur de batterie.</t>
        </is>
      </c>
      <c r="AJ91" s="22">
        <f>IFERROR(IF(IF('Relevé prix'!$B$1="SN",VLOOKUP($U91,'Relevé prix'!$A$4:$N$60,11,FALSE),VLOOKUP($U91,'Relevé prix'!$A$4:$N$60,7,FALSE))=0,"",IF('Relevé prix'!$B$1="SN",VLOOKUP($U91,'Relevé prix'!$A$4:$N$60,11,FALSE),VLOOKUP($U91,'Relevé prix'!$A$4:$N$60,7,FALSE))),"")</f>
        <v/>
      </c>
      <c r="AK91" s="23">
        <f>IFERROR(IF(IF('Relevé prix'!$B$1="SN",VLOOKUP($U91,'Relevé prix'!$A$4:$N$60,12,FALSE),VLOOKUP($U91,'Relevé prix'!$A$4:$N$60,8,FALSE))=0,"",IF('Relevé prix'!$B$1="SN",VLOOKUP($U91,'Relevé prix'!$A$4:$N$60,12,FALSE),VLOOKUP($U91,'Relevé prix'!$A$4:$N$60,8,FALSE))),"")</f>
        <v/>
      </c>
      <c r="AL91" s="24" t="n"/>
      <c r="AM91" s="25" t="n"/>
      <c r="AN91" s="25" t="n"/>
      <c r="AO91" s="22">
        <f>IF(OR(AL91="",AJ91=""),"",AL91-AJ91)</f>
        <v/>
      </c>
      <c r="AP91" s="26">
        <f>IF(OR(AL91="",AJ91="",AJ91=0),"",(AL91-AJ91)/AJ91)</f>
        <v/>
      </c>
      <c r="AQ91" s="27">
        <f>IF(AP91="","",IF(AP91&lt;-0.05,"Moins cher",IF(AP91&gt;0.05,"Plus cher","Équivalent")))</f>
        <v/>
      </c>
    </row>
    <row r="92">
      <c r="A92" s="13" t="inlineStr">
        <is>
          <t>SG-2139</t>
        </is>
      </c>
      <c r="B92" s="13" t="inlineStr">
        <is>
          <t>Kids Sonic</t>
        </is>
      </c>
      <c r="C92" s="13" t="inlineStr">
        <is>
          <t>Sonique</t>
        </is>
      </c>
      <c r="D92" s="13" t="inlineStr">
        <is>
          <t>Enfant</t>
        </is>
      </c>
      <c r="E92" s="14" t="n">
        <v>24000</v>
      </c>
      <c r="F92" s="14" t="n">
        <v>24000</v>
      </c>
      <c r="G92" s="15" t="n">
        <v>3</v>
      </c>
      <c r="H92" s="15" t="n">
        <v>60</v>
      </c>
      <c r="I92" s="15" t="n">
        <v>260</v>
      </c>
      <c r="J92" s="13" t="inlineStr">
        <is>
          <t>Batterie Li-ion rechargeable</t>
        </is>
      </c>
      <c r="K92" s="13" t="inlineStr">
        <is>
          <t>USB / magnétique</t>
        </is>
      </c>
      <c r="L92" s="16" t="inlineStr">
        <is>
          <t>N/D</t>
        </is>
      </c>
      <c r="M92" s="13" t="inlineStr">
        <is>
          <t>IPX7</t>
        </is>
      </c>
      <c r="N92" s="13" t="inlineStr">
        <is>
          <t>Non</t>
        </is>
      </c>
      <c r="O92" s="13" t="inlineStr">
        <is>
          <t>LED colorée</t>
        </is>
      </c>
      <c r="P92" s="13" t="inlineStr">
        <is>
          <t>Oui</t>
        </is>
      </c>
      <c r="Q92" s="17" t="n">
        <v>64</v>
      </c>
      <c r="R92" s="13" t="inlineStr">
        <is>
          <t>34.1*33.3*115.1</t>
        </is>
      </c>
      <c r="S92" s="18" t="inlineStr">
        <is>
          <t>LED colorées, LED blanche permettant aux parents d'observer les dents, habillage silicone alimentaire personnalisable</t>
        </is>
      </c>
      <c r="T92" s="19" t="n">
        <v>53</v>
      </c>
      <c r="U92" s="20" t="inlineStr">
        <is>
          <t>SONICARE_KIDS</t>
        </is>
      </c>
      <c r="V92" s="20" t="inlineStr">
        <is>
          <t>Sonicare For Kids HX6321/02</t>
        </is>
      </c>
      <c r="W92" s="20" t="inlineStr">
        <is>
          <t>Philips</t>
        </is>
      </c>
      <c r="X92" s="20" t="inlineStr">
        <is>
          <t>Sonique enfant</t>
        </is>
      </c>
      <c r="Y92" s="20" t="inlineStr">
        <is>
          <t>62 000 mouvements/min</t>
        </is>
      </c>
      <c r="Z92" s="20" t="inlineStr">
        <is>
          <t>2 modes</t>
        </is>
      </c>
      <c r="AA92" s="20" t="n">
        <v>21</v>
      </c>
      <c r="AB92" s="37" t="inlineStr">
        <is>
          <t>N/D</t>
        </is>
      </c>
      <c r="AC92" s="20" t="inlineStr">
        <is>
          <t>Non</t>
        </is>
      </c>
      <c r="AD92" s="20" t="inlineStr">
        <is>
          <t>Socle inductif</t>
        </is>
      </c>
      <c r="AE92" s="20" t="inlineStr">
        <is>
          <t>Non vérifié sur CI, SN, BF, CM, BJ. Présence confirmée aux EAU (Noon).</t>
        </is>
      </c>
      <c r="AF92" s="20" t="inlineStr">
        <is>
          <t>Noon UAE, pharmacies</t>
        </is>
      </c>
      <c r="AG92" s="21" t="inlineStr">
        <is>
          <t>https://www.usa.philips.com/c-p/HX6321_02/sonicare-for-kids-sonic-electric-toothbrush</t>
        </is>
      </c>
      <c r="AH92" s="21" t="inlineStr">
        <is>
          <t>https://www.philips.com/c-dam/b2c/category-pages/personal-care/POHC/resource-library-docs/HX6321-03%20LEAFLET-Sonicare-%20For-Kids-%20Connected-Electric-Toothbrush.pdf</t>
        </is>
      </c>
      <c r="AI92" s="20" t="inlineStr">
        <is>
          <t>Rapprochement sur la cible enfant et la technologie sonique rechargeable. Connectivité Bluetooth et application de coaching enfant. Indicateur de batterie.</t>
        </is>
      </c>
      <c r="AJ92" s="22">
        <f>IFERROR(IF(IF('Relevé prix'!$B$1="SN",VLOOKUP($U92,'Relevé prix'!$A$4:$N$60,11,FALSE),VLOOKUP($U92,'Relevé prix'!$A$4:$N$60,7,FALSE))=0,"",IF('Relevé prix'!$B$1="SN",VLOOKUP($U92,'Relevé prix'!$A$4:$N$60,11,FALSE),VLOOKUP($U92,'Relevé prix'!$A$4:$N$60,7,FALSE))),"")</f>
        <v/>
      </c>
      <c r="AK92" s="23">
        <f>IFERROR(IF(IF('Relevé prix'!$B$1="SN",VLOOKUP($U92,'Relevé prix'!$A$4:$N$60,12,FALSE),VLOOKUP($U92,'Relevé prix'!$A$4:$N$60,8,FALSE))=0,"",IF('Relevé prix'!$B$1="SN",VLOOKUP($U92,'Relevé prix'!$A$4:$N$60,12,FALSE),VLOOKUP($U92,'Relevé prix'!$A$4:$N$60,8,FALSE))),"")</f>
        <v/>
      </c>
      <c r="AL92" s="24" t="n"/>
      <c r="AM92" s="25" t="n"/>
      <c r="AN92" s="25" t="n"/>
      <c r="AO92" s="22">
        <f>IF(OR(AL92="",AJ92=""),"",AL92-AJ92)</f>
        <v/>
      </c>
      <c r="AP92" s="26">
        <f>IF(OR(AL92="",AJ92="",AJ92=0),"",(AL92-AJ92)/AJ92)</f>
        <v/>
      </c>
      <c r="AQ92" s="27">
        <f>IF(AP92="","",IF(AP92&lt;-0.05,"Moins cher",IF(AP92&gt;0.05,"Plus cher","Équivalent")))</f>
        <v/>
      </c>
    </row>
    <row r="93">
      <c r="A93" s="28" t="inlineStr">
        <is>
          <t>SG-2732</t>
        </is>
      </c>
      <c r="B93" s="28" t="inlineStr">
        <is>
          <t>Kids Sonic</t>
        </is>
      </c>
      <c r="C93" s="28" t="inlineStr">
        <is>
          <t>Sonique</t>
        </is>
      </c>
      <c r="D93" s="28" t="inlineStr">
        <is>
          <t>Enfant</t>
        </is>
      </c>
      <c r="E93" s="29" t="n">
        <v>35000</v>
      </c>
      <c r="F93" s="29" t="n">
        <v>35000</v>
      </c>
      <c r="G93" s="30" t="n">
        <v>3</v>
      </c>
      <c r="H93" s="30" t="n">
        <v>21</v>
      </c>
      <c r="I93" s="30" t="n">
        <v>600</v>
      </c>
      <c r="J93" s="28" t="inlineStr">
        <is>
          <t>Batterie Li-ion rechargeable</t>
        </is>
      </c>
      <c r="K93" s="28" t="inlineStr">
        <is>
          <t>USB</t>
        </is>
      </c>
      <c r="L93" s="34" t="inlineStr">
        <is>
          <t>N/D</t>
        </is>
      </c>
      <c r="M93" s="28" t="inlineStr">
        <is>
          <t>IPX7</t>
        </is>
      </c>
      <c r="N93" s="28" t="inlineStr">
        <is>
          <t>Non</t>
        </is>
      </c>
      <c r="O93" s="28" t="inlineStr">
        <is>
          <t>Aucun</t>
        </is>
      </c>
      <c r="P93" s="28" t="inlineStr">
        <is>
          <t>Oui</t>
        </is>
      </c>
      <c r="Q93" s="31" t="n">
        <v>105</v>
      </c>
      <c r="R93" s="28" t="inlineStr">
        <is>
          <t>28.8*29.5*160.1</t>
        </is>
      </c>
      <c r="S93" s="32" t="inlineStr">
        <is>
          <t>3 intensités, moteur à lévitation magnétique, habillage silicone alimentaire personnalisable, mémoire intelligente</t>
        </is>
      </c>
      <c r="T93" s="33" t="n">
        <v>53</v>
      </c>
      <c r="U93" s="20" t="inlineStr">
        <is>
          <t>SONICARE_KIDS</t>
        </is>
      </c>
      <c r="V93" s="20" t="inlineStr">
        <is>
          <t>Sonicare For Kids HX6321/02</t>
        </is>
      </c>
      <c r="W93" s="20" t="inlineStr">
        <is>
          <t>Philips</t>
        </is>
      </c>
      <c r="X93" s="20" t="inlineStr">
        <is>
          <t>Sonique enfant</t>
        </is>
      </c>
      <c r="Y93" s="20" t="inlineStr">
        <is>
          <t>62 000 mouvements/min</t>
        </is>
      </c>
      <c r="Z93" s="20" t="inlineStr">
        <is>
          <t>2 modes</t>
        </is>
      </c>
      <c r="AA93" s="20" t="n">
        <v>21</v>
      </c>
      <c r="AB93" s="37" t="inlineStr">
        <is>
          <t>N/D</t>
        </is>
      </c>
      <c r="AC93" s="20" t="inlineStr">
        <is>
          <t>Non</t>
        </is>
      </c>
      <c r="AD93" s="20" t="inlineStr">
        <is>
          <t>Socle inductif</t>
        </is>
      </c>
      <c r="AE93" s="20" t="inlineStr">
        <is>
          <t>Non vérifié sur CI, SN, BF, CM, BJ. Présence confirmée aux EAU (Noon).</t>
        </is>
      </c>
      <c r="AF93" s="20" t="inlineStr">
        <is>
          <t>Noon UAE, pharmacies</t>
        </is>
      </c>
      <c r="AG93" s="21" t="inlineStr">
        <is>
          <t>https://www.usa.philips.com/c-p/HX6321_02/sonicare-for-kids-sonic-electric-toothbrush</t>
        </is>
      </c>
      <c r="AH93" s="21" t="inlineStr">
        <is>
          <t>https://www.philips.com/c-dam/b2c/category-pages/personal-care/POHC/resource-library-docs/HX6321-03%20LEAFLET-Sonicare-%20For-Kids-%20Connected-Electric-Toothbrush.pdf</t>
        </is>
      </c>
      <c r="AI93" s="20" t="inlineStr">
        <is>
          <t>Rapprochement sur la cible enfant et la technologie sonique rechargeable. Connectivité Bluetooth et application de coaching enfant. Indicateur de batterie.</t>
        </is>
      </c>
      <c r="AJ93" s="22">
        <f>IFERROR(IF(IF('Relevé prix'!$B$1="SN",VLOOKUP($U93,'Relevé prix'!$A$4:$N$60,11,FALSE),VLOOKUP($U93,'Relevé prix'!$A$4:$N$60,7,FALSE))=0,"",IF('Relevé prix'!$B$1="SN",VLOOKUP($U93,'Relevé prix'!$A$4:$N$60,11,FALSE),VLOOKUP($U93,'Relevé prix'!$A$4:$N$60,7,FALSE))),"")</f>
        <v/>
      </c>
      <c r="AK93" s="23">
        <f>IFERROR(IF(IF('Relevé prix'!$B$1="SN",VLOOKUP($U93,'Relevé prix'!$A$4:$N$60,12,FALSE),VLOOKUP($U93,'Relevé prix'!$A$4:$N$60,8,FALSE))=0,"",IF('Relevé prix'!$B$1="SN",VLOOKUP($U93,'Relevé prix'!$A$4:$N$60,12,FALSE),VLOOKUP($U93,'Relevé prix'!$A$4:$N$60,8,FALSE))),"")</f>
        <v/>
      </c>
      <c r="AL93" s="24" t="n"/>
      <c r="AM93" s="25" t="n"/>
      <c r="AN93" s="25" t="n"/>
      <c r="AO93" s="22">
        <f>IF(OR(AL93="",AJ93=""),"",AL93-AJ93)</f>
        <v/>
      </c>
      <c r="AP93" s="26">
        <f>IF(OR(AL93="",AJ93="",AJ93=0),"",(AL93-AJ93)/AJ93)</f>
        <v/>
      </c>
      <c r="AQ93" s="27">
        <f>IF(AP93="","",IF(AP93&lt;-0.05,"Moins cher",IF(AP93&gt;0.05,"Plus cher","Équivalent")))</f>
        <v/>
      </c>
    </row>
    <row r="94">
      <c r="A94" s="13" t="inlineStr">
        <is>
          <t>SG-902</t>
        </is>
      </c>
      <c r="B94" s="13" t="inlineStr">
        <is>
          <t>Kids Sonic</t>
        </is>
      </c>
      <c r="C94" s="13" t="inlineStr">
        <is>
          <t>Sonique</t>
        </is>
      </c>
      <c r="D94" s="13" t="inlineStr">
        <is>
          <t>Enfant</t>
        </is>
      </c>
      <c r="E94" s="14" t="n">
        <v>17000</v>
      </c>
      <c r="F94" s="14" t="n">
        <v>17000</v>
      </c>
      <c r="G94" s="38" t="inlineStr">
        <is>
          <t>N/D</t>
        </is>
      </c>
      <c r="H94" s="15" t="n">
        <v>120</v>
      </c>
      <c r="I94" s="38" t="inlineStr">
        <is>
          <t>N/D</t>
        </is>
      </c>
      <c r="J94" s="13" t="inlineStr">
        <is>
          <t>Pile (1x AAA)</t>
        </is>
      </c>
      <c r="K94" s="13" t="inlineStr">
        <is>
          <t>Piles</t>
        </is>
      </c>
      <c r="L94" s="16" t="inlineStr">
        <is>
          <t>N/D</t>
        </is>
      </c>
      <c r="M94" s="13" t="inlineStr">
        <is>
          <t>IPX7</t>
        </is>
      </c>
      <c r="N94" s="13" t="inlineStr">
        <is>
          <t>Non</t>
        </is>
      </c>
      <c r="O94" s="13" t="inlineStr">
        <is>
          <t>LED blanche</t>
        </is>
      </c>
      <c r="P94" s="13" t="inlineStr">
        <is>
          <t>Oui</t>
        </is>
      </c>
      <c r="Q94" s="17" t="n">
        <v>27</v>
      </c>
      <c r="R94" s="13" t="inlineStr">
        <is>
          <t>28.5*26*145</t>
        </is>
      </c>
      <c r="S94" s="18" t="inlineStr">
        <is>
          <t>LED blanche d'observation, ventouse de maintien en option, poils souples DuPont</t>
        </is>
      </c>
      <c r="T94" s="19" t="n">
        <v>54</v>
      </c>
      <c r="U94" s="20" t="inlineStr">
        <is>
          <t>OB_KIDS_PILE</t>
        </is>
      </c>
      <c r="V94" s="20" t="inlineStr">
        <is>
          <t>Kids Battery Disney (Frozen / Princess)</t>
        </is>
      </c>
      <c r="W94" s="20" t="inlineStr">
        <is>
          <t>Oral-B</t>
        </is>
      </c>
      <c r="X94" s="20" t="inlineStr">
        <is>
          <t>Oscillo-rotative enfant</t>
        </is>
      </c>
      <c r="Y94" s="20" t="inlineStr">
        <is>
          <t>7 600 oscillations/min</t>
        </is>
      </c>
      <c r="Z94" s="20" t="inlineStr">
        <is>
          <t>1 mode</t>
        </is>
      </c>
      <c r="AA94" s="37" t="inlineStr">
        <is>
          <t>N/D</t>
        </is>
      </c>
      <c r="AB94" s="37" t="inlineStr">
        <is>
          <t>N/D</t>
        </is>
      </c>
      <c r="AC94" s="20" t="inlineStr">
        <is>
          <t>Non</t>
        </is>
      </c>
      <c r="AD94" s="20" t="inlineStr">
        <is>
          <t>2 piles AA</t>
        </is>
      </c>
      <c r="AE94" s="20" t="inlineStr">
        <is>
          <t>Non vérifié sur CI, SN, BF, CM, BJ. Marque Oral-B présente en CI et SN.</t>
        </is>
      </c>
      <c r="AF94" s="20" t="inlineStr">
        <is>
          <t>Amazon, GMS</t>
        </is>
      </c>
      <c r="AG94" s="21" t="inlineStr">
        <is>
          <t>https://www.amazon.com/Oral-B-Pro-Health-Battery-Toothbrush-featuring/dp/B01AKGRSCG</t>
        </is>
      </c>
      <c r="AH94" s="21" t="inlineStr">
        <is>
          <t>https://oralb.com/en-us/products/more-products/kids-products/kids-battery-toothbrush-featuring-disney-princess/</t>
        </is>
      </c>
      <c r="AI94" s="20" t="inlineStr">
        <is>
          <t>Rapprochement sur la cible enfant et l'alimentation à piles. Tête extra-souple, application Disney Magic Timer. Concurrent direct des SEAGO enfant à piles.</t>
        </is>
      </c>
      <c r="AJ94" s="22">
        <f>IFERROR(IF(IF('Relevé prix'!$B$1="SN",VLOOKUP($U94,'Relevé prix'!$A$4:$N$60,11,FALSE),VLOOKUP($U94,'Relevé prix'!$A$4:$N$60,7,FALSE))=0,"",IF('Relevé prix'!$B$1="SN",VLOOKUP($U94,'Relevé prix'!$A$4:$N$60,11,FALSE),VLOOKUP($U94,'Relevé prix'!$A$4:$N$60,7,FALSE))),"")</f>
        <v/>
      </c>
      <c r="AK94" s="23">
        <f>IFERROR(IF(IF('Relevé prix'!$B$1="SN",VLOOKUP($U94,'Relevé prix'!$A$4:$N$60,12,FALSE),VLOOKUP($U94,'Relevé prix'!$A$4:$N$60,8,FALSE))=0,"",IF('Relevé prix'!$B$1="SN",VLOOKUP($U94,'Relevé prix'!$A$4:$N$60,12,FALSE),VLOOKUP($U94,'Relevé prix'!$A$4:$N$60,8,FALSE))),"")</f>
        <v/>
      </c>
      <c r="AL94" s="24" t="n"/>
      <c r="AM94" s="25" t="n"/>
      <c r="AN94" s="25" t="n"/>
      <c r="AO94" s="22">
        <f>IF(OR(AL94="",AJ94=""),"",AL94-AJ94)</f>
        <v/>
      </c>
      <c r="AP94" s="26">
        <f>IF(OR(AL94="",AJ94="",AJ94=0),"",(AL94-AJ94)/AJ94)</f>
        <v/>
      </c>
      <c r="AQ94" s="27">
        <f>IF(AP94="","",IF(AP94&lt;-0.05,"Moins cher",IF(AP94&gt;0.05,"Plus cher","Équivalent")))</f>
        <v/>
      </c>
    </row>
    <row r="95">
      <c r="A95" s="28" t="inlineStr">
        <is>
          <t>SG-513</t>
        </is>
      </c>
      <c r="B95" s="28" t="inlineStr">
        <is>
          <t>Kids Sonic</t>
        </is>
      </c>
      <c r="C95" s="28" t="inlineStr">
        <is>
          <t>Sonique</t>
        </is>
      </c>
      <c r="D95" s="28" t="inlineStr">
        <is>
          <t>Enfant</t>
        </is>
      </c>
      <c r="E95" s="29" t="n">
        <v>17000</v>
      </c>
      <c r="F95" s="29" t="n">
        <v>17000</v>
      </c>
      <c r="G95" s="35" t="inlineStr">
        <is>
          <t>N/D</t>
        </is>
      </c>
      <c r="H95" s="30" t="n">
        <v>150</v>
      </c>
      <c r="I95" s="35" t="inlineStr">
        <is>
          <t>N/D</t>
        </is>
      </c>
      <c r="J95" s="28" t="inlineStr">
        <is>
          <t>Pile (1x AAA)</t>
        </is>
      </c>
      <c r="K95" s="28" t="inlineStr">
        <is>
          <t>Piles</t>
        </is>
      </c>
      <c r="L95" s="34" t="inlineStr">
        <is>
          <t>N/D</t>
        </is>
      </c>
      <c r="M95" s="28" t="inlineStr">
        <is>
          <t>IPX7</t>
        </is>
      </c>
      <c r="N95" s="28" t="inlineStr">
        <is>
          <t>Non</t>
        </is>
      </c>
      <c r="O95" s="28" t="inlineStr">
        <is>
          <t>LED blanche</t>
        </is>
      </c>
      <c r="P95" s="28" t="inlineStr">
        <is>
          <t>Oui</t>
        </is>
      </c>
      <c r="Q95" s="31" t="n">
        <v>28</v>
      </c>
      <c r="R95" s="28" t="inlineStr">
        <is>
          <t>27.9*27.9*148.9</t>
        </is>
      </c>
      <c r="S95" s="32" t="inlineStr">
        <is>
          <t>Design pingouin, LED blanche d'observation, ventouse de maintien, poils souples</t>
        </is>
      </c>
      <c r="T95" s="33" t="n">
        <v>54</v>
      </c>
      <c r="U95" s="20" t="inlineStr">
        <is>
          <t>OB_KIDS_PILE</t>
        </is>
      </c>
      <c r="V95" s="20" t="inlineStr">
        <is>
          <t>Kids Battery Disney (Frozen / Princess)</t>
        </is>
      </c>
      <c r="W95" s="20" t="inlineStr">
        <is>
          <t>Oral-B</t>
        </is>
      </c>
      <c r="X95" s="20" t="inlineStr">
        <is>
          <t>Oscillo-rotative enfant</t>
        </is>
      </c>
      <c r="Y95" s="20" t="inlineStr">
        <is>
          <t>7 600 oscillations/min</t>
        </is>
      </c>
      <c r="Z95" s="20" t="inlineStr">
        <is>
          <t>1 mode</t>
        </is>
      </c>
      <c r="AA95" s="37" t="inlineStr">
        <is>
          <t>N/D</t>
        </is>
      </c>
      <c r="AB95" s="37" t="inlineStr">
        <is>
          <t>N/D</t>
        </is>
      </c>
      <c r="AC95" s="20" t="inlineStr">
        <is>
          <t>Non</t>
        </is>
      </c>
      <c r="AD95" s="20" t="inlineStr">
        <is>
          <t>2 piles AA</t>
        </is>
      </c>
      <c r="AE95" s="20" t="inlineStr">
        <is>
          <t>Non vérifié sur CI, SN, BF, CM, BJ. Marque Oral-B présente en CI et SN.</t>
        </is>
      </c>
      <c r="AF95" s="20" t="inlineStr">
        <is>
          <t>Amazon, GMS</t>
        </is>
      </c>
      <c r="AG95" s="21" t="inlineStr">
        <is>
          <t>https://www.amazon.com/Oral-B-Pro-Health-Battery-Toothbrush-featuring/dp/B01AKGRSCG</t>
        </is>
      </c>
      <c r="AH95" s="21" t="inlineStr">
        <is>
          <t>https://oralb.com/en-us/products/more-products/kids-products/kids-battery-toothbrush-featuring-disney-princess/</t>
        </is>
      </c>
      <c r="AI95" s="20" t="inlineStr">
        <is>
          <t>Rapprochement sur la cible enfant et l'alimentation à piles. Tête extra-souple, application Disney Magic Timer. Concurrent direct des SEAGO enfant à piles.</t>
        </is>
      </c>
      <c r="AJ95" s="22">
        <f>IFERROR(IF(IF('Relevé prix'!$B$1="SN",VLOOKUP($U95,'Relevé prix'!$A$4:$N$60,11,FALSE),VLOOKUP($U95,'Relevé prix'!$A$4:$N$60,7,FALSE))=0,"",IF('Relevé prix'!$B$1="SN",VLOOKUP($U95,'Relevé prix'!$A$4:$N$60,11,FALSE),VLOOKUP($U95,'Relevé prix'!$A$4:$N$60,7,FALSE))),"")</f>
        <v/>
      </c>
      <c r="AK95" s="23">
        <f>IFERROR(IF(IF('Relevé prix'!$B$1="SN",VLOOKUP($U95,'Relevé prix'!$A$4:$N$60,12,FALSE),VLOOKUP($U95,'Relevé prix'!$A$4:$N$60,8,FALSE))=0,"",IF('Relevé prix'!$B$1="SN",VLOOKUP($U95,'Relevé prix'!$A$4:$N$60,12,FALSE),VLOOKUP($U95,'Relevé prix'!$A$4:$N$60,8,FALSE))),"")</f>
        <v/>
      </c>
      <c r="AL95" s="24" t="n"/>
      <c r="AM95" s="25" t="n"/>
      <c r="AN95" s="25" t="n"/>
      <c r="AO95" s="22">
        <f>IF(OR(AL95="",AJ95=""),"",AL95-AJ95)</f>
        <v/>
      </c>
      <c r="AP95" s="26">
        <f>IF(OR(AL95="",AJ95="",AJ95=0),"",(AL95-AJ95)/AJ95)</f>
        <v/>
      </c>
      <c r="AQ95" s="27">
        <f>IF(AP95="","",IF(AP95&lt;-0.05,"Moins cher",IF(AP95&gt;0.05,"Plus cher","Équivalent")))</f>
        <v/>
      </c>
    </row>
    <row r="96">
      <c r="A96" s="13" t="inlineStr">
        <is>
          <t>SG-2113</t>
        </is>
      </c>
      <c r="B96" s="13" t="inlineStr">
        <is>
          <t>Kids Sonic</t>
        </is>
      </c>
      <c r="C96" s="13" t="inlineStr">
        <is>
          <t>Sonique</t>
        </is>
      </c>
      <c r="D96" s="13" t="inlineStr">
        <is>
          <t>Enfant</t>
        </is>
      </c>
      <c r="E96" s="14" t="n">
        <v>16000</v>
      </c>
      <c r="F96" s="14" t="n">
        <v>16000</v>
      </c>
      <c r="G96" s="38" t="inlineStr">
        <is>
          <t>N/D</t>
        </is>
      </c>
      <c r="H96" s="15" t="n">
        <v>120</v>
      </c>
      <c r="I96" s="38" t="inlineStr">
        <is>
          <t>N/D</t>
        </is>
      </c>
      <c r="J96" s="13" t="inlineStr">
        <is>
          <t>Pile (1x AAA)</t>
        </is>
      </c>
      <c r="K96" s="13" t="inlineStr">
        <is>
          <t>Piles</t>
        </is>
      </c>
      <c r="L96" s="16" t="inlineStr">
        <is>
          <t>N/D</t>
        </is>
      </c>
      <c r="M96" s="13" t="inlineStr">
        <is>
          <t>IPX7</t>
        </is>
      </c>
      <c r="N96" s="13" t="inlineStr">
        <is>
          <t>Non</t>
        </is>
      </c>
      <c r="O96" s="13" t="inlineStr">
        <is>
          <t>LED colorée</t>
        </is>
      </c>
      <c r="P96" s="13" t="inlineStr">
        <is>
          <t>Oui</t>
        </is>
      </c>
      <c r="Q96" s="17" t="n">
        <v>28</v>
      </c>
      <c r="R96" s="13" t="inlineStr">
        <is>
          <t>25.5*25.5*167.5</t>
        </is>
      </c>
      <c r="S96" s="18" t="inlineStr">
        <is>
          <t>LED blanche d'observation et LED clignotantes colorées, poils souples, motifs par transfert thermique</t>
        </is>
      </c>
      <c r="T96" s="19" t="n">
        <v>55</v>
      </c>
      <c r="U96" s="20" t="inlineStr">
        <is>
          <t>OB_KIDS_PILE</t>
        </is>
      </c>
      <c r="V96" s="20" t="inlineStr">
        <is>
          <t>Kids Battery Disney (Frozen / Princess)</t>
        </is>
      </c>
      <c r="W96" s="20" t="inlineStr">
        <is>
          <t>Oral-B</t>
        </is>
      </c>
      <c r="X96" s="20" t="inlineStr">
        <is>
          <t>Oscillo-rotative enfant</t>
        </is>
      </c>
      <c r="Y96" s="20" t="inlineStr">
        <is>
          <t>7 600 oscillations/min</t>
        </is>
      </c>
      <c r="Z96" s="20" t="inlineStr">
        <is>
          <t>1 mode</t>
        </is>
      </c>
      <c r="AA96" s="37" t="inlineStr">
        <is>
          <t>N/D</t>
        </is>
      </c>
      <c r="AB96" s="37" t="inlineStr">
        <is>
          <t>N/D</t>
        </is>
      </c>
      <c r="AC96" s="20" t="inlineStr">
        <is>
          <t>Non</t>
        </is>
      </c>
      <c r="AD96" s="20" t="inlineStr">
        <is>
          <t>2 piles AA</t>
        </is>
      </c>
      <c r="AE96" s="20" t="inlineStr">
        <is>
          <t>Non vérifié sur CI, SN, BF, CM, BJ. Marque Oral-B présente en CI et SN.</t>
        </is>
      </c>
      <c r="AF96" s="20" t="inlineStr">
        <is>
          <t>Amazon, GMS</t>
        </is>
      </c>
      <c r="AG96" s="21" t="inlineStr">
        <is>
          <t>https://www.amazon.com/Oral-B-Pro-Health-Battery-Toothbrush-featuring/dp/B01AKGRSCG</t>
        </is>
      </c>
      <c r="AH96" s="21" t="inlineStr">
        <is>
          <t>https://oralb.com/en-us/products/more-products/kids-products/kids-battery-toothbrush-featuring-disney-princess/</t>
        </is>
      </c>
      <c r="AI96" s="20" t="inlineStr">
        <is>
          <t>Rapprochement sur la cible enfant et l'alimentation à piles. Tête extra-souple, application Disney Magic Timer. Concurrent direct des SEAGO enfant à piles.</t>
        </is>
      </c>
      <c r="AJ96" s="22">
        <f>IFERROR(IF(IF('Relevé prix'!$B$1="SN",VLOOKUP($U96,'Relevé prix'!$A$4:$N$60,11,FALSE),VLOOKUP($U96,'Relevé prix'!$A$4:$N$60,7,FALSE))=0,"",IF('Relevé prix'!$B$1="SN",VLOOKUP($U96,'Relevé prix'!$A$4:$N$60,11,FALSE),VLOOKUP($U96,'Relevé prix'!$A$4:$N$60,7,FALSE))),"")</f>
        <v/>
      </c>
      <c r="AK96" s="23">
        <f>IFERROR(IF(IF('Relevé prix'!$B$1="SN",VLOOKUP($U96,'Relevé prix'!$A$4:$N$60,12,FALSE),VLOOKUP($U96,'Relevé prix'!$A$4:$N$60,8,FALSE))=0,"",IF('Relevé prix'!$B$1="SN",VLOOKUP($U96,'Relevé prix'!$A$4:$N$60,12,FALSE),VLOOKUP($U96,'Relevé prix'!$A$4:$N$60,8,FALSE))),"")</f>
        <v/>
      </c>
      <c r="AL96" s="24" t="n"/>
      <c r="AM96" s="25" t="n"/>
      <c r="AN96" s="25" t="n"/>
      <c r="AO96" s="22">
        <f>IF(OR(AL96="",AJ96=""),"",AL96-AJ96)</f>
        <v/>
      </c>
      <c r="AP96" s="26">
        <f>IF(OR(AL96="",AJ96="",AJ96=0),"",(AL96-AJ96)/AJ96)</f>
        <v/>
      </c>
      <c r="AQ96" s="27">
        <f>IF(AP96="","",IF(AP96&lt;-0.05,"Moins cher",IF(AP96&gt;0.05,"Plus cher","Équivalent")))</f>
        <v/>
      </c>
    </row>
    <row r="97">
      <c r="A97" s="28" t="inlineStr">
        <is>
          <t>SG-976</t>
        </is>
      </c>
      <c r="B97" s="28" t="inlineStr">
        <is>
          <t>Kids Sonic</t>
        </is>
      </c>
      <c r="C97" s="28" t="inlineStr">
        <is>
          <t>Sonique</t>
        </is>
      </c>
      <c r="D97" s="28" t="inlineStr">
        <is>
          <t>Enfant</t>
        </is>
      </c>
      <c r="E97" s="29" t="n">
        <v>16000</v>
      </c>
      <c r="F97" s="29" t="n">
        <v>16000</v>
      </c>
      <c r="G97" s="35" t="inlineStr">
        <is>
          <t>N/D</t>
        </is>
      </c>
      <c r="H97" s="30" t="n">
        <v>120</v>
      </c>
      <c r="I97" s="35" t="inlineStr">
        <is>
          <t>N/D</t>
        </is>
      </c>
      <c r="J97" s="28" t="inlineStr">
        <is>
          <t>Pile (1x AAA)</t>
        </is>
      </c>
      <c r="K97" s="28" t="inlineStr">
        <is>
          <t>Piles</t>
        </is>
      </c>
      <c r="L97" s="34" t="inlineStr">
        <is>
          <t>N/D</t>
        </is>
      </c>
      <c r="M97" s="28" t="inlineStr">
        <is>
          <t>IPX7</t>
        </is>
      </c>
      <c r="N97" s="28" t="inlineStr">
        <is>
          <t>Non</t>
        </is>
      </c>
      <c r="O97" s="28" t="inlineStr">
        <is>
          <t>LED colorée</t>
        </is>
      </c>
      <c r="P97" s="28" t="inlineStr">
        <is>
          <t>Oui</t>
        </is>
      </c>
      <c r="Q97" s="31" t="n">
        <v>31</v>
      </c>
      <c r="R97" s="28" t="inlineStr">
        <is>
          <t>25*25*164</t>
        </is>
      </c>
      <c r="S97" s="32" t="inlineStr">
        <is>
          <t>LED colorées et LED blanche d'observation, poils souples, ventouse de maintien, motifs personnalisables</t>
        </is>
      </c>
      <c r="T97" s="33" t="n">
        <v>55</v>
      </c>
      <c r="U97" s="20" t="inlineStr">
        <is>
          <t>OB_KIDS_PILE</t>
        </is>
      </c>
      <c r="V97" s="20" t="inlineStr">
        <is>
          <t>Kids Battery Disney (Frozen / Princess)</t>
        </is>
      </c>
      <c r="W97" s="20" t="inlineStr">
        <is>
          <t>Oral-B</t>
        </is>
      </c>
      <c r="X97" s="20" t="inlineStr">
        <is>
          <t>Oscillo-rotative enfant</t>
        </is>
      </c>
      <c r="Y97" s="20" t="inlineStr">
        <is>
          <t>7 600 oscillations/min</t>
        </is>
      </c>
      <c r="Z97" s="20" t="inlineStr">
        <is>
          <t>1 mode</t>
        </is>
      </c>
      <c r="AA97" s="37" t="inlineStr">
        <is>
          <t>N/D</t>
        </is>
      </c>
      <c r="AB97" s="37" t="inlineStr">
        <is>
          <t>N/D</t>
        </is>
      </c>
      <c r="AC97" s="20" t="inlineStr">
        <is>
          <t>Non</t>
        </is>
      </c>
      <c r="AD97" s="20" t="inlineStr">
        <is>
          <t>2 piles AA</t>
        </is>
      </c>
      <c r="AE97" s="20" t="inlineStr">
        <is>
          <t>Non vérifié sur CI, SN, BF, CM, BJ. Marque Oral-B présente en CI et SN.</t>
        </is>
      </c>
      <c r="AF97" s="20" t="inlineStr">
        <is>
          <t>Amazon, GMS</t>
        </is>
      </c>
      <c r="AG97" s="21" t="inlineStr">
        <is>
          <t>https://www.amazon.com/Oral-B-Pro-Health-Battery-Toothbrush-featuring/dp/B01AKGRSCG</t>
        </is>
      </c>
      <c r="AH97" s="21" t="inlineStr">
        <is>
          <t>https://oralb.com/en-us/products/more-products/kids-products/kids-battery-toothbrush-featuring-disney-princess/</t>
        </is>
      </c>
      <c r="AI97" s="20" t="inlineStr">
        <is>
          <t>Rapprochement sur la cible enfant et l'alimentation à piles. Tête extra-souple, application Disney Magic Timer. Concurrent direct des SEAGO enfant à piles.</t>
        </is>
      </c>
      <c r="AJ97" s="22">
        <f>IFERROR(IF(IF('Relevé prix'!$B$1="SN",VLOOKUP($U97,'Relevé prix'!$A$4:$N$60,11,FALSE),VLOOKUP($U97,'Relevé prix'!$A$4:$N$60,7,FALSE))=0,"",IF('Relevé prix'!$B$1="SN",VLOOKUP($U97,'Relevé prix'!$A$4:$N$60,11,FALSE),VLOOKUP($U97,'Relevé prix'!$A$4:$N$60,7,FALSE))),"")</f>
        <v/>
      </c>
      <c r="AK97" s="23">
        <f>IFERROR(IF(IF('Relevé prix'!$B$1="SN",VLOOKUP($U97,'Relevé prix'!$A$4:$N$60,12,FALSE),VLOOKUP($U97,'Relevé prix'!$A$4:$N$60,8,FALSE))=0,"",IF('Relevé prix'!$B$1="SN",VLOOKUP($U97,'Relevé prix'!$A$4:$N$60,12,FALSE),VLOOKUP($U97,'Relevé prix'!$A$4:$N$60,8,FALSE))),"")</f>
        <v/>
      </c>
      <c r="AL97" s="24" t="n"/>
      <c r="AM97" s="25" t="n"/>
      <c r="AN97" s="25" t="n"/>
      <c r="AO97" s="22">
        <f>IF(OR(AL97="",AJ97=""),"",AL97-AJ97)</f>
        <v/>
      </c>
      <c r="AP97" s="26">
        <f>IF(OR(AL97="",AJ97="",AJ97=0),"",(AL97-AJ97)/AJ97)</f>
        <v/>
      </c>
      <c r="AQ97" s="27">
        <f>IF(AP97="","",IF(AP97&lt;-0.05,"Moins cher",IF(AP97&gt;0.05,"Plus cher","Équivalent")))</f>
        <v/>
      </c>
    </row>
    <row r="98">
      <c r="A98" s="13" t="inlineStr">
        <is>
          <t>SG-977</t>
        </is>
      </c>
      <c r="B98" s="13" t="inlineStr">
        <is>
          <t>Kids Sonic</t>
        </is>
      </c>
      <c r="C98" s="13" t="inlineStr">
        <is>
          <t>Sonique</t>
        </is>
      </c>
      <c r="D98" s="13" t="inlineStr">
        <is>
          <t>Enfant</t>
        </is>
      </c>
      <c r="E98" s="14" t="n">
        <v>24000</v>
      </c>
      <c r="F98" s="14" t="n">
        <v>24000</v>
      </c>
      <c r="G98" s="38" t="inlineStr">
        <is>
          <t>N/D</t>
        </is>
      </c>
      <c r="H98" s="15" t="n">
        <v>150</v>
      </c>
      <c r="I98" s="38" t="inlineStr">
        <is>
          <t>N/D</t>
        </is>
      </c>
      <c r="J98" s="13" t="inlineStr">
        <is>
          <t>Pile (1x AAA)</t>
        </is>
      </c>
      <c r="K98" s="13" t="inlineStr">
        <is>
          <t>Piles</t>
        </is>
      </c>
      <c r="L98" s="16" t="inlineStr">
        <is>
          <t>N/D</t>
        </is>
      </c>
      <c r="M98" s="13" t="inlineStr">
        <is>
          <t>IPX7</t>
        </is>
      </c>
      <c r="N98" s="13" t="inlineStr">
        <is>
          <t>Non</t>
        </is>
      </c>
      <c r="O98" s="13" t="inlineStr">
        <is>
          <t>LED colorée</t>
        </is>
      </c>
      <c r="P98" s="13" t="inlineStr">
        <is>
          <t>Oui</t>
        </is>
      </c>
      <c r="Q98" s="17" t="n">
        <v>27</v>
      </c>
      <c r="R98" s="13" t="inlineStr">
        <is>
          <t>19*19*188</t>
        </is>
      </c>
      <c r="S98" s="18" t="inlineStr">
        <is>
          <t>LED clignotantes colorées, manche antidérapant adapté aux petites mains, LED blanche d'observation, poils souples</t>
        </is>
      </c>
      <c r="T98" s="19" t="n">
        <v>56</v>
      </c>
      <c r="U98" s="20" t="inlineStr">
        <is>
          <t>OB_KIDS_PILE</t>
        </is>
      </c>
      <c r="V98" s="20" t="inlineStr">
        <is>
          <t>Kids Battery Disney (Frozen / Princess)</t>
        </is>
      </c>
      <c r="W98" s="20" t="inlineStr">
        <is>
          <t>Oral-B</t>
        </is>
      </c>
      <c r="X98" s="20" t="inlineStr">
        <is>
          <t>Oscillo-rotative enfant</t>
        </is>
      </c>
      <c r="Y98" s="20" t="inlineStr">
        <is>
          <t>7 600 oscillations/min</t>
        </is>
      </c>
      <c r="Z98" s="20" t="inlineStr">
        <is>
          <t>1 mode</t>
        </is>
      </c>
      <c r="AA98" s="37" t="inlineStr">
        <is>
          <t>N/D</t>
        </is>
      </c>
      <c r="AB98" s="37" t="inlineStr">
        <is>
          <t>N/D</t>
        </is>
      </c>
      <c r="AC98" s="20" t="inlineStr">
        <is>
          <t>Non</t>
        </is>
      </c>
      <c r="AD98" s="20" t="inlineStr">
        <is>
          <t>2 piles AA</t>
        </is>
      </c>
      <c r="AE98" s="20" t="inlineStr">
        <is>
          <t>Non vérifié sur CI, SN, BF, CM, BJ. Marque Oral-B présente en CI et SN.</t>
        </is>
      </c>
      <c r="AF98" s="20" t="inlineStr">
        <is>
          <t>Amazon, GMS</t>
        </is>
      </c>
      <c r="AG98" s="21" t="inlineStr">
        <is>
          <t>https://www.amazon.com/Oral-B-Pro-Health-Battery-Toothbrush-featuring/dp/B01AKGRSCG</t>
        </is>
      </c>
      <c r="AH98" s="21" t="inlineStr">
        <is>
          <t>https://oralb.com/en-us/products/more-products/kids-products/kids-battery-toothbrush-featuring-disney-princess/</t>
        </is>
      </c>
      <c r="AI98" s="20" t="inlineStr">
        <is>
          <t>Rapprochement sur la cible enfant et l'alimentation à piles. Tête extra-souple, application Disney Magic Timer. Concurrent direct des SEAGO enfant à piles.</t>
        </is>
      </c>
      <c r="AJ98" s="22">
        <f>IFERROR(IF(IF('Relevé prix'!$B$1="SN",VLOOKUP($U98,'Relevé prix'!$A$4:$N$60,11,FALSE),VLOOKUP($U98,'Relevé prix'!$A$4:$N$60,7,FALSE))=0,"",IF('Relevé prix'!$B$1="SN",VLOOKUP($U98,'Relevé prix'!$A$4:$N$60,11,FALSE),VLOOKUP($U98,'Relevé prix'!$A$4:$N$60,7,FALSE))),"")</f>
        <v/>
      </c>
      <c r="AK98" s="23">
        <f>IFERROR(IF(IF('Relevé prix'!$B$1="SN",VLOOKUP($U98,'Relevé prix'!$A$4:$N$60,12,FALSE),VLOOKUP($U98,'Relevé prix'!$A$4:$N$60,8,FALSE))=0,"",IF('Relevé prix'!$B$1="SN",VLOOKUP($U98,'Relevé prix'!$A$4:$N$60,12,FALSE),VLOOKUP($U98,'Relevé prix'!$A$4:$N$60,8,FALSE))),"")</f>
        <v/>
      </c>
      <c r="AL98" s="24" t="n"/>
      <c r="AM98" s="25" t="n"/>
      <c r="AN98" s="25" t="n"/>
      <c r="AO98" s="22">
        <f>IF(OR(AL98="",AJ98=""),"",AL98-AJ98)</f>
        <v/>
      </c>
      <c r="AP98" s="26">
        <f>IF(OR(AL98="",AJ98="",AJ98=0),"",(AL98-AJ98)/AJ98)</f>
        <v/>
      </c>
      <c r="AQ98" s="27">
        <f>IF(AP98="","",IF(AP98&lt;-0.05,"Moins cher",IF(AP98&gt;0.05,"Plus cher","Équivalent")))</f>
        <v/>
      </c>
    </row>
    <row r="99">
      <c r="A99" s="28" t="inlineStr">
        <is>
          <t>SG-918</t>
        </is>
      </c>
      <c r="B99" s="28" t="inlineStr">
        <is>
          <t>Kids Sonic</t>
        </is>
      </c>
      <c r="C99" s="28" t="inlineStr">
        <is>
          <t>Sonique</t>
        </is>
      </c>
      <c r="D99" s="28" t="inlineStr">
        <is>
          <t>Enfant</t>
        </is>
      </c>
      <c r="E99" s="29" t="n">
        <v>17000</v>
      </c>
      <c r="F99" s="29" t="n">
        <v>17000</v>
      </c>
      <c r="G99" s="30" t="n">
        <v>2</v>
      </c>
      <c r="H99" s="30" t="n">
        <v>120</v>
      </c>
      <c r="I99" s="35" t="inlineStr">
        <is>
          <t>N/D</t>
        </is>
      </c>
      <c r="J99" s="28" t="inlineStr">
        <is>
          <t>Pile (1x AAA)</t>
        </is>
      </c>
      <c r="K99" s="28" t="inlineStr">
        <is>
          <t>Piles</t>
        </is>
      </c>
      <c r="L99" s="34" t="inlineStr">
        <is>
          <t>N/D</t>
        </is>
      </c>
      <c r="M99" s="28" t="inlineStr">
        <is>
          <t>IPX7</t>
        </is>
      </c>
      <c r="N99" s="28" t="inlineStr">
        <is>
          <t>Non</t>
        </is>
      </c>
      <c r="O99" s="28" t="inlineStr">
        <is>
          <t>LED blanche</t>
        </is>
      </c>
      <c r="P99" s="28" t="inlineStr">
        <is>
          <t>Oui</t>
        </is>
      </c>
      <c r="Q99" s="31" t="n">
        <v>24</v>
      </c>
      <c r="R99" s="28" t="inlineStr">
        <is>
          <t>19*19*176</t>
        </is>
      </c>
      <c r="S99" s="32" t="inlineStr">
        <is>
          <t>Manche fin antidérapant, LED blanche d'observation, tenon métal</t>
        </is>
      </c>
      <c r="T99" s="33" t="n">
        <v>56</v>
      </c>
      <c r="U99" s="20" t="inlineStr">
        <is>
          <t>OB_KIDS_PILE</t>
        </is>
      </c>
      <c r="V99" s="20" t="inlineStr">
        <is>
          <t>Kids Battery Disney (Frozen / Princess)</t>
        </is>
      </c>
      <c r="W99" s="20" t="inlineStr">
        <is>
          <t>Oral-B</t>
        </is>
      </c>
      <c r="X99" s="20" t="inlineStr">
        <is>
          <t>Oscillo-rotative enfant</t>
        </is>
      </c>
      <c r="Y99" s="20" t="inlineStr">
        <is>
          <t>7 600 oscillations/min</t>
        </is>
      </c>
      <c r="Z99" s="20" t="inlineStr">
        <is>
          <t>1 mode</t>
        </is>
      </c>
      <c r="AA99" s="37" t="inlineStr">
        <is>
          <t>N/D</t>
        </is>
      </c>
      <c r="AB99" s="37" t="inlineStr">
        <is>
          <t>N/D</t>
        </is>
      </c>
      <c r="AC99" s="20" t="inlineStr">
        <is>
          <t>Non</t>
        </is>
      </c>
      <c r="AD99" s="20" t="inlineStr">
        <is>
          <t>2 piles AA</t>
        </is>
      </c>
      <c r="AE99" s="20" t="inlineStr">
        <is>
          <t>Non vérifié sur CI, SN, BF, CM, BJ. Marque Oral-B présente en CI et SN.</t>
        </is>
      </c>
      <c r="AF99" s="20" t="inlineStr">
        <is>
          <t>Amazon, GMS</t>
        </is>
      </c>
      <c r="AG99" s="21" t="inlineStr">
        <is>
          <t>https://www.amazon.com/Oral-B-Pro-Health-Battery-Toothbrush-featuring/dp/B01AKGRSCG</t>
        </is>
      </c>
      <c r="AH99" s="21" t="inlineStr">
        <is>
          <t>https://oralb.com/en-us/products/more-products/kids-products/kids-battery-toothbrush-featuring-disney-princess/</t>
        </is>
      </c>
      <c r="AI99" s="20" t="inlineStr">
        <is>
          <t>Rapprochement sur la cible enfant et l'alimentation à piles. Tête extra-souple, application Disney Magic Timer. Concurrent direct des SEAGO enfant à piles.</t>
        </is>
      </c>
      <c r="AJ99" s="22">
        <f>IFERROR(IF(IF('Relevé prix'!$B$1="SN",VLOOKUP($U99,'Relevé prix'!$A$4:$N$60,11,FALSE),VLOOKUP($U99,'Relevé prix'!$A$4:$N$60,7,FALSE))=0,"",IF('Relevé prix'!$B$1="SN",VLOOKUP($U99,'Relevé prix'!$A$4:$N$60,11,FALSE),VLOOKUP($U99,'Relevé prix'!$A$4:$N$60,7,FALSE))),"")</f>
        <v/>
      </c>
      <c r="AK99" s="23">
        <f>IFERROR(IF(IF('Relevé prix'!$B$1="SN",VLOOKUP($U99,'Relevé prix'!$A$4:$N$60,12,FALSE),VLOOKUP($U99,'Relevé prix'!$A$4:$N$60,8,FALSE))=0,"",IF('Relevé prix'!$B$1="SN",VLOOKUP($U99,'Relevé prix'!$A$4:$N$60,12,FALSE),VLOOKUP($U99,'Relevé prix'!$A$4:$N$60,8,FALSE))),"")</f>
        <v/>
      </c>
      <c r="AL99" s="24" t="n"/>
      <c r="AM99" s="25" t="n"/>
      <c r="AN99" s="25" t="n"/>
      <c r="AO99" s="22">
        <f>IF(OR(AL99="",AJ99=""),"",AL99-AJ99)</f>
        <v/>
      </c>
      <c r="AP99" s="26">
        <f>IF(OR(AL99="",AJ99="",AJ99=0),"",(AL99-AJ99)/AJ99)</f>
        <v/>
      </c>
      <c r="AQ99" s="27">
        <f>IF(AP99="","",IF(AP99&lt;-0.05,"Moins cher",IF(AP99&gt;0.05,"Plus cher","Équivalent")))</f>
        <v/>
      </c>
    </row>
    <row r="100">
      <c r="A100" s="13" t="inlineStr">
        <is>
          <t>SG-2107</t>
        </is>
      </c>
      <c r="B100" s="13" t="inlineStr">
        <is>
          <t>Kids Sonic</t>
        </is>
      </c>
      <c r="C100" s="13" t="inlineStr">
        <is>
          <t>Sonique</t>
        </is>
      </c>
      <c r="D100" s="13" t="inlineStr">
        <is>
          <t>Enfant</t>
        </is>
      </c>
      <c r="E100" s="14" t="n">
        <v>17000</v>
      </c>
      <c r="F100" s="14" t="n">
        <v>17000</v>
      </c>
      <c r="G100" s="38" t="inlineStr">
        <is>
          <t>N/D</t>
        </is>
      </c>
      <c r="H100" s="15" t="n">
        <v>120</v>
      </c>
      <c r="I100" s="38" t="inlineStr">
        <is>
          <t>N/D</t>
        </is>
      </c>
      <c r="J100" s="13" t="inlineStr">
        <is>
          <t>Pile (1x AAA)</t>
        </is>
      </c>
      <c r="K100" s="13" t="inlineStr">
        <is>
          <t>Piles</t>
        </is>
      </c>
      <c r="L100" s="16" t="inlineStr">
        <is>
          <t>N/D</t>
        </is>
      </c>
      <c r="M100" s="13" t="inlineStr">
        <is>
          <t>IPX7</t>
        </is>
      </c>
      <c r="N100" s="13" t="inlineStr">
        <is>
          <t>Non</t>
        </is>
      </c>
      <c r="O100" s="13" t="inlineStr">
        <is>
          <t>LED blanche</t>
        </is>
      </c>
      <c r="P100" s="13" t="inlineStr">
        <is>
          <t>Oui</t>
        </is>
      </c>
      <c r="Q100" s="17" t="n">
        <v>43.5</v>
      </c>
      <c r="R100" s="13" t="inlineStr">
        <is>
          <t>31.4*31*166</t>
        </is>
      </c>
      <c r="S100" s="18" t="inlineStr">
        <is>
          <t>Design renard avec ventouse de maintien, poils souples, LED blanche d'observation</t>
        </is>
      </c>
      <c r="T100" s="19" t="n">
        <v>57</v>
      </c>
      <c r="U100" s="20" t="inlineStr">
        <is>
          <t>OB_KIDS_PILE</t>
        </is>
      </c>
      <c r="V100" s="20" t="inlineStr">
        <is>
          <t>Kids Battery Disney (Frozen / Princess)</t>
        </is>
      </c>
      <c r="W100" s="20" t="inlineStr">
        <is>
          <t>Oral-B</t>
        </is>
      </c>
      <c r="X100" s="20" t="inlineStr">
        <is>
          <t>Oscillo-rotative enfant</t>
        </is>
      </c>
      <c r="Y100" s="20" t="inlineStr">
        <is>
          <t>7 600 oscillations/min</t>
        </is>
      </c>
      <c r="Z100" s="20" t="inlineStr">
        <is>
          <t>1 mode</t>
        </is>
      </c>
      <c r="AA100" s="37" t="inlineStr">
        <is>
          <t>N/D</t>
        </is>
      </c>
      <c r="AB100" s="37" t="inlineStr">
        <is>
          <t>N/D</t>
        </is>
      </c>
      <c r="AC100" s="20" t="inlineStr">
        <is>
          <t>Non</t>
        </is>
      </c>
      <c r="AD100" s="20" t="inlineStr">
        <is>
          <t>2 piles AA</t>
        </is>
      </c>
      <c r="AE100" s="20" t="inlineStr">
        <is>
          <t>Non vérifié sur CI, SN, BF, CM, BJ. Marque Oral-B présente en CI et SN.</t>
        </is>
      </c>
      <c r="AF100" s="20" t="inlineStr">
        <is>
          <t>Amazon, GMS</t>
        </is>
      </c>
      <c r="AG100" s="21" t="inlineStr">
        <is>
          <t>https://www.amazon.com/Oral-B-Pro-Health-Battery-Toothbrush-featuring/dp/B01AKGRSCG</t>
        </is>
      </c>
      <c r="AH100" s="21" t="inlineStr">
        <is>
          <t>https://oralb.com/en-us/products/more-products/kids-products/kids-battery-toothbrush-featuring-disney-princess/</t>
        </is>
      </c>
      <c r="AI100" s="20" t="inlineStr">
        <is>
          <t>Rapprochement sur la cible enfant et l'alimentation à piles. Tête extra-souple, application Disney Magic Timer. Concurrent direct des SEAGO enfant à piles.</t>
        </is>
      </c>
      <c r="AJ100" s="22">
        <f>IFERROR(IF(IF('Relevé prix'!$B$1="SN",VLOOKUP($U100,'Relevé prix'!$A$4:$N$60,11,FALSE),VLOOKUP($U100,'Relevé prix'!$A$4:$N$60,7,FALSE))=0,"",IF('Relevé prix'!$B$1="SN",VLOOKUP($U100,'Relevé prix'!$A$4:$N$60,11,FALSE),VLOOKUP($U100,'Relevé prix'!$A$4:$N$60,7,FALSE))),"")</f>
        <v/>
      </c>
      <c r="AK100" s="23">
        <f>IFERROR(IF(IF('Relevé prix'!$B$1="SN",VLOOKUP($U100,'Relevé prix'!$A$4:$N$60,12,FALSE),VLOOKUP($U100,'Relevé prix'!$A$4:$N$60,8,FALSE))=0,"",IF('Relevé prix'!$B$1="SN",VLOOKUP($U100,'Relevé prix'!$A$4:$N$60,12,FALSE),VLOOKUP($U100,'Relevé prix'!$A$4:$N$60,8,FALSE))),"")</f>
        <v/>
      </c>
      <c r="AL100" s="24" t="n"/>
      <c r="AM100" s="25" t="n"/>
      <c r="AN100" s="25" t="n"/>
      <c r="AO100" s="22">
        <f>IF(OR(AL100="",AJ100=""),"",AL100-AJ100)</f>
        <v/>
      </c>
      <c r="AP100" s="26">
        <f>IF(OR(AL100="",AJ100="",AJ100=0),"",(AL100-AJ100)/AJ100)</f>
        <v/>
      </c>
      <c r="AQ100" s="27">
        <f>IF(AP100="","",IF(AP100&lt;-0.05,"Moins cher",IF(AP100&gt;0.05,"Plus cher","Équivalent")))</f>
        <v/>
      </c>
    </row>
    <row r="101">
      <c r="A101" s="28" t="inlineStr">
        <is>
          <t>SG-921</t>
        </is>
      </c>
      <c r="B101" s="28" t="inlineStr">
        <is>
          <t>Kids Sonic</t>
        </is>
      </c>
      <c r="C101" s="28" t="inlineStr">
        <is>
          <t>Sonique</t>
        </is>
      </c>
      <c r="D101" s="28" t="inlineStr">
        <is>
          <t>Enfant</t>
        </is>
      </c>
      <c r="E101" s="29" t="n">
        <v>22000</v>
      </c>
      <c r="F101" s="29" t="n">
        <v>22000</v>
      </c>
      <c r="G101" s="35" t="inlineStr">
        <is>
          <t>N/D</t>
        </is>
      </c>
      <c r="H101" s="30" t="n">
        <v>60</v>
      </c>
      <c r="I101" s="35" t="inlineStr">
        <is>
          <t>N/D</t>
        </is>
      </c>
      <c r="J101" s="28" t="inlineStr">
        <is>
          <t>Piles (2x AAA)</t>
        </is>
      </c>
      <c r="K101" s="28" t="inlineStr">
        <is>
          <t>Piles</t>
        </is>
      </c>
      <c r="L101" s="34" t="inlineStr">
        <is>
          <t>N/D</t>
        </is>
      </c>
      <c r="M101" s="28" t="inlineStr">
        <is>
          <t>IPX5</t>
        </is>
      </c>
      <c r="N101" s="28" t="inlineStr">
        <is>
          <t>Non</t>
        </is>
      </c>
      <c r="O101" s="28" t="inlineStr">
        <is>
          <t>LED colorée</t>
        </is>
      </c>
      <c r="P101" s="28" t="inlineStr">
        <is>
          <t>Oui</t>
        </is>
      </c>
      <c r="Q101" s="31" t="n">
        <v>54</v>
      </c>
      <c r="R101" s="28" t="inlineStr">
        <is>
          <t>57*57*202</t>
        </is>
      </c>
      <c r="S101" s="32" t="inlineStr">
        <is>
          <t>7 chansons intégrées, forme dauphin, LED blanche d'observation et LED colorées</t>
        </is>
      </c>
      <c r="T101" s="33" t="n">
        <v>57</v>
      </c>
      <c r="U101" s="20" t="inlineStr">
        <is>
          <t>OB_KIDS_PILE</t>
        </is>
      </c>
      <c r="V101" s="20" t="inlineStr">
        <is>
          <t>Kids Battery Disney (Frozen / Princess)</t>
        </is>
      </c>
      <c r="W101" s="20" t="inlineStr">
        <is>
          <t>Oral-B</t>
        </is>
      </c>
      <c r="X101" s="20" t="inlineStr">
        <is>
          <t>Oscillo-rotative enfant</t>
        </is>
      </c>
      <c r="Y101" s="20" t="inlineStr">
        <is>
          <t>7 600 oscillations/min</t>
        </is>
      </c>
      <c r="Z101" s="20" t="inlineStr">
        <is>
          <t>1 mode</t>
        </is>
      </c>
      <c r="AA101" s="37" t="inlineStr">
        <is>
          <t>N/D</t>
        </is>
      </c>
      <c r="AB101" s="37" t="inlineStr">
        <is>
          <t>N/D</t>
        </is>
      </c>
      <c r="AC101" s="20" t="inlineStr">
        <is>
          <t>Non</t>
        </is>
      </c>
      <c r="AD101" s="20" t="inlineStr">
        <is>
          <t>2 piles AA</t>
        </is>
      </c>
      <c r="AE101" s="20" t="inlineStr">
        <is>
          <t>Non vérifié sur CI, SN, BF, CM, BJ. Marque Oral-B présente en CI et SN.</t>
        </is>
      </c>
      <c r="AF101" s="20" t="inlineStr">
        <is>
          <t>Amazon, GMS</t>
        </is>
      </c>
      <c r="AG101" s="21" t="inlineStr">
        <is>
          <t>https://www.amazon.com/Oral-B-Pro-Health-Battery-Toothbrush-featuring/dp/B01AKGRSCG</t>
        </is>
      </c>
      <c r="AH101" s="21" t="inlineStr">
        <is>
          <t>https://oralb.com/en-us/products/more-products/kids-products/kids-battery-toothbrush-featuring-disney-princess/</t>
        </is>
      </c>
      <c r="AI101" s="20" t="inlineStr">
        <is>
          <t>Rapprochement sur la cible enfant et l'alimentation à piles. Tête extra-souple, application Disney Magic Timer. Concurrent direct des SEAGO enfant à piles.</t>
        </is>
      </c>
      <c r="AJ101" s="22">
        <f>IFERROR(IF(IF('Relevé prix'!$B$1="SN",VLOOKUP($U101,'Relevé prix'!$A$4:$N$60,11,FALSE),VLOOKUP($U101,'Relevé prix'!$A$4:$N$60,7,FALSE))=0,"",IF('Relevé prix'!$B$1="SN",VLOOKUP($U101,'Relevé prix'!$A$4:$N$60,11,FALSE),VLOOKUP($U101,'Relevé prix'!$A$4:$N$60,7,FALSE))),"")</f>
        <v/>
      </c>
      <c r="AK101" s="23">
        <f>IFERROR(IF(IF('Relevé prix'!$B$1="SN",VLOOKUP($U101,'Relevé prix'!$A$4:$N$60,12,FALSE),VLOOKUP($U101,'Relevé prix'!$A$4:$N$60,8,FALSE))=0,"",IF('Relevé prix'!$B$1="SN",VLOOKUP($U101,'Relevé prix'!$A$4:$N$60,12,FALSE),VLOOKUP($U101,'Relevé prix'!$A$4:$N$60,8,FALSE))),"")</f>
        <v/>
      </c>
      <c r="AL101" s="24" t="n"/>
      <c r="AM101" s="25" t="n"/>
      <c r="AN101" s="25" t="n"/>
      <c r="AO101" s="22">
        <f>IF(OR(AL101="",AJ101=""),"",AL101-AJ101)</f>
        <v/>
      </c>
      <c r="AP101" s="26">
        <f>IF(OR(AL101="",AJ101="",AJ101=0),"",(AL101-AJ101)/AJ101)</f>
        <v/>
      </c>
      <c r="AQ101" s="27">
        <f>IF(AP101="","",IF(AP101&lt;-0.05,"Moins cher",IF(AP101&gt;0.05,"Plus cher","Équivalent")))</f>
        <v/>
      </c>
    </row>
    <row r="102">
      <c r="A102" s="13" t="inlineStr">
        <is>
          <t>SG-961</t>
        </is>
      </c>
      <c r="B102" s="13" t="inlineStr">
        <is>
          <t>Kids Sonic</t>
        </is>
      </c>
      <c r="C102" s="13" t="inlineStr">
        <is>
          <t>Sonique</t>
        </is>
      </c>
      <c r="D102" s="13" t="inlineStr">
        <is>
          <t>Enfant</t>
        </is>
      </c>
      <c r="E102" s="14" t="n">
        <v>24000</v>
      </c>
      <c r="F102" s="14" t="n">
        <v>24000</v>
      </c>
      <c r="G102" s="38" t="inlineStr">
        <is>
          <t>N/D</t>
        </is>
      </c>
      <c r="H102" s="15" t="n">
        <v>210</v>
      </c>
      <c r="I102" s="38" t="inlineStr">
        <is>
          <t>N/D</t>
        </is>
      </c>
      <c r="J102" s="13" t="inlineStr">
        <is>
          <t>Pile (1x AA)</t>
        </is>
      </c>
      <c r="K102" s="13" t="inlineStr">
        <is>
          <t>Piles</t>
        </is>
      </c>
      <c r="L102" s="16" t="inlineStr">
        <is>
          <t>N/D</t>
        </is>
      </c>
      <c r="M102" s="13" t="inlineStr">
        <is>
          <t>IPX7</t>
        </is>
      </c>
      <c r="N102" s="13" t="inlineStr">
        <is>
          <t>Non</t>
        </is>
      </c>
      <c r="O102" s="13" t="inlineStr">
        <is>
          <t>Aucun</t>
        </is>
      </c>
      <c r="P102" s="13" t="inlineStr">
        <is>
          <t>Non</t>
        </is>
      </c>
      <c r="Q102" s="17" t="n">
        <v>36</v>
      </c>
      <c r="R102" s="13" t="inlineStr">
        <is>
          <t>26*26*211</t>
        </is>
      </c>
      <c r="S102" s="18" t="inlineStr">
        <is>
          <t>Design ergonomique antidérapant, longue autonomie à prix contenu, poils souples</t>
        </is>
      </c>
      <c r="T102" s="19" t="n">
        <v>58</v>
      </c>
      <c r="U102" s="20" t="inlineStr">
        <is>
          <t>OB_KIDS_PILE</t>
        </is>
      </c>
      <c r="V102" s="20" t="inlineStr">
        <is>
          <t>Kids Battery Disney (Frozen / Princess)</t>
        </is>
      </c>
      <c r="W102" s="20" t="inlineStr">
        <is>
          <t>Oral-B</t>
        </is>
      </c>
      <c r="X102" s="20" t="inlineStr">
        <is>
          <t>Oscillo-rotative enfant</t>
        </is>
      </c>
      <c r="Y102" s="20" t="inlineStr">
        <is>
          <t>7 600 oscillations/min</t>
        </is>
      </c>
      <c r="Z102" s="20" t="inlineStr">
        <is>
          <t>1 mode</t>
        </is>
      </c>
      <c r="AA102" s="37" t="inlineStr">
        <is>
          <t>N/D</t>
        </is>
      </c>
      <c r="AB102" s="37" t="inlineStr">
        <is>
          <t>N/D</t>
        </is>
      </c>
      <c r="AC102" s="20" t="inlineStr">
        <is>
          <t>Non</t>
        </is>
      </c>
      <c r="AD102" s="20" t="inlineStr">
        <is>
          <t>2 piles AA</t>
        </is>
      </c>
      <c r="AE102" s="20" t="inlineStr">
        <is>
          <t>Non vérifié sur CI, SN, BF, CM, BJ. Marque Oral-B présente en CI et SN.</t>
        </is>
      </c>
      <c r="AF102" s="20" t="inlineStr">
        <is>
          <t>Amazon, GMS</t>
        </is>
      </c>
      <c r="AG102" s="21" t="inlineStr">
        <is>
          <t>https://www.amazon.com/Oral-B-Pro-Health-Battery-Toothbrush-featuring/dp/B01AKGRSCG</t>
        </is>
      </c>
      <c r="AH102" s="21" t="inlineStr">
        <is>
          <t>https://oralb.com/en-us/products/more-products/kids-products/kids-battery-toothbrush-featuring-disney-princess/</t>
        </is>
      </c>
      <c r="AI102" s="20" t="inlineStr">
        <is>
          <t>Rapprochement sur la cible enfant et l'alimentation à piles. Tête extra-souple, application Disney Magic Timer. Concurrent direct des SEAGO enfant à piles.</t>
        </is>
      </c>
      <c r="AJ102" s="22">
        <f>IFERROR(IF(IF('Relevé prix'!$B$1="SN",VLOOKUP($U102,'Relevé prix'!$A$4:$N$60,11,FALSE),VLOOKUP($U102,'Relevé prix'!$A$4:$N$60,7,FALSE))=0,"",IF('Relevé prix'!$B$1="SN",VLOOKUP($U102,'Relevé prix'!$A$4:$N$60,11,FALSE),VLOOKUP($U102,'Relevé prix'!$A$4:$N$60,7,FALSE))),"")</f>
        <v/>
      </c>
      <c r="AK102" s="23">
        <f>IFERROR(IF(IF('Relevé prix'!$B$1="SN",VLOOKUP($U102,'Relevé prix'!$A$4:$N$60,12,FALSE),VLOOKUP($U102,'Relevé prix'!$A$4:$N$60,8,FALSE))=0,"",IF('Relevé prix'!$B$1="SN",VLOOKUP($U102,'Relevé prix'!$A$4:$N$60,12,FALSE),VLOOKUP($U102,'Relevé prix'!$A$4:$N$60,8,FALSE))),"")</f>
        <v/>
      </c>
      <c r="AL102" s="24" t="n"/>
      <c r="AM102" s="25" t="n"/>
      <c r="AN102" s="25" t="n"/>
      <c r="AO102" s="22">
        <f>IF(OR(AL102="",AJ102=""),"",AL102-AJ102)</f>
        <v/>
      </c>
      <c r="AP102" s="26">
        <f>IF(OR(AL102="",AJ102="",AJ102=0),"",(AL102-AJ102)/AJ102)</f>
        <v/>
      </c>
      <c r="AQ102" s="27">
        <f>IF(AP102="","",IF(AP102&lt;-0.05,"Moins cher",IF(AP102&gt;0.05,"Plus cher","Équivalent")))</f>
        <v/>
      </c>
    </row>
    <row r="103">
      <c r="A103" s="28" t="inlineStr">
        <is>
          <t>SG-919</t>
        </is>
      </c>
      <c r="B103" s="28" t="inlineStr">
        <is>
          <t>Kids Sonic</t>
        </is>
      </c>
      <c r="C103" s="28" t="inlineStr">
        <is>
          <t>Sonique</t>
        </is>
      </c>
      <c r="D103" s="28" t="inlineStr">
        <is>
          <t>Enfant</t>
        </is>
      </c>
      <c r="E103" s="29" t="n">
        <v>18000</v>
      </c>
      <c r="F103" s="29" t="n">
        <v>18000</v>
      </c>
      <c r="G103" s="35" t="inlineStr">
        <is>
          <t>N/D</t>
        </is>
      </c>
      <c r="H103" s="30" t="n">
        <v>60</v>
      </c>
      <c r="I103" s="35" t="inlineStr">
        <is>
          <t>N/D</t>
        </is>
      </c>
      <c r="J103" s="28" t="inlineStr">
        <is>
          <t>Pile (1x AA)</t>
        </is>
      </c>
      <c r="K103" s="28" t="inlineStr">
        <is>
          <t>Piles</t>
        </is>
      </c>
      <c r="L103" s="34" t="inlineStr">
        <is>
          <t>N/D</t>
        </is>
      </c>
      <c r="M103" s="28" t="inlineStr">
        <is>
          <t>IPX6</t>
        </is>
      </c>
      <c r="N103" s="28" t="inlineStr">
        <is>
          <t>Non</t>
        </is>
      </c>
      <c r="O103" s="28" t="inlineStr">
        <is>
          <t>Aucun</t>
        </is>
      </c>
      <c r="P103" s="28" t="inlineStr">
        <is>
          <t>Non</t>
        </is>
      </c>
      <c r="Q103" s="31" t="n">
        <v>52</v>
      </c>
      <c r="R103" s="28" t="inlineStr">
        <is>
          <t>29*28*190</t>
        </is>
      </c>
      <c r="S103" s="32" t="inlineStr">
        <is>
          <t>Motifs par transfert thermique, poils souples</t>
        </is>
      </c>
      <c r="T103" s="33" t="n">
        <v>58</v>
      </c>
      <c r="U103" s="20" t="inlineStr">
        <is>
          <t>OB_KIDS_PILE</t>
        </is>
      </c>
      <c r="V103" s="20" t="inlineStr">
        <is>
          <t>Kids Battery Disney (Frozen / Princess)</t>
        </is>
      </c>
      <c r="W103" s="20" t="inlineStr">
        <is>
          <t>Oral-B</t>
        </is>
      </c>
      <c r="X103" s="20" t="inlineStr">
        <is>
          <t>Oscillo-rotative enfant</t>
        </is>
      </c>
      <c r="Y103" s="20" t="inlineStr">
        <is>
          <t>7 600 oscillations/min</t>
        </is>
      </c>
      <c r="Z103" s="20" t="inlineStr">
        <is>
          <t>1 mode</t>
        </is>
      </c>
      <c r="AA103" s="37" t="inlineStr">
        <is>
          <t>N/D</t>
        </is>
      </c>
      <c r="AB103" s="37" t="inlineStr">
        <is>
          <t>N/D</t>
        </is>
      </c>
      <c r="AC103" s="20" t="inlineStr">
        <is>
          <t>Non</t>
        </is>
      </c>
      <c r="AD103" s="20" t="inlineStr">
        <is>
          <t>2 piles AA</t>
        </is>
      </c>
      <c r="AE103" s="20" t="inlineStr">
        <is>
          <t>Non vérifié sur CI, SN, BF, CM, BJ. Marque Oral-B présente en CI et SN.</t>
        </is>
      </c>
      <c r="AF103" s="20" t="inlineStr">
        <is>
          <t>Amazon, GMS</t>
        </is>
      </c>
      <c r="AG103" s="21" t="inlineStr">
        <is>
          <t>https://www.amazon.com/Oral-B-Pro-Health-Battery-Toothbrush-featuring/dp/B01AKGRSCG</t>
        </is>
      </c>
      <c r="AH103" s="21" t="inlineStr">
        <is>
          <t>https://oralb.com/en-us/products/more-products/kids-products/kids-battery-toothbrush-featuring-disney-princess/</t>
        </is>
      </c>
      <c r="AI103" s="20" t="inlineStr">
        <is>
          <t>Rapprochement sur la cible enfant et l'alimentation à piles. Tête extra-souple, application Disney Magic Timer. Concurrent direct des SEAGO enfant à piles.</t>
        </is>
      </c>
      <c r="AJ103" s="22">
        <f>IFERROR(IF(IF('Relevé prix'!$B$1="SN",VLOOKUP($U103,'Relevé prix'!$A$4:$N$60,11,FALSE),VLOOKUP($U103,'Relevé prix'!$A$4:$N$60,7,FALSE))=0,"",IF('Relevé prix'!$B$1="SN",VLOOKUP($U103,'Relevé prix'!$A$4:$N$60,11,FALSE),VLOOKUP($U103,'Relevé prix'!$A$4:$N$60,7,FALSE))),"")</f>
        <v/>
      </c>
      <c r="AK103" s="23">
        <f>IFERROR(IF(IF('Relevé prix'!$B$1="SN",VLOOKUP($U103,'Relevé prix'!$A$4:$N$60,12,FALSE),VLOOKUP($U103,'Relevé prix'!$A$4:$N$60,8,FALSE))=0,"",IF('Relevé prix'!$B$1="SN",VLOOKUP($U103,'Relevé prix'!$A$4:$N$60,12,FALSE),VLOOKUP($U103,'Relevé prix'!$A$4:$N$60,8,FALSE))),"")</f>
        <v/>
      </c>
      <c r="AL103" s="24" t="n"/>
      <c r="AM103" s="25" t="n"/>
      <c r="AN103" s="25" t="n"/>
      <c r="AO103" s="22">
        <f>IF(OR(AL103="",AJ103=""),"",AL103-AJ103)</f>
        <v/>
      </c>
      <c r="AP103" s="26">
        <f>IF(OR(AL103="",AJ103="",AJ103=0),"",(AL103-AJ103)/AJ103)</f>
        <v/>
      </c>
      <c r="AQ103" s="27">
        <f>IF(AP103="","",IF(AP103&lt;-0.05,"Moins cher",IF(AP103&gt;0.05,"Plus cher","Équivalent")))</f>
        <v/>
      </c>
    </row>
    <row r="104">
      <c r="A104" s="13" t="inlineStr">
        <is>
          <t>SG-2001</t>
        </is>
      </c>
      <c r="B104" s="13" t="inlineStr">
        <is>
          <t>Kids Sonic</t>
        </is>
      </c>
      <c r="C104" s="13" t="inlineStr">
        <is>
          <t>Sonique</t>
        </is>
      </c>
      <c r="D104" s="13" t="inlineStr">
        <is>
          <t>Enfant</t>
        </is>
      </c>
      <c r="E104" s="14" t="n">
        <v>38000</v>
      </c>
      <c r="F104" s="14" t="n">
        <v>38000</v>
      </c>
      <c r="G104" s="15" t="n">
        <v>3</v>
      </c>
      <c r="H104" s="15" t="n">
        <v>21</v>
      </c>
      <c r="I104" s="15" t="n">
        <v>600</v>
      </c>
      <c r="J104" s="13" t="inlineStr">
        <is>
          <t>Batterie Ni-MH rechargeable</t>
        </is>
      </c>
      <c r="K104" s="13" t="inlineStr">
        <is>
          <t>USB</t>
        </is>
      </c>
      <c r="L104" s="16" t="inlineStr">
        <is>
          <t>N/D</t>
        </is>
      </c>
      <c r="M104" s="13" t="inlineStr">
        <is>
          <t>IPX7</t>
        </is>
      </c>
      <c r="N104" s="13" t="inlineStr">
        <is>
          <t>Non</t>
        </is>
      </c>
      <c r="O104" s="13" t="inlineStr">
        <is>
          <t>Aucun</t>
        </is>
      </c>
      <c r="P104" s="13" t="inlineStr">
        <is>
          <t>Oui</t>
        </is>
      </c>
      <c r="Q104" s="17" t="n">
        <v>73</v>
      </c>
      <c r="R104" s="13" t="inlineStr">
        <is>
          <t>20.4*19.4*193.3</t>
        </is>
      </c>
      <c r="S104" s="18" t="inlineStr">
        <is>
          <t>Motifs par transfert thermique, format voyage, mémoire intelligente</t>
        </is>
      </c>
      <c r="T104" s="19" t="n">
        <v>59</v>
      </c>
      <c r="U104" s="20" t="inlineStr">
        <is>
          <t>SONICARE_KIDS</t>
        </is>
      </c>
      <c r="V104" s="20" t="inlineStr">
        <is>
          <t>Sonicare For Kids HX6321/02</t>
        </is>
      </c>
      <c r="W104" s="20" t="inlineStr">
        <is>
          <t>Philips</t>
        </is>
      </c>
      <c r="X104" s="20" t="inlineStr">
        <is>
          <t>Sonique enfant</t>
        </is>
      </c>
      <c r="Y104" s="20" t="inlineStr">
        <is>
          <t>62 000 mouvements/min</t>
        </is>
      </c>
      <c r="Z104" s="20" t="inlineStr">
        <is>
          <t>2 modes</t>
        </is>
      </c>
      <c r="AA104" s="20" t="n">
        <v>21</v>
      </c>
      <c r="AB104" s="37" t="inlineStr">
        <is>
          <t>N/D</t>
        </is>
      </c>
      <c r="AC104" s="20" t="inlineStr">
        <is>
          <t>Non</t>
        </is>
      </c>
      <c r="AD104" s="20" t="inlineStr">
        <is>
          <t>Socle inductif</t>
        </is>
      </c>
      <c r="AE104" s="20" t="inlineStr">
        <is>
          <t>Non vérifié sur CI, SN, BF, CM, BJ. Présence confirmée aux EAU (Noon).</t>
        </is>
      </c>
      <c r="AF104" s="20" t="inlineStr">
        <is>
          <t>Noon UAE, pharmacies</t>
        </is>
      </c>
      <c r="AG104" s="21" t="inlineStr">
        <is>
          <t>https://www.usa.philips.com/c-p/HX6321_02/sonicare-for-kids-sonic-electric-toothbrush</t>
        </is>
      </c>
      <c r="AH104" s="21" t="inlineStr">
        <is>
          <t>https://www.philips.com/c-dam/b2c/category-pages/personal-care/POHC/resource-library-docs/HX6321-03%20LEAFLET-Sonicare-%20For-Kids-%20Connected-Electric-Toothbrush.pdf</t>
        </is>
      </c>
      <c r="AI104" s="20" t="inlineStr">
        <is>
          <t>Rapprochement sur la cible enfant et la technologie sonique rechargeable. Connectivité Bluetooth et application de coaching enfant. Indicateur de batterie.</t>
        </is>
      </c>
      <c r="AJ104" s="22">
        <f>IFERROR(IF(IF('Relevé prix'!$B$1="SN",VLOOKUP($U104,'Relevé prix'!$A$4:$N$60,11,FALSE),VLOOKUP($U104,'Relevé prix'!$A$4:$N$60,7,FALSE))=0,"",IF('Relevé prix'!$B$1="SN",VLOOKUP($U104,'Relevé prix'!$A$4:$N$60,11,FALSE),VLOOKUP($U104,'Relevé prix'!$A$4:$N$60,7,FALSE))),"")</f>
        <v/>
      </c>
      <c r="AK104" s="23">
        <f>IFERROR(IF(IF('Relevé prix'!$B$1="SN",VLOOKUP($U104,'Relevé prix'!$A$4:$N$60,12,FALSE),VLOOKUP($U104,'Relevé prix'!$A$4:$N$60,8,FALSE))=0,"",IF('Relevé prix'!$B$1="SN",VLOOKUP($U104,'Relevé prix'!$A$4:$N$60,12,FALSE),VLOOKUP($U104,'Relevé prix'!$A$4:$N$60,8,FALSE))),"")</f>
        <v/>
      </c>
      <c r="AL104" s="24" t="n"/>
      <c r="AM104" s="25" t="n"/>
      <c r="AN104" s="25" t="n"/>
      <c r="AO104" s="22">
        <f>IF(OR(AL104="",AJ104=""),"",AL104-AJ104)</f>
        <v/>
      </c>
      <c r="AP104" s="26">
        <f>IF(OR(AL104="",AJ104="",AJ104=0),"",(AL104-AJ104)/AJ104)</f>
        <v/>
      </c>
      <c r="AQ104" s="27">
        <f>IF(AP104="","",IF(AP104&lt;-0.05,"Moins cher",IF(AP104&gt;0.05,"Plus cher","Équivalent")))</f>
        <v/>
      </c>
    </row>
    <row r="105">
      <c r="A105" s="28" t="inlineStr">
        <is>
          <t>SG-2008</t>
        </is>
      </c>
      <c r="B105" s="28" t="inlineStr">
        <is>
          <t>Kids Sonic</t>
        </is>
      </c>
      <c r="C105" s="28" t="inlineStr">
        <is>
          <t>Sonique</t>
        </is>
      </c>
      <c r="D105" s="28" t="inlineStr">
        <is>
          <t>Enfant</t>
        </is>
      </c>
      <c r="E105" s="29" t="n">
        <v>35000</v>
      </c>
      <c r="F105" s="29" t="n">
        <v>35000</v>
      </c>
      <c r="G105" s="30" t="n">
        <v>3</v>
      </c>
      <c r="H105" s="30" t="n">
        <v>25</v>
      </c>
      <c r="I105" s="30" t="n">
        <v>260</v>
      </c>
      <c r="J105" s="28" t="inlineStr">
        <is>
          <t>Batterie Li-ion rechargeable</t>
        </is>
      </c>
      <c r="K105" s="28" t="inlineStr">
        <is>
          <t>USB</t>
        </is>
      </c>
      <c r="L105" s="34" t="inlineStr">
        <is>
          <t>N/D</t>
        </is>
      </c>
      <c r="M105" s="28" t="inlineStr">
        <is>
          <t>IPX7</t>
        </is>
      </c>
      <c r="N105" s="28" t="inlineStr">
        <is>
          <t>Non</t>
        </is>
      </c>
      <c r="O105" s="28" t="inlineStr">
        <is>
          <t>LED colorée</t>
        </is>
      </c>
      <c r="P105" s="28" t="inlineStr">
        <is>
          <t>Oui</t>
        </is>
      </c>
      <c r="Q105" s="31" t="n">
        <v>64</v>
      </c>
      <c r="R105" s="28" t="inlineStr">
        <is>
          <t>37.6*33.1*183.7</t>
        </is>
      </c>
      <c r="S105" s="32" t="inlineStr">
        <is>
          <t>Habillage silicone alimentaire personnalisable, éclairage LED et design animalier</t>
        </is>
      </c>
      <c r="T105" s="33" t="n">
        <v>59</v>
      </c>
      <c r="U105" s="20" t="inlineStr">
        <is>
          <t>SONICARE_KIDS</t>
        </is>
      </c>
      <c r="V105" s="20" t="inlineStr">
        <is>
          <t>Sonicare For Kids HX6321/02</t>
        </is>
      </c>
      <c r="W105" s="20" t="inlineStr">
        <is>
          <t>Philips</t>
        </is>
      </c>
      <c r="X105" s="20" t="inlineStr">
        <is>
          <t>Sonique enfant</t>
        </is>
      </c>
      <c r="Y105" s="20" t="inlineStr">
        <is>
          <t>62 000 mouvements/min</t>
        </is>
      </c>
      <c r="Z105" s="20" t="inlineStr">
        <is>
          <t>2 modes</t>
        </is>
      </c>
      <c r="AA105" s="20" t="n">
        <v>21</v>
      </c>
      <c r="AB105" s="37" t="inlineStr">
        <is>
          <t>N/D</t>
        </is>
      </c>
      <c r="AC105" s="20" t="inlineStr">
        <is>
          <t>Non</t>
        </is>
      </c>
      <c r="AD105" s="20" t="inlineStr">
        <is>
          <t>Socle inductif</t>
        </is>
      </c>
      <c r="AE105" s="20" t="inlineStr">
        <is>
          <t>Non vérifié sur CI, SN, BF, CM, BJ. Présence confirmée aux EAU (Noon).</t>
        </is>
      </c>
      <c r="AF105" s="20" t="inlineStr">
        <is>
          <t>Noon UAE, pharmacies</t>
        </is>
      </c>
      <c r="AG105" s="21" t="inlineStr">
        <is>
          <t>https://www.usa.philips.com/c-p/HX6321_02/sonicare-for-kids-sonic-electric-toothbrush</t>
        </is>
      </c>
      <c r="AH105" s="21" t="inlineStr">
        <is>
          <t>https://www.philips.com/c-dam/b2c/category-pages/personal-care/POHC/resource-library-docs/HX6321-03%20LEAFLET-Sonicare-%20For-Kids-%20Connected-Electric-Toothbrush.pdf</t>
        </is>
      </c>
      <c r="AI105" s="20" t="inlineStr">
        <is>
          <t>Rapprochement sur la cible enfant et la technologie sonique rechargeable. Connectivité Bluetooth et application de coaching enfant. Indicateur de batterie.</t>
        </is>
      </c>
      <c r="AJ105" s="22">
        <f>IFERROR(IF(IF('Relevé prix'!$B$1="SN",VLOOKUP($U105,'Relevé prix'!$A$4:$N$60,11,FALSE),VLOOKUP($U105,'Relevé prix'!$A$4:$N$60,7,FALSE))=0,"",IF('Relevé prix'!$B$1="SN",VLOOKUP($U105,'Relevé prix'!$A$4:$N$60,11,FALSE),VLOOKUP($U105,'Relevé prix'!$A$4:$N$60,7,FALSE))),"")</f>
        <v/>
      </c>
      <c r="AK105" s="23">
        <f>IFERROR(IF(IF('Relevé prix'!$B$1="SN",VLOOKUP($U105,'Relevé prix'!$A$4:$N$60,12,FALSE),VLOOKUP($U105,'Relevé prix'!$A$4:$N$60,8,FALSE))=0,"",IF('Relevé prix'!$B$1="SN",VLOOKUP($U105,'Relevé prix'!$A$4:$N$60,12,FALSE),VLOOKUP($U105,'Relevé prix'!$A$4:$N$60,8,FALSE))),"")</f>
        <v/>
      </c>
      <c r="AL105" s="24" t="n"/>
      <c r="AM105" s="25" t="n"/>
      <c r="AN105" s="25" t="n"/>
      <c r="AO105" s="22">
        <f>IF(OR(AL105="",AJ105=""),"",AL105-AJ105)</f>
        <v/>
      </c>
      <c r="AP105" s="26">
        <f>IF(OR(AL105="",AJ105="",AJ105=0),"",(AL105-AJ105)/AJ105)</f>
        <v/>
      </c>
      <c r="AQ105" s="27">
        <f>IF(AP105="","",IF(AP105&lt;-0.05,"Moins cher",IF(AP105&gt;0.05,"Plus cher","Équivalent")))</f>
        <v/>
      </c>
    </row>
    <row r="106">
      <c r="A106" s="13" t="inlineStr">
        <is>
          <t>SG-567</t>
        </is>
      </c>
      <c r="B106" s="13" t="inlineStr">
        <is>
          <t>Kids Sonic</t>
        </is>
      </c>
      <c r="C106" s="13" t="inlineStr">
        <is>
          <t>Sonique</t>
        </is>
      </c>
      <c r="D106" s="13" t="inlineStr">
        <is>
          <t>Enfant</t>
        </is>
      </c>
      <c r="E106" s="14" t="n">
        <v>31000</v>
      </c>
      <c r="F106" s="14" t="n">
        <v>31000</v>
      </c>
      <c r="G106" s="15" t="n">
        <v>2</v>
      </c>
      <c r="H106" s="38" t="inlineStr">
        <is>
          <t>N/D</t>
        </is>
      </c>
      <c r="I106" s="15" t="n">
        <v>600</v>
      </c>
      <c r="J106" s="13" t="inlineStr">
        <is>
          <t>Batterie Li-ion rechargeable</t>
        </is>
      </c>
      <c r="K106" s="13" t="inlineStr">
        <is>
          <t>USB</t>
        </is>
      </c>
      <c r="L106" s="16" t="inlineStr">
        <is>
          <t>N/D</t>
        </is>
      </c>
      <c r="M106" s="13" t="inlineStr">
        <is>
          <t>IPX7</t>
        </is>
      </c>
      <c r="N106" s="13" t="inlineStr">
        <is>
          <t>Non</t>
        </is>
      </c>
      <c r="O106" s="13" t="inlineStr">
        <is>
          <t>Aucun</t>
        </is>
      </c>
      <c r="P106" s="13" t="inlineStr">
        <is>
          <t>Oui</t>
        </is>
      </c>
      <c r="Q106" s="17" t="n">
        <v>82.2</v>
      </c>
      <c r="R106" s="13" t="inlineStr">
        <is>
          <t>25*23*225</t>
        </is>
      </c>
      <c r="S106" s="18" t="inlineStr">
        <is>
          <t>Moteur à lévitation magnétique amplitude 6 mm, motifs par transfert thermique</t>
        </is>
      </c>
      <c r="T106" s="19" t="n">
        <v>60</v>
      </c>
      <c r="U106" s="20" t="inlineStr">
        <is>
          <t>SONICARE_KIDS</t>
        </is>
      </c>
      <c r="V106" s="20" t="inlineStr">
        <is>
          <t>Sonicare For Kids HX6321/02</t>
        </is>
      </c>
      <c r="W106" s="20" t="inlineStr">
        <is>
          <t>Philips</t>
        </is>
      </c>
      <c r="X106" s="20" t="inlineStr">
        <is>
          <t>Sonique enfant</t>
        </is>
      </c>
      <c r="Y106" s="20" t="inlineStr">
        <is>
          <t>62 000 mouvements/min</t>
        </is>
      </c>
      <c r="Z106" s="20" t="inlineStr">
        <is>
          <t>2 modes</t>
        </is>
      </c>
      <c r="AA106" s="20" t="n">
        <v>21</v>
      </c>
      <c r="AB106" s="37" t="inlineStr">
        <is>
          <t>N/D</t>
        </is>
      </c>
      <c r="AC106" s="20" t="inlineStr">
        <is>
          <t>Non</t>
        </is>
      </c>
      <c r="AD106" s="20" t="inlineStr">
        <is>
          <t>Socle inductif</t>
        </is>
      </c>
      <c r="AE106" s="20" t="inlineStr">
        <is>
          <t>Non vérifié sur CI, SN, BF, CM, BJ. Présence confirmée aux EAU (Noon).</t>
        </is>
      </c>
      <c r="AF106" s="20" t="inlineStr">
        <is>
          <t>Noon UAE, pharmacies</t>
        </is>
      </c>
      <c r="AG106" s="21" t="inlineStr">
        <is>
          <t>https://www.usa.philips.com/c-p/HX6321_02/sonicare-for-kids-sonic-electric-toothbrush</t>
        </is>
      </c>
      <c r="AH106" s="21" t="inlineStr">
        <is>
          <t>https://www.philips.com/c-dam/b2c/category-pages/personal-care/POHC/resource-library-docs/HX6321-03%20LEAFLET-Sonicare-%20For-Kids-%20Connected-Electric-Toothbrush.pdf</t>
        </is>
      </c>
      <c r="AI106" s="20" t="inlineStr">
        <is>
          <t>Rapprochement sur la cible enfant et la technologie sonique rechargeable. Connectivité Bluetooth et application de coaching enfant. Indicateur de batterie.</t>
        </is>
      </c>
      <c r="AJ106" s="22">
        <f>IFERROR(IF(IF('Relevé prix'!$B$1="SN",VLOOKUP($U106,'Relevé prix'!$A$4:$N$60,11,FALSE),VLOOKUP($U106,'Relevé prix'!$A$4:$N$60,7,FALSE))=0,"",IF('Relevé prix'!$B$1="SN",VLOOKUP($U106,'Relevé prix'!$A$4:$N$60,11,FALSE),VLOOKUP($U106,'Relevé prix'!$A$4:$N$60,7,FALSE))),"")</f>
        <v/>
      </c>
      <c r="AK106" s="23">
        <f>IFERROR(IF(IF('Relevé prix'!$B$1="SN",VLOOKUP($U106,'Relevé prix'!$A$4:$N$60,12,FALSE),VLOOKUP($U106,'Relevé prix'!$A$4:$N$60,8,FALSE))=0,"",IF('Relevé prix'!$B$1="SN",VLOOKUP($U106,'Relevé prix'!$A$4:$N$60,12,FALSE),VLOOKUP($U106,'Relevé prix'!$A$4:$N$60,8,FALSE))),"")</f>
        <v/>
      </c>
      <c r="AL106" s="24" t="n"/>
      <c r="AM106" s="25" t="n"/>
      <c r="AN106" s="25" t="n"/>
      <c r="AO106" s="22">
        <f>IF(OR(AL106="",AJ106=""),"",AL106-AJ106)</f>
        <v/>
      </c>
      <c r="AP106" s="26">
        <f>IF(OR(AL106="",AJ106="",AJ106=0),"",(AL106-AJ106)/AJ106)</f>
        <v/>
      </c>
      <c r="AQ106" s="27">
        <f>IF(AP106="","",IF(AP106&lt;-0.05,"Moins cher",IF(AP106&gt;0.05,"Plus cher","Équivalent")))</f>
        <v/>
      </c>
    </row>
    <row r="107">
      <c r="A107" s="28" t="inlineStr">
        <is>
          <t>SG-2711</t>
        </is>
      </c>
      <c r="B107" s="28" t="inlineStr">
        <is>
          <t>Kids Sonic</t>
        </is>
      </c>
      <c r="C107" s="28" t="inlineStr">
        <is>
          <t>Sonique</t>
        </is>
      </c>
      <c r="D107" s="28" t="inlineStr">
        <is>
          <t>Enfant</t>
        </is>
      </c>
      <c r="E107" s="29" t="n">
        <v>31000</v>
      </c>
      <c r="F107" s="29" t="n">
        <v>31000</v>
      </c>
      <c r="G107" s="30" t="n">
        <v>2</v>
      </c>
      <c r="H107" s="35" t="inlineStr">
        <is>
          <t>N/D</t>
        </is>
      </c>
      <c r="I107" s="30" t="n">
        <v>600</v>
      </c>
      <c r="J107" s="28" t="inlineStr">
        <is>
          <t>Batterie Li-ion rechargeable</t>
        </is>
      </c>
      <c r="K107" s="28" t="inlineStr">
        <is>
          <t>USB</t>
        </is>
      </c>
      <c r="L107" s="34" t="inlineStr">
        <is>
          <t>N/D</t>
        </is>
      </c>
      <c r="M107" s="28" t="inlineStr">
        <is>
          <t>IPX7</t>
        </is>
      </c>
      <c r="N107" s="28" t="inlineStr">
        <is>
          <t>Non</t>
        </is>
      </c>
      <c r="O107" s="28" t="inlineStr">
        <is>
          <t>Aucun</t>
        </is>
      </c>
      <c r="P107" s="28" t="inlineStr">
        <is>
          <t>Oui</t>
        </is>
      </c>
      <c r="Q107" s="31" t="n">
        <v>82.2</v>
      </c>
      <c r="R107" s="28" t="inlineStr">
        <is>
          <t>25*23*225</t>
        </is>
      </c>
      <c r="S107" s="32" t="inlineStr">
        <is>
          <t>Connectivité Bluetooth / WiFi avec pilotage par application, moteur à lévitation magnétique amplitude 6 mm, motifs par transfert thermique</t>
        </is>
      </c>
      <c r="T107" s="33" t="n">
        <v>60</v>
      </c>
      <c r="U107" s="20" t="inlineStr">
        <is>
          <t>SONICARE_KIDS</t>
        </is>
      </c>
      <c r="V107" s="20" t="inlineStr">
        <is>
          <t>Sonicare For Kids HX6321/02</t>
        </is>
      </c>
      <c r="W107" s="20" t="inlineStr">
        <is>
          <t>Philips</t>
        </is>
      </c>
      <c r="X107" s="20" t="inlineStr">
        <is>
          <t>Sonique enfant</t>
        </is>
      </c>
      <c r="Y107" s="20" t="inlineStr">
        <is>
          <t>62 000 mouvements/min</t>
        </is>
      </c>
      <c r="Z107" s="20" t="inlineStr">
        <is>
          <t>2 modes</t>
        </is>
      </c>
      <c r="AA107" s="20" t="n">
        <v>21</v>
      </c>
      <c r="AB107" s="37" t="inlineStr">
        <is>
          <t>N/D</t>
        </is>
      </c>
      <c r="AC107" s="20" t="inlineStr">
        <is>
          <t>Non</t>
        </is>
      </c>
      <c r="AD107" s="20" t="inlineStr">
        <is>
          <t>Socle inductif</t>
        </is>
      </c>
      <c r="AE107" s="20" t="inlineStr">
        <is>
          <t>Non vérifié sur CI, SN, BF, CM, BJ. Présence confirmée aux EAU (Noon).</t>
        </is>
      </c>
      <c r="AF107" s="20" t="inlineStr">
        <is>
          <t>Noon UAE, pharmacies</t>
        </is>
      </c>
      <c r="AG107" s="21" t="inlineStr">
        <is>
          <t>https://www.usa.philips.com/c-p/HX6321_02/sonicare-for-kids-sonic-electric-toothbrush</t>
        </is>
      </c>
      <c r="AH107" s="21" t="inlineStr">
        <is>
          <t>https://www.philips.com/c-dam/b2c/category-pages/personal-care/POHC/resource-library-docs/HX6321-03%20LEAFLET-Sonicare-%20For-Kids-%20Connected-Electric-Toothbrush.pdf</t>
        </is>
      </c>
      <c r="AI107" s="20" t="inlineStr">
        <is>
          <t>Rapprochement sur la cible enfant et la technologie sonique rechargeable. Connectivité Bluetooth et application de coaching enfant. Indicateur de batterie.</t>
        </is>
      </c>
      <c r="AJ107" s="22">
        <f>IFERROR(IF(IF('Relevé prix'!$B$1="SN",VLOOKUP($U107,'Relevé prix'!$A$4:$N$60,11,FALSE),VLOOKUP($U107,'Relevé prix'!$A$4:$N$60,7,FALSE))=0,"",IF('Relevé prix'!$B$1="SN",VLOOKUP($U107,'Relevé prix'!$A$4:$N$60,11,FALSE),VLOOKUP($U107,'Relevé prix'!$A$4:$N$60,7,FALSE))),"")</f>
        <v/>
      </c>
      <c r="AK107" s="23">
        <f>IFERROR(IF(IF('Relevé prix'!$B$1="SN",VLOOKUP($U107,'Relevé prix'!$A$4:$N$60,12,FALSE),VLOOKUP($U107,'Relevé prix'!$A$4:$N$60,8,FALSE))=0,"",IF('Relevé prix'!$B$1="SN",VLOOKUP($U107,'Relevé prix'!$A$4:$N$60,12,FALSE),VLOOKUP($U107,'Relevé prix'!$A$4:$N$60,8,FALSE))),"")</f>
        <v/>
      </c>
      <c r="AL107" s="24" t="n"/>
      <c r="AM107" s="25" t="n"/>
      <c r="AN107" s="25" t="n"/>
      <c r="AO107" s="22">
        <f>IF(OR(AL107="",AJ107=""),"",AL107-AJ107)</f>
        <v/>
      </c>
      <c r="AP107" s="26">
        <f>IF(OR(AL107="",AJ107="",AJ107=0),"",(AL107-AJ107)/AJ107)</f>
        <v/>
      </c>
      <c r="AQ107" s="27">
        <f>IF(AP107="","",IF(AP107&lt;-0.05,"Moins cher",IF(AP107&gt;0.05,"Plus cher","Équivalent")))</f>
        <v/>
      </c>
    </row>
    <row r="108">
      <c r="A108" s="13" t="inlineStr">
        <is>
          <t>SG-2607</t>
        </is>
      </c>
      <c r="B108" s="13" t="inlineStr">
        <is>
          <t>Rotating Clean</t>
        </is>
      </c>
      <c r="C108" s="13" t="inlineStr">
        <is>
          <t>Rotative / oscillante</t>
        </is>
      </c>
      <c r="D108" s="13" t="inlineStr">
        <is>
          <t>Adulte</t>
        </is>
      </c>
      <c r="E108" s="14" t="n">
        <v>8000</v>
      </c>
      <c r="F108" s="14" t="n">
        <v>8000</v>
      </c>
      <c r="G108" s="15" t="n">
        <v>5</v>
      </c>
      <c r="H108" s="15" t="n">
        <v>21</v>
      </c>
      <c r="I108" s="15" t="n">
        <v>700</v>
      </c>
      <c r="J108" s="13" t="inlineStr">
        <is>
          <t>Batterie Li-ion rechargeable</t>
        </is>
      </c>
      <c r="K108" s="13" t="inlineStr">
        <is>
          <t>USB</t>
        </is>
      </c>
      <c r="L108" s="16" t="inlineStr">
        <is>
          <t>N/D</t>
        </is>
      </c>
      <c r="M108" s="13" t="inlineStr">
        <is>
          <t>IPX7</t>
        </is>
      </c>
      <c r="N108" s="13" t="inlineStr">
        <is>
          <t>Non</t>
        </is>
      </c>
      <c r="O108" s="13" t="inlineStr">
        <is>
          <t>Écran digital</t>
        </is>
      </c>
      <c r="P108" s="13" t="inlineStr">
        <is>
          <t>Oui</t>
        </is>
      </c>
      <c r="Q108" s="17" t="n">
        <v>98</v>
      </c>
      <c r="R108" s="13" t="inlineStr">
        <is>
          <t>28.3*25.5*199.1</t>
        </is>
      </c>
      <c r="S108" s="18" t="inlineStr">
        <is>
          <t>Panneau digital de changement de mode, mémoire intelligente, protection surcharge et décharge profonde, indicateur batterie</t>
        </is>
      </c>
      <c r="T108" s="19" t="n">
        <v>62</v>
      </c>
      <c r="U108" s="20" t="inlineStr">
        <is>
          <t>IO3</t>
        </is>
      </c>
      <c r="V108" s="20" t="inlineStr">
        <is>
          <t>iO Series 3</t>
        </is>
      </c>
      <c r="W108" s="20" t="inlineStr">
        <is>
          <t>Oral-B</t>
        </is>
      </c>
      <c r="X108" s="20" t="inlineStr">
        <is>
          <t>Oscillo-rotative + micro-vibrations</t>
        </is>
      </c>
      <c r="Y108" s="37" t="inlineStr">
        <is>
          <t>N/D</t>
        </is>
      </c>
      <c r="Z108" s="20" t="inlineStr">
        <is>
          <t>3 modes (Daily Clean, Sensitive, Whitening)</t>
        </is>
      </c>
      <c r="AA108" s="37" t="inlineStr">
        <is>
          <t>N/D</t>
        </is>
      </c>
      <c r="AB108" s="37" t="inlineStr">
        <is>
          <t>N/D</t>
        </is>
      </c>
      <c r="AC108" s="20" t="inlineStr">
        <is>
          <t>Oui (anneau lumineux blanc / vert / rouge)</t>
        </is>
      </c>
      <c r="AD108" s="20" t="inlineStr">
        <is>
          <t>Socle magnétique</t>
        </is>
      </c>
      <c r="AE108" s="20" t="inlineStr">
        <is>
          <t>CI vérifié (Jumia, gamme iO référencée). SN vérifié pour la marque Oral-B. BF, CM, BJ non vérifiés.</t>
        </is>
      </c>
      <c r="AF108" s="20" t="inlineStr">
        <is>
          <t>Jumia CI, pharmacies</t>
        </is>
      </c>
      <c r="AG108" s="21" t="inlineStr">
        <is>
          <t>https://oralb.com/en-us/products/io-series-3-rechargeable-electric-toothbrush-white/</t>
        </is>
      </c>
      <c r="AH108" s="21" t="inlineStr">
        <is>
          <t>https://www.jumia.ci/slp/brosse-a-dents-electrique-oral-b-io3</t>
        </is>
      </c>
      <c r="AI108" s="20" t="inlineStr">
        <is>
          <t>Rapprochement sur la technologie oscillo-rotative avec écran et capteur de pression. Capteur de pression tricolore, équivalent direct des modèles SEAGO à écran et capteur.</t>
        </is>
      </c>
      <c r="AJ108" s="22">
        <f>IFERROR(IF(IF('Relevé prix'!$B$1="SN",VLOOKUP($U108,'Relevé prix'!$A$4:$N$60,11,FALSE),VLOOKUP($U108,'Relevé prix'!$A$4:$N$60,7,FALSE))=0,"",IF('Relevé prix'!$B$1="SN",VLOOKUP($U108,'Relevé prix'!$A$4:$N$60,11,FALSE),VLOOKUP($U108,'Relevé prix'!$A$4:$N$60,7,FALSE))),"")</f>
        <v/>
      </c>
      <c r="AK108" s="23">
        <f>IFERROR(IF(IF('Relevé prix'!$B$1="SN",VLOOKUP($U108,'Relevé prix'!$A$4:$N$60,12,FALSE),VLOOKUP($U108,'Relevé prix'!$A$4:$N$60,8,FALSE))=0,"",IF('Relevé prix'!$B$1="SN",VLOOKUP($U108,'Relevé prix'!$A$4:$N$60,12,FALSE),VLOOKUP($U108,'Relevé prix'!$A$4:$N$60,8,FALSE))),"")</f>
        <v/>
      </c>
      <c r="AL108" s="24" t="n"/>
      <c r="AM108" s="25" t="n"/>
      <c r="AN108" s="25" t="n"/>
      <c r="AO108" s="22">
        <f>IF(OR(AL108="",AJ108=""),"",AL108-AJ108)</f>
        <v/>
      </c>
      <c r="AP108" s="26">
        <f>IF(OR(AL108="",AJ108="",AJ108=0),"",(AL108-AJ108)/AJ108)</f>
        <v/>
      </c>
      <c r="AQ108" s="27">
        <f>IF(AP108="","",IF(AP108&lt;-0.05,"Moins cher",IF(AP108&gt;0.05,"Plus cher","Équivalent")))</f>
        <v/>
      </c>
    </row>
    <row r="109">
      <c r="A109" s="28" t="inlineStr">
        <is>
          <t>SG-2606</t>
        </is>
      </c>
      <c r="B109" s="28" t="inlineStr">
        <is>
          <t>Rotating Clean</t>
        </is>
      </c>
      <c r="C109" s="28" t="inlineStr">
        <is>
          <t>Rotative / oscillante</t>
        </is>
      </c>
      <c r="D109" s="28" t="inlineStr">
        <is>
          <t>Adulte</t>
        </is>
      </c>
      <c r="E109" s="29" t="n">
        <v>6000</v>
      </c>
      <c r="F109" s="29" t="n">
        <v>6000</v>
      </c>
      <c r="G109" s="35" t="inlineStr">
        <is>
          <t>N/D</t>
        </is>
      </c>
      <c r="H109" s="30" t="n">
        <v>60</v>
      </c>
      <c r="I109" s="35" t="inlineStr">
        <is>
          <t>N/D</t>
        </is>
      </c>
      <c r="J109" s="28" t="inlineStr">
        <is>
          <t>Piles (2x AA)</t>
        </is>
      </c>
      <c r="K109" s="28" t="inlineStr">
        <is>
          <t>Piles</t>
        </is>
      </c>
      <c r="L109" s="34" t="inlineStr">
        <is>
          <t>N/D</t>
        </is>
      </c>
      <c r="M109" s="28" t="inlineStr">
        <is>
          <t>IPX6</t>
        </is>
      </c>
      <c r="N109" s="28" t="inlineStr">
        <is>
          <t>Non</t>
        </is>
      </c>
      <c r="O109" s="28" t="inlineStr">
        <is>
          <t>Aucun</t>
        </is>
      </c>
      <c r="P109" s="28" t="inlineStr">
        <is>
          <t>Non</t>
        </is>
      </c>
      <c r="Q109" s="31" t="n">
        <v>87</v>
      </c>
      <c r="R109" s="28" t="inlineStr">
        <is>
          <t>29.8*40.1*206</t>
        </is>
      </c>
      <c r="S109" s="32" t="inlineStr">
        <is>
          <t>Compatible têtes Oral-B, manche antidérapant, design ergonomique</t>
        </is>
      </c>
      <c r="T109" s="33" t="n">
        <v>62</v>
      </c>
      <c r="U109" s="20" t="inlineStr">
        <is>
          <t>VITALITY</t>
        </is>
      </c>
      <c r="V109" s="20" t="inlineStr">
        <is>
          <t>Vitality 100 CrossAction</t>
        </is>
      </c>
      <c r="W109" s="20" t="inlineStr">
        <is>
          <t>Oral-B</t>
        </is>
      </c>
      <c r="X109" s="20" t="inlineStr">
        <is>
          <t>Oscillo-rotative (2D)</t>
        </is>
      </c>
      <c r="Y109" s="20" t="inlineStr">
        <is>
          <t>7 600 oscillations/min</t>
        </is>
      </c>
      <c r="Z109" s="20" t="inlineStr">
        <is>
          <t>1 mode</t>
        </is>
      </c>
      <c r="AA109" s="37" t="inlineStr">
        <is>
          <t>N/D</t>
        </is>
      </c>
      <c r="AB109" s="37" t="inlineStr">
        <is>
          <t>N/D</t>
        </is>
      </c>
      <c r="AC109" s="20" t="inlineStr">
        <is>
          <t>Non</t>
        </is>
      </c>
      <c r="AD109" s="20" t="inlineStr">
        <is>
          <t>Socle</t>
        </is>
      </c>
      <c r="AE109" s="20" t="inlineStr">
        <is>
          <t>CI vérifié (Jumia, fiche produit). SN vérifié (Jumia, fiche produit Vitality D12). BF, CM, BJ non vérifiés.</t>
        </is>
      </c>
      <c r="AF109" s="20" t="inlineStr">
        <is>
          <t>Jumia CI, pharmacies, GMS</t>
        </is>
      </c>
      <c r="AG109" s="21" t="inlineStr">
        <is>
          <t>https://www.oral-b.co.in/en-in/products/electric-toothbrushes/or/vitality-cross-action</t>
        </is>
      </c>
      <c r="AH109" s="21" t="inlineStr">
        <is>
          <t>https://www.jumia.ci/mlp-oral-b-brosse-a-dent/</t>
        </is>
      </c>
      <c r="AI109" s="20" t="inlineStr">
        <is>
          <t>Rapprochement sur la technologie oscillo-rotative d'entrée de gamme. Écart : SEAGO fonctionne sur piles, le concurrent est rechargeable sur socle. Entrée de gamme rotative la plus distribuée. Minuteur 2 min avec quadpacer 30 s.</t>
        </is>
      </c>
      <c r="AJ109" s="22">
        <f>IFERROR(IF(IF('Relevé prix'!$B$1="SN",VLOOKUP($U109,'Relevé prix'!$A$4:$N$60,11,FALSE),VLOOKUP($U109,'Relevé prix'!$A$4:$N$60,7,FALSE))=0,"",IF('Relevé prix'!$B$1="SN",VLOOKUP($U109,'Relevé prix'!$A$4:$N$60,11,FALSE),VLOOKUP($U109,'Relevé prix'!$A$4:$N$60,7,FALSE))),"")</f>
        <v/>
      </c>
      <c r="AK109" s="23">
        <f>IFERROR(IF(IF('Relevé prix'!$B$1="SN",VLOOKUP($U109,'Relevé prix'!$A$4:$N$60,12,FALSE),VLOOKUP($U109,'Relevé prix'!$A$4:$N$60,8,FALSE))=0,"",IF('Relevé prix'!$B$1="SN",VLOOKUP($U109,'Relevé prix'!$A$4:$N$60,12,FALSE),VLOOKUP($U109,'Relevé prix'!$A$4:$N$60,8,FALSE))),"")</f>
        <v/>
      </c>
      <c r="AL109" s="24" t="n"/>
      <c r="AM109" s="25" t="n"/>
      <c r="AN109" s="25" t="n"/>
      <c r="AO109" s="22">
        <f>IF(OR(AL109="",AJ109=""),"",AL109-AJ109)</f>
        <v/>
      </c>
      <c r="AP109" s="26">
        <f>IF(OR(AL109="",AJ109="",AJ109=0),"",(AL109-AJ109)/AJ109)</f>
        <v/>
      </c>
      <c r="AQ109" s="27">
        <f>IF(AP109="","",IF(AP109&lt;-0.05,"Moins cher",IF(AP109&gt;0.05,"Plus cher","Équivalent")))</f>
        <v/>
      </c>
    </row>
    <row r="110">
      <c r="A110" s="13" t="inlineStr">
        <is>
          <t>SG-2603</t>
        </is>
      </c>
      <c r="B110" s="13" t="inlineStr">
        <is>
          <t>Rotating Clean</t>
        </is>
      </c>
      <c r="C110" s="13" t="inlineStr">
        <is>
          <t>Rotative / oscillante</t>
        </is>
      </c>
      <c r="D110" s="13" t="inlineStr">
        <is>
          <t>Adulte</t>
        </is>
      </c>
      <c r="E110" s="14" t="n">
        <v>8000</v>
      </c>
      <c r="F110" s="14" t="n">
        <v>8000</v>
      </c>
      <c r="G110" s="15" t="n">
        <v>5</v>
      </c>
      <c r="H110" s="15" t="n">
        <v>30</v>
      </c>
      <c r="I110" s="15" t="n">
        <v>700</v>
      </c>
      <c r="J110" s="13" t="inlineStr">
        <is>
          <t>Batterie Li-ion rechargeable</t>
        </is>
      </c>
      <c r="K110" s="13" t="inlineStr">
        <is>
          <t>Type-C</t>
        </is>
      </c>
      <c r="L110" s="17" t="n">
        <v>4</v>
      </c>
      <c r="M110" s="13" t="inlineStr">
        <is>
          <t>IPX6</t>
        </is>
      </c>
      <c r="N110" s="13" t="inlineStr">
        <is>
          <t>Non</t>
        </is>
      </c>
      <c r="O110" s="13" t="inlineStr">
        <is>
          <t>Aucun</t>
        </is>
      </c>
      <c r="P110" s="13" t="inlineStr">
        <is>
          <t>Oui</t>
        </is>
      </c>
      <c r="Q110" s="17" t="n">
        <v>103</v>
      </c>
      <c r="R110" s="13" t="inlineStr">
        <is>
          <t>28.3*25.5*237</t>
        </is>
      </c>
      <c r="S110" s="18" t="inlineStr">
        <is>
          <t>Charge rapide 4 h pour 30 jours, tête remplaçable</t>
        </is>
      </c>
      <c r="T110" s="19" t="n">
        <v>63</v>
      </c>
      <c r="U110" s="20" t="inlineStr">
        <is>
          <t>PRO3</t>
        </is>
      </c>
      <c r="V110" s="20" t="inlineStr">
        <is>
          <t>Pro 3 3000</t>
        </is>
      </c>
      <c r="W110" s="20" t="inlineStr">
        <is>
          <t>Oral-B</t>
        </is>
      </c>
      <c r="X110" s="20" t="inlineStr">
        <is>
          <t>Oscillo-rotative</t>
        </is>
      </c>
      <c r="Y110" s="20" t="inlineStr">
        <is>
          <t>8 800 oscillations/min</t>
        </is>
      </c>
      <c r="Z110" s="20" t="inlineStr">
        <is>
          <t>2 à 3 modes selon la version régionale</t>
        </is>
      </c>
      <c r="AA110" s="20" t="n">
        <v>14</v>
      </c>
      <c r="AB110" s="37" t="inlineStr">
        <is>
          <t>N/D</t>
        </is>
      </c>
      <c r="AC110" s="20" t="inlineStr">
        <is>
          <t>Oui (voyant lumineux, ralentissement automatique)</t>
        </is>
      </c>
      <c r="AD110" s="20" t="inlineStr">
        <is>
          <t>Socle</t>
        </is>
      </c>
      <c r="AE110" s="20" t="inlineStr">
        <is>
          <t>CI vérifié pour la marque Oral-B (gamme Pro Series). SN vérifié pour la marque. BF, CM, BJ non vérifiés.</t>
        </is>
      </c>
      <c r="AF110" s="20" t="inlineStr">
        <is>
          <t>Amazon UK, pharmacies</t>
        </is>
      </c>
      <c r="AG110" s="21" t="inlineStr">
        <is>
          <t>https://www.amazon.co.uk/Oral-B-CrossAction-Electric-Toothbrush-Rechargeable/dp/B072DTPBHF</t>
        </is>
      </c>
      <c r="AH110" s="21" t="inlineStr">
        <is>
          <t>https://www.electricteeth.com/uk/oral-b-pro-3-3000-review/</t>
        </is>
      </c>
      <c r="AI110" s="20" t="inlineStr">
        <is>
          <t>Rapprochement sur la technologie oscillo-rotative rechargeable multimodes. Nombre de modes variable selon le pays de commercialisation, à confirmer sur la fiche locale.</t>
        </is>
      </c>
      <c r="AJ110" s="22">
        <f>IFERROR(IF(IF('Relevé prix'!$B$1="SN",VLOOKUP($U110,'Relevé prix'!$A$4:$N$60,11,FALSE),VLOOKUP($U110,'Relevé prix'!$A$4:$N$60,7,FALSE))=0,"",IF('Relevé prix'!$B$1="SN",VLOOKUP($U110,'Relevé prix'!$A$4:$N$60,11,FALSE),VLOOKUP($U110,'Relevé prix'!$A$4:$N$60,7,FALSE))),"")</f>
        <v/>
      </c>
      <c r="AK110" s="23">
        <f>IFERROR(IF(IF('Relevé prix'!$B$1="SN",VLOOKUP($U110,'Relevé prix'!$A$4:$N$60,12,FALSE),VLOOKUP($U110,'Relevé prix'!$A$4:$N$60,8,FALSE))=0,"",IF('Relevé prix'!$B$1="SN",VLOOKUP($U110,'Relevé prix'!$A$4:$N$60,12,FALSE),VLOOKUP($U110,'Relevé prix'!$A$4:$N$60,8,FALSE))),"")</f>
        <v/>
      </c>
      <c r="AL110" s="24" t="n"/>
      <c r="AM110" s="25" t="n"/>
      <c r="AN110" s="25" t="n"/>
      <c r="AO110" s="22">
        <f>IF(OR(AL110="",AJ110=""),"",AL110-AJ110)</f>
        <v/>
      </c>
      <c r="AP110" s="26">
        <f>IF(OR(AL110="",AJ110="",AJ110=0),"",(AL110-AJ110)/AJ110)</f>
        <v/>
      </c>
      <c r="AQ110" s="27">
        <f>IF(AP110="","",IF(AP110&lt;-0.05,"Moins cher",IF(AP110&gt;0.05,"Plus cher","Équivalent")))</f>
        <v/>
      </c>
    </row>
    <row r="111">
      <c r="A111" s="28" t="inlineStr">
        <is>
          <t>SG-930</t>
        </is>
      </c>
      <c r="B111" s="28" t="inlineStr">
        <is>
          <t>Rotating Clean</t>
        </is>
      </c>
      <c r="C111" s="28" t="inlineStr">
        <is>
          <t>Rotative / oscillante</t>
        </is>
      </c>
      <c r="D111" s="28" t="inlineStr">
        <is>
          <t>Enfant</t>
        </is>
      </c>
      <c r="E111" s="29" t="n">
        <v>16000</v>
      </c>
      <c r="F111" s="29" t="n">
        <v>16000</v>
      </c>
      <c r="G111" s="35" t="inlineStr">
        <is>
          <t>N/D</t>
        </is>
      </c>
      <c r="H111" s="30" t="n">
        <v>60</v>
      </c>
      <c r="I111" s="35" t="inlineStr">
        <is>
          <t>N/D</t>
        </is>
      </c>
      <c r="J111" s="28" t="inlineStr">
        <is>
          <t>Piles (2x AAA)</t>
        </is>
      </c>
      <c r="K111" s="28" t="inlineStr">
        <is>
          <t>Piles</t>
        </is>
      </c>
      <c r="L111" s="34" t="inlineStr">
        <is>
          <t>N/D</t>
        </is>
      </c>
      <c r="M111" s="28" t="inlineStr">
        <is>
          <t>IPX6</t>
        </is>
      </c>
      <c r="N111" s="28" t="inlineStr">
        <is>
          <t>Non</t>
        </is>
      </c>
      <c r="O111" s="28" t="inlineStr">
        <is>
          <t>Aucun</t>
        </is>
      </c>
      <c r="P111" s="28" t="inlineStr">
        <is>
          <t>Non</t>
        </is>
      </c>
      <c r="Q111" s="31" t="n">
        <v>76</v>
      </c>
      <c r="R111" s="28" t="inlineStr">
        <is>
          <t>29.07*28.6*200.7</t>
        </is>
      </c>
      <c r="S111" s="32" t="inlineStr">
        <is>
          <t>Motifs par transfert thermique, poils souples</t>
        </is>
      </c>
      <c r="T111" s="33" t="n">
        <v>64</v>
      </c>
      <c r="U111" s="20" t="inlineStr">
        <is>
          <t>OB_KIDS_PILE</t>
        </is>
      </c>
      <c r="V111" s="20" t="inlineStr">
        <is>
          <t>Kids Battery Disney (Frozen / Princess)</t>
        </is>
      </c>
      <c r="W111" s="20" t="inlineStr">
        <is>
          <t>Oral-B</t>
        </is>
      </c>
      <c r="X111" s="20" t="inlineStr">
        <is>
          <t>Oscillo-rotative enfant</t>
        </is>
      </c>
      <c r="Y111" s="20" t="inlineStr">
        <is>
          <t>7 600 oscillations/min</t>
        </is>
      </c>
      <c r="Z111" s="20" t="inlineStr">
        <is>
          <t>1 mode</t>
        </is>
      </c>
      <c r="AA111" s="37" t="inlineStr">
        <is>
          <t>N/D</t>
        </is>
      </c>
      <c r="AB111" s="37" t="inlineStr">
        <is>
          <t>N/D</t>
        </is>
      </c>
      <c r="AC111" s="20" t="inlineStr">
        <is>
          <t>Non</t>
        </is>
      </c>
      <c r="AD111" s="20" t="inlineStr">
        <is>
          <t>2 piles AA</t>
        </is>
      </c>
      <c r="AE111" s="20" t="inlineStr">
        <is>
          <t>Non vérifié sur CI, SN, BF, CM, BJ. Marque Oral-B présente en CI et SN.</t>
        </is>
      </c>
      <c r="AF111" s="20" t="inlineStr">
        <is>
          <t>Amazon, GMS</t>
        </is>
      </c>
      <c r="AG111" s="21" t="inlineStr">
        <is>
          <t>https://www.amazon.com/Oral-B-Pro-Health-Battery-Toothbrush-featuring/dp/B01AKGRSCG</t>
        </is>
      </c>
      <c r="AH111" s="21" t="inlineStr">
        <is>
          <t>https://oralb.com/en-us/products/more-products/kids-products/kids-battery-toothbrush-featuring-disney-princess/</t>
        </is>
      </c>
      <c r="AI111" s="20" t="inlineStr">
        <is>
          <t>Rapprochement sur la cible enfant et l'alimentation à piles. Tête extra-souple, application Disney Magic Timer. Concurrent direct des SEAGO enfant à piles.</t>
        </is>
      </c>
      <c r="AJ111" s="22">
        <f>IFERROR(IF(IF('Relevé prix'!$B$1="SN",VLOOKUP($U111,'Relevé prix'!$A$4:$N$60,11,FALSE),VLOOKUP($U111,'Relevé prix'!$A$4:$N$60,7,FALSE))=0,"",IF('Relevé prix'!$B$1="SN",VLOOKUP($U111,'Relevé prix'!$A$4:$N$60,11,FALSE),VLOOKUP($U111,'Relevé prix'!$A$4:$N$60,7,FALSE))),"")</f>
        <v/>
      </c>
      <c r="AK111" s="23">
        <f>IFERROR(IF(IF('Relevé prix'!$B$1="SN",VLOOKUP($U111,'Relevé prix'!$A$4:$N$60,12,FALSE),VLOOKUP($U111,'Relevé prix'!$A$4:$N$60,8,FALSE))=0,"",IF('Relevé prix'!$B$1="SN",VLOOKUP($U111,'Relevé prix'!$A$4:$N$60,12,FALSE),VLOOKUP($U111,'Relevé prix'!$A$4:$N$60,8,FALSE))),"")</f>
        <v/>
      </c>
      <c r="AL111" s="24" t="n"/>
      <c r="AM111" s="25" t="n"/>
      <c r="AN111" s="25" t="n"/>
      <c r="AO111" s="22">
        <f>IF(OR(AL111="",AJ111=""),"",AL111-AJ111)</f>
        <v/>
      </c>
      <c r="AP111" s="26">
        <f>IF(OR(AL111="",AJ111="",AJ111=0),"",(AL111-AJ111)/AJ111)</f>
        <v/>
      </c>
      <c r="AQ111" s="27">
        <f>IF(AP111="","",IF(AP111&lt;-0.05,"Moins cher",IF(AP111&gt;0.05,"Plus cher","Équivalent")))</f>
        <v/>
      </c>
    </row>
    <row r="112">
      <c r="A112" s="13" t="inlineStr">
        <is>
          <t>SG-533</t>
        </is>
      </c>
      <c r="B112" s="13" t="inlineStr">
        <is>
          <t>Rotating Clean</t>
        </is>
      </c>
      <c r="C112" s="13" t="inlineStr">
        <is>
          <t>Rotative / oscillante</t>
        </is>
      </c>
      <c r="D112" s="13" t="inlineStr">
        <is>
          <t>Adulte</t>
        </is>
      </c>
      <c r="E112" s="14" t="n">
        <v>9000</v>
      </c>
      <c r="F112" s="14" t="n">
        <v>9000</v>
      </c>
      <c r="G112" s="38" t="inlineStr">
        <is>
          <t>N/D</t>
        </is>
      </c>
      <c r="H112" s="15" t="n">
        <v>75</v>
      </c>
      <c r="I112" s="38" t="inlineStr">
        <is>
          <t>N/D</t>
        </is>
      </c>
      <c r="J112" s="13" t="inlineStr">
        <is>
          <t>Piles (2x AA)</t>
        </is>
      </c>
      <c r="K112" s="13" t="inlineStr">
        <is>
          <t>Piles</t>
        </is>
      </c>
      <c r="L112" s="16" t="inlineStr">
        <is>
          <t>N/D</t>
        </is>
      </c>
      <c r="M112" s="13" t="inlineStr">
        <is>
          <t>IPX6</t>
        </is>
      </c>
      <c r="N112" s="13" t="inlineStr">
        <is>
          <t>Non</t>
        </is>
      </c>
      <c r="O112" s="13" t="inlineStr">
        <is>
          <t>Aucun</t>
        </is>
      </c>
      <c r="P112" s="13" t="inlineStr">
        <is>
          <t>Non</t>
        </is>
      </c>
      <c r="Q112" s="17" t="n">
        <v>80</v>
      </c>
      <c r="R112" s="13" t="inlineStr">
        <is>
          <t>38.8*24.3*198</t>
        </is>
      </c>
      <c r="S112" s="18" t="inlineStr">
        <is>
          <t>Têtes double action, manche antidérapant, poils souples</t>
        </is>
      </c>
      <c r="T112" s="19" t="n">
        <v>64</v>
      </c>
      <c r="U112" s="20" t="inlineStr">
        <is>
          <t>VITALITY</t>
        </is>
      </c>
      <c r="V112" s="20" t="inlineStr">
        <is>
          <t>Vitality 100 CrossAction</t>
        </is>
      </c>
      <c r="W112" s="20" t="inlineStr">
        <is>
          <t>Oral-B</t>
        </is>
      </c>
      <c r="X112" s="20" t="inlineStr">
        <is>
          <t>Oscillo-rotative (2D)</t>
        </is>
      </c>
      <c r="Y112" s="20" t="inlineStr">
        <is>
          <t>7 600 oscillations/min</t>
        </is>
      </c>
      <c r="Z112" s="20" t="inlineStr">
        <is>
          <t>1 mode</t>
        </is>
      </c>
      <c r="AA112" s="37" t="inlineStr">
        <is>
          <t>N/D</t>
        </is>
      </c>
      <c r="AB112" s="37" t="inlineStr">
        <is>
          <t>N/D</t>
        </is>
      </c>
      <c r="AC112" s="20" t="inlineStr">
        <is>
          <t>Non</t>
        </is>
      </c>
      <c r="AD112" s="20" t="inlineStr">
        <is>
          <t>Socle</t>
        </is>
      </c>
      <c r="AE112" s="20" t="inlineStr">
        <is>
          <t>CI vérifié (Jumia, fiche produit). SN vérifié (Jumia, fiche produit Vitality D12). BF, CM, BJ non vérifiés.</t>
        </is>
      </c>
      <c r="AF112" s="20" t="inlineStr">
        <is>
          <t>Jumia CI, pharmacies, GMS</t>
        </is>
      </c>
      <c r="AG112" s="21" t="inlineStr">
        <is>
          <t>https://www.oral-b.co.in/en-in/products/electric-toothbrushes/or/vitality-cross-action</t>
        </is>
      </c>
      <c r="AH112" s="21" t="inlineStr">
        <is>
          <t>https://www.jumia.ci/mlp-oral-b-brosse-a-dent/</t>
        </is>
      </c>
      <c r="AI112" s="20" t="inlineStr">
        <is>
          <t>Rapprochement sur la technologie oscillo-rotative d'entrée de gamme. Écart : SEAGO fonctionne sur piles, le concurrent est rechargeable sur socle. Entrée de gamme rotative la plus distribuée. Minuteur 2 min avec quadpacer 30 s.</t>
        </is>
      </c>
      <c r="AJ112" s="22">
        <f>IFERROR(IF(IF('Relevé prix'!$B$1="SN",VLOOKUP($U112,'Relevé prix'!$A$4:$N$60,11,FALSE),VLOOKUP($U112,'Relevé prix'!$A$4:$N$60,7,FALSE))=0,"",IF('Relevé prix'!$B$1="SN",VLOOKUP($U112,'Relevé prix'!$A$4:$N$60,11,FALSE),VLOOKUP($U112,'Relevé prix'!$A$4:$N$60,7,FALSE))),"")</f>
        <v/>
      </c>
      <c r="AK112" s="23">
        <f>IFERROR(IF(IF('Relevé prix'!$B$1="SN",VLOOKUP($U112,'Relevé prix'!$A$4:$N$60,12,FALSE),VLOOKUP($U112,'Relevé prix'!$A$4:$N$60,8,FALSE))=0,"",IF('Relevé prix'!$B$1="SN",VLOOKUP($U112,'Relevé prix'!$A$4:$N$60,12,FALSE),VLOOKUP($U112,'Relevé prix'!$A$4:$N$60,8,FALSE))),"")</f>
        <v/>
      </c>
      <c r="AL112" s="24" t="n"/>
      <c r="AM112" s="25" t="n"/>
      <c r="AN112" s="25" t="n"/>
      <c r="AO112" s="22">
        <f>IF(OR(AL112="",AJ112=""),"",AL112-AJ112)</f>
        <v/>
      </c>
      <c r="AP112" s="26">
        <f>IF(OR(AL112="",AJ112="",AJ112=0),"",(AL112-AJ112)/AJ112)</f>
        <v/>
      </c>
      <c r="AQ112" s="27">
        <f>IF(AP112="","",IF(AP112&lt;-0.05,"Moins cher",IF(AP112&gt;0.05,"Plus cher","Équivalent")))</f>
        <v/>
      </c>
    </row>
    <row r="113">
      <c r="A113" s="28" t="inlineStr">
        <is>
          <t>SG-587</t>
        </is>
      </c>
      <c r="B113" s="28" t="inlineStr">
        <is>
          <t>Rotating Clean</t>
        </is>
      </c>
      <c r="C113" s="28" t="inlineStr">
        <is>
          <t>Rotative / oscillante</t>
        </is>
      </c>
      <c r="D113" s="28" t="inlineStr">
        <is>
          <t>Enfant</t>
        </is>
      </c>
      <c r="E113" s="29" t="n">
        <v>16000</v>
      </c>
      <c r="F113" s="29" t="n">
        <v>16000</v>
      </c>
      <c r="G113" s="35" t="inlineStr">
        <is>
          <t>N/D</t>
        </is>
      </c>
      <c r="H113" s="30" t="n">
        <v>40</v>
      </c>
      <c r="I113" s="35" t="inlineStr">
        <is>
          <t>N/D</t>
        </is>
      </c>
      <c r="J113" s="28" t="inlineStr">
        <is>
          <t>Piles (2x AAA)</t>
        </is>
      </c>
      <c r="K113" s="28" t="inlineStr">
        <is>
          <t>Piles</t>
        </is>
      </c>
      <c r="L113" s="34" t="inlineStr">
        <is>
          <t>N/D</t>
        </is>
      </c>
      <c r="M113" s="28" t="inlineStr">
        <is>
          <t>IPX6</t>
        </is>
      </c>
      <c r="N113" s="28" t="inlineStr">
        <is>
          <t>Non</t>
        </is>
      </c>
      <c r="O113" s="28" t="inlineStr">
        <is>
          <t>Aucun</t>
        </is>
      </c>
      <c r="P113" s="28" t="inlineStr">
        <is>
          <t>Non</t>
        </is>
      </c>
      <c r="Q113" s="31" t="n">
        <v>55</v>
      </c>
      <c r="R113" s="28" t="inlineStr">
        <is>
          <t>29*29*201</t>
        </is>
      </c>
      <c r="S113" s="32" t="inlineStr">
        <is>
          <t>Motifs par transfert thermique, design ergonomique</t>
        </is>
      </c>
      <c r="T113" s="33" t="n">
        <v>65</v>
      </c>
      <c r="U113" s="20" t="inlineStr">
        <is>
          <t>OB_KIDS_PILE</t>
        </is>
      </c>
      <c r="V113" s="20" t="inlineStr">
        <is>
          <t>Kids Battery Disney (Frozen / Princess)</t>
        </is>
      </c>
      <c r="W113" s="20" t="inlineStr">
        <is>
          <t>Oral-B</t>
        </is>
      </c>
      <c r="X113" s="20" t="inlineStr">
        <is>
          <t>Oscillo-rotative enfant</t>
        </is>
      </c>
      <c r="Y113" s="20" t="inlineStr">
        <is>
          <t>7 600 oscillations/min</t>
        </is>
      </c>
      <c r="Z113" s="20" t="inlineStr">
        <is>
          <t>1 mode</t>
        </is>
      </c>
      <c r="AA113" s="37" t="inlineStr">
        <is>
          <t>N/D</t>
        </is>
      </c>
      <c r="AB113" s="37" t="inlineStr">
        <is>
          <t>N/D</t>
        </is>
      </c>
      <c r="AC113" s="20" t="inlineStr">
        <is>
          <t>Non</t>
        </is>
      </c>
      <c r="AD113" s="20" t="inlineStr">
        <is>
          <t>2 piles AA</t>
        </is>
      </c>
      <c r="AE113" s="20" t="inlineStr">
        <is>
          <t>Non vérifié sur CI, SN, BF, CM, BJ. Marque Oral-B présente en CI et SN.</t>
        </is>
      </c>
      <c r="AF113" s="20" t="inlineStr">
        <is>
          <t>Amazon, GMS</t>
        </is>
      </c>
      <c r="AG113" s="21" t="inlineStr">
        <is>
          <t>https://www.amazon.com/Oral-B-Pro-Health-Battery-Toothbrush-featuring/dp/B01AKGRSCG</t>
        </is>
      </c>
      <c r="AH113" s="21" t="inlineStr">
        <is>
          <t>https://oralb.com/en-us/products/more-products/kids-products/kids-battery-toothbrush-featuring-disney-princess/</t>
        </is>
      </c>
      <c r="AI113" s="20" t="inlineStr">
        <is>
          <t>Rapprochement sur la cible enfant et l'alimentation à piles. Tête extra-souple, application Disney Magic Timer. Concurrent direct des SEAGO enfant à piles.</t>
        </is>
      </c>
      <c r="AJ113" s="22">
        <f>IFERROR(IF(IF('Relevé prix'!$B$1="SN",VLOOKUP($U113,'Relevé prix'!$A$4:$N$60,11,FALSE),VLOOKUP($U113,'Relevé prix'!$A$4:$N$60,7,FALSE))=0,"",IF('Relevé prix'!$B$1="SN",VLOOKUP($U113,'Relevé prix'!$A$4:$N$60,11,FALSE),VLOOKUP($U113,'Relevé prix'!$A$4:$N$60,7,FALSE))),"")</f>
        <v/>
      </c>
      <c r="AK113" s="23">
        <f>IFERROR(IF(IF('Relevé prix'!$B$1="SN",VLOOKUP($U113,'Relevé prix'!$A$4:$N$60,12,FALSE),VLOOKUP($U113,'Relevé prix'!$A$4:$N$60,8,FALSE))=0,"",IF('Relevé prix'!$B$1="SN",VLOOKUP($U113,'Relevé prix'!$A$4:$N$60,12,FALSE),VLOOKUP($U113,'Relevé prix'!$A$4:$N$60,8,FALSE))),"")</f>
        <v/>
      </c>
      <c r="AL113" s="24" t="n"/>
      <c r="AM113" s="25" t="n"/>
      <c r="AN113" s="25" t="n"/>
      <c r="AO113" s="22">
        <f>IF(OR(AL113="",AJ113=""),"",AL113-AJ113)</f>
        <v/>
      </c>
      <c r="AP113" s="26">
        <f>IF(OR(AL113="",AJ113="",AJ113=0),"",(AL113-AJ113)/AJ113)</f>
        <v/>
      </c>
      <c r="AQ113" s="27">
        <f>IF(AP113="","",IF(AP113&lt;-0.05,"Moins cher",IF(AP113&gt;0.05,"Plus cher","Équivalent")))</f>
        <v/>
      </c>
    </row>
    <row r="114">
      <c r="A114" s="13" t="inlineStr">
        <is>
          <t>SG-2602</t>
        </is>
      </c>
      <c r="B114" s="13" t="inlineStr">
        <is>
          <t>Rotating Clean</t>
        </is>
      </c>
      <c r="C114" s="13" t="inlineStr">
        <is>
          <t>Rotative / oscillante</t>
        </is>
      </c>
      <c r="D114" s="13" t="inlineStr">
        <is>
          <t>Enfant</t>
        </is>
      </c>
      <c r="E114" s="14" t="n">
        <v>16000</v>
      </c>
      <c r="F114" s="14" t="n">
        <v>16000</v>
      </c>
      <c r="G114" s="38" t="inlineStr">
        <is>
          <t>N/D</t>
        </is>
      </c>
      <c r="H114" s="15" t="n">
        <v>40</v>
      </c>
      <c r="I114" s="38" t="inlineStr">
        <is>
          <t>N/D</t>
        </is>
      </c>
      <c r="J114" s="13" t="inlineStr">
        <is>
          <t>Piles (2x AAA)</t>
        </is>
      </c>
      <c r="K114" s="13" t="inlineStr">
        <is>
          <t>Piles</t>
        </is>
      </c>
      <c r="L114" s="16" t="inlineStr">
        <is>
          <t>N/D</t>
        </is>
      </c>
      <c r="M114" s="13" t="inlineStr">
        <is>
          <t>IPX6</t>
        </is>
      </c>
      <c r="N114" s="13" t="inlineStr">
        <is>
          <t>Non</t>
        </is>
      </c>
      <c r="O114" s="13" t="inlineStr">
        <is>
          <t>Aucun</t>
        </is>
      </c>
      <c r="P114" s="13" t="inlineStr">
        <is>
          <t>Oui</t>
        </is>
      </c>
      <c r="Q114" s="17" t="n">
        <v>65</v>
      </c>
      <c r="R114" s="13" t="inlineStr">
        <is>
          <t>29.8*29.8*219.7</t>
        </is>
      </c>
      <c r="S114" s="18" t="inlineStr">
        <is>
          <t>Motifs par transfert thermique, design ergonomique</t>
        </is>
      </c>
      <c r="T114" s="19" t="n">
        <v>65</v>
      </c>
      <c r="U114" s="20" t="inlineStr">
        <is>
          <t>OB_KIDS_PILE</t>
        </is>
      </c>
      <c r="V114" s="20" t="inlineStr">
        <is>
          <t>Kids Battery Disney (Frozen / Princess)</t>
        </is>
      </c>
      <c r="W114" s="20" t="inlineStr">
        <is>
          <t>Oral-B</t>
        </is>
      </c>
      <c r="X114" s="20" t="inlineStr">
        <is>
          <t>Oscillo-rotative enfant</t>
        </is>
      </c>
      <c r="Y114" s="20" t="inlineStr">
        <is>
          <t>7 600 oscillations/min</t>
        </is>
      </c>
      <c r="Z114" s="20" t="inlineStr">
        <is>
          <t>1 mode</t>
        </is>
      </c>
      <c r="AA114" s="37" t="inlineStr">
        <is>
          <t>N/D</t>
        </is>
      </c>
      <c r="AB114" s="37" t="inlineStr">
        <is>
          <t>N/D</t>
        </is>
      </c>
      <c r="AC114" s="20" t="inlineStr">
        <is>
          <t>Non</t>
        </is>
      </c>
      <c r="AD114" s="20" t="inlineStr">
        <is>
          <t>2 piles AA</t>
        </is>
      </c>
      <c r="AE114" s="20" t="inlineStr">
        <is>
          <t>Non vérifié sur CI, SN, BF, CM, BJ. Marque Oral-B présente en CI et SN.</t>
        </is>
      </c>
      <c r="AF114" s="20" t="inlineStr">
        <is>
          <t>Amazon, GMS</t>
        </is>
      </c>
      <c r="AG114" s="21" t="inlineStr">
        <is>
          <t>https://www.amazon.com/Oral-B-Pro-Health-Battery-Toothbrush-featuring/dp/B01AKGRSCG</t>
        </is>
      </c>
      <c r="AH114" s="21" t="inlineStr">
        <is>
          <t>https://oralb.com/en-us/products/more-products/kids-products/kids-battery-toothbrush-featuring-disney-princess/</t>
        </is>
      </c>
      <c r="AI114" s="20" t="inlineStr">
        <is>
          <t>Rapprochement sur la cible enfant et l'alimentation à piles. Tête extra-souple, application Disney Magic Timer. Concurrent direct des SEAGO enfant à piles.</t>
        </is>
      </c>
      <c r="AJ114" s="22">
        <f>IFERROR(IF(IF('Relevé prix'!$B$1="SN",VLOOKUP($U114,'Relevé prix'!$A$4:$N$60,11,FALSE),VLOOKUP($U114,'Relevé prix'!$A$4:$N$60,7,FALSE))=0,"",IF('Relevé prix'!$B$1="SN",VLOOKUP($U114,'Relevé prix'!$A$4:$N$60,11,FALSE),VLOOKUP($U114,'Relevé prix'!$A$4:$N$60,7,FALSE))),"")</f>
        <v/>
      </c>
      <c r="AK114" s="23">
        <f>IFERROR(IF(IF('Relevé prix'!$B$1="SN",VLOOKUP($U114,'Relevé prix'!$A$4:$N$60,12,FALSE),VLOOKUP($U114,'Relevé prix'!$A$4:$N$60,8,FALSE))=0,"",IF('Relevé prix'!$B$1="SN",VLOOKUP($U114,'Relevé prix'!$A$4:$N$60,12,FALSE),VLOOKUP($U114,'Relevé prix'!$A$4:$N$60,8,FALSE))),"")</f>
        <v/>
      </c>
      <c r="AL114" s="24" t="n"/>
      <c r="AM114" s="25" t="n"/>
      <c r="AN114" s="25" t="n"/>
      <c r="AO114" s="22">
        <f>IF(OR(AL114="",AJ114=""),"",AL114-AJ114)</f>
        <v/>
      </c>
      <c r="AP114" s="26">
        <f>IF(OR(AL114="",AJ114="",AJ114=0),"",(AL114-AJ114)/AJ114)</f>
        <v/>
      </c>
      <c r="AQ114" s="27">
        <f>IF(AP114="","",IF(AP114&lt;-0.05,"Moins cher",IF(AP114&gt;0.05,"Plus cher","Équivalent")))</f>
        <v/>
      </c>
    </row>
    <row r="115">
      <c r="A115" s="28" t="inlineStr">
        <is>
          <t>SG-2004</t>
        </is>
      </c>
      <c r="B115" s="28" t="inlineStr">
        <is>
          <t>Rotating Clean</t>
        </is>
      </c>
      <c r="C115" s="28" t="inlineStr">
        <is>
          <t>Rotative / oscillante</t>
        </is>
      </c>
      <c r="D115" s="28" t="inlineStr">
        <is>
          <t>Adulte</t>
        </is>
      </c>
      <c r="E115" s="29" t="n">
        <v>6000</v>
      </c>
      <c r="F115" s="29" t="n">
        <v>6000</v>
      </c>
      <c r="G115" s="35" t="inlineStr">
        <is>
          <t>N/D</t>
        </is>
      </c>
      <c r="H115" s="30" t="n">
        <v>75</v>
      </c>
      <c r="I115" s="35" t="inlineStr">
        <is>
          <t>N/D</t>
        </is>
      </c>
      <c r="J115" s="28" t="inlineStr">
        <is>
          <t>Piles (2x AA)</t>
        </is>
      </c>
      <c r="K115" s="28" t="inlineStr">
        <is>
          <t>Piles</t>
        </is>
      </c>
      <c r="L115" s="34" t="inlineStr">
        <is>
          <t>N/D</t>
        </is>
      </c>
      <c r="M115" s="28" t="inlineStr">
        <is>
          <t>IPX6</t>
        </is>
      </c>
      <c r="N115" s="28" t="inlineStr">
        <is>
          <t>Non</t>
        </is>
      </c>
      <c r="O115" s="28" t="inlineStr">
        <is>
          <t>Aucun</t>
        </is>
      </c>
      <c r="P115" s="28" t="inlineStr">
        <is>
          <t>Oui</t>
        </is>
      </c>
      <c r="Q115" s="31" t="n">
        <v>84</v>
      </c>
      <c r="R115" s="28" t="inlineStr">
        <is>
          <t>40*29.4*173</t>
        </is>
      </c>
      <c r="S115" s="32" t="inlineStr">
        <is>
          <t>Compatible têtes Oral-B, manche antidérapant</t>
        </is>
      </c>
      <c r="T115" s="33" t="n">
        <v>66</v>
      </c>
      <c r="U115" s="20" t="inlineStr">
        <is>
          <t>VITALITY</t>
        </is>
      </c>
      <c r="V115" s="20" t="inlineStr">
        <is>
          <t>Vitality 100 CrossAction</t>
        </is>
      </c>
      <c r="W115" s="20" t="inlineStr">
        <is>
          <t>Oral-B</t>
        </is>
      </c>
      <c r="X115" s="20" t="inlineStr">
        <is>
          <t>Oscillo-rotative (2D)</t>
        </is>
      </c>
      <c r="Y115" s="20" t="inlineStr">
        <is>
          <t>7 600 oscillations/min</t>
        </is>
      </c>
      <c r="Z115" s="20" t="inlineStr">
        <is>
          <t>1 mode</t>
        </is>
      </c>
      <c r="AA115" s="37" t="inlineStr">
        <is>
          <t>N/D</t>
        </is>
      </c>
      <c r="AB115" s="37" t="inlineStr">
        <is>
          <t>N/D</t>
        </is>
      </c>
      <c r="AC115" s="20" t="inlineStr">
        <is>
          <t>Non</t>
        </is>
      </c>
      <c r="AD115" s="20" t="inlineStr">
        <is>
          <t>Socle</t>
        </is>
      </c>
      <c r="AE115" s="20" t="inlineStr">
        <is>
          <t>CI vérifié (Jumia, fiche produit). SN vérifié (Jumia, fiche produit Vitality D12). BF, CM, BJ non vérifiés.</t>
        </is>
      </c>
      <c r="AF115" s="20" t="inlineStr">
        <is>
          <t>Jumia CI, pharmacies, GMS</t>
        </is>
      </c>
      <c r="AG115" s="21" t="inlineStr">
        <is>
          <t>https://www.oral-b.co.in/en-in/products/electric-toothbrushes/or/vitality-cross-action</t>
        </is>
      </c>
      <c r="AH115" s="21" t="inlineStr">
        <is>
          <t>https://www.jumia.ci/mlp-oral-b-brosse-a-dent/</t>
        </is>
      </c>
      <c r="AI115" s="20" t="inlineStr">
        <is>
          <t>Rapprochement sur la technologie oscillo-rotative d'entrée de gamme. Écart : SEAGO fonctionne sur piles, le concurrent est rechargeable sur socle. Entrée de gamme rotative la plus distribuée. Minuteur 2 min avec quadpacer 30 s.</t>
        </is>
      </c>
      <c r="AJ115" s="22">
        <f>IFERROR(IF(IF('Relevé prix'!$B$1="SN",VLOOKUP($U115,'Relevé prix'!$A$4:$N$60,11,FALSE),VLOOKUP($U115,'Relevé prix'!$A$4:$N$60,7,FALSE))=0,"",IF('Relevé prix'!$B$1="SN",VLOOKUP($U115,'Relevé prix'!$A$4:$N$60,11,FALSE),VLOOKUP($U115,'Relevé prix'!$A$4:$N$60,7,FALSE))),"")</f>
        <v/>
      </c>
      <c r="AK115" s="23">
        <f>IFERROR(IF(IF('Relevé prix'!$B$1="SN",VLOOKUP($U115,'Relevé prix'!$A$4:$N$60,12,FALSE),VLOOKUP($U115,'Relevé prix'!$A$4:$N$60,8,FALSE))=0,"",IF('Relevé prix'!$B$1="SN",VLOOKUP($U115,'Relevé prix'!$A$4:$N$60,12,FALSE),VLOOKUP($U115,'Relevé prix'!$A$4:$N$60,8,FALSE))),"")</f>
        <v/>
      </c>
      <c r="AL115" s="24" t="n"/>
      <c r="AM115" s="25" t="n"/>
      <c r="AN115" s="25" t="n"/>
      <c r="AO115" s="22">
        <f>IF(OR(AL115="",AJ115=""),"",AL115-AJ115)</f>
        <v/>
      </c>
      <c r="AP115" s="26">
        <f>IF(OR(AL115="",AJ115="",AJ115=0),"",(AL115-AJ115)/AJ115)</f>
        <v/>
      </c>
      <c r="AQ115" s="27">
        <f>IF(AP115="","",IF(AP115&lt;-0.05,"Moins cher",IF(AP115&gt;0.05,"Plus cher","Équivalent")))</f>
        <v/>
      </c>
    </row>
    <row r="116">
      <c r="A116" s="13" t="inlineStr">
        <is>
          <t>SG-913B</t>
        </is>
      </c>
      <c r="B116" s="13" t="inlineStr">
        <is>
          <t>Rotating Clean</t>
        </is>
      </c>
      <c r="C116" s="13" t="inlineStr">
        <is>
          <t>Rotative / oscillante</t>
        </is>
      </c>
      <c r="D116" s="13" t="inlineStr">
        <is>
          <t>Adulte</t>
        </is>
      </c>
      <c r="E116" s="14" t="n">
        <v>8800</v>
      </c>
      <c r="F116" s="14" t="n">
        <v>8800</v>
      </c>
      <c r="G116" s="15" t="n">
        <v>4</v>
      </c>
      <c r="H116" s="15" t="n">
        <v>21</v>
      </c>
      <c r="I116" s="15" t="n">
        <v>700</v>
      </c>
      <c r="J116" s="13" t="inlineStr">
        <is>
          <t>Batterie Li-ion rechargeable</t>
        </is>
      </c>
      <c r="K116" s="13" t="inlineStr">
        <is>
          <t>USB</t>
        </is>
      </c>
      <c r="L116" s="16" t="inlineStr">
        <is>
          <t>N/D</t>
        </is>
      </c>
      <c r="M116" s="13" t="inlineStr">
        <is>
          <t>IPX6</t>
        </is>
      </c>
      <c r="N116" s="13" t="inlineStr">
        <is>
          <t>Non</t>
        </is>
      </c>
      <c r="O116" s="13" t="inlineStr">
        <is>
          <t>Aucun</t>
        </is>
      </c>
      <c r="P116" s="13" t="inlineStr">
        <is>
          <t>Oui</t>
        </is>
      </c>
      <c r="Q116" s="17" t="n">
        <v>105</v>
      </c>
      <c r="R116" s="13" t="inlineStr">
        <is>
          <t>28.1*26.3*225</t>
        </is>
      </c>
      <c r="S116" s="18" t="inlineStr">
        <is>
          <t>4 modes (clean, soft, pulse, massage), compatible têtes Oral-B, design ergonomique</t>
        </is>
      </c>
      <c r="T116" s="19" t="n">
        <v>66</v>
      </c>
      <c r="U116" s="20" t="inlineStr">
        <is>
          <t>PRO3</t>
        </is>
      </c>
      <c r="V116" s="20" t="inlineStr">
        <is>
          <t>Pro 3 3000</t>
        </is>
      </c>
      <c r="W116" s="20" t="inlineStr">
        <is>
          <t>Oral-B</t>
        </is>
      </c>
      <c r="X116" s="20" t="inlineStr">
        <is>
          <t>Oscillo-rotative</t>
        </is>
      </c>
      <c r="Y116" s="20" t="inlineStr">
        <is>
          <t>8 800 oscillations/min</t>
        </is>
      </c>
      <c r="Z116" s="20" t="inlineStr">
        <is>
          <t>2 à 3 modes selon la version régionale</t>
        </is>
      </c>
      <c r="AA116" s="20" t="n">
        <v>14</v>
      </c>
      <c r="AB116" s="37" t="inlineStr">
        <is>
          <t>N/D</t>
        </is>
      </c>
      <c r="AC116" s="20" t="inlineStr">
        <is>
          <t>Oui (voyant lumineux, ralentissement automatique)</t>
        </is>
      </c>
      <c r="AD116" s="20" t="inlineStr">
        <is>
          <t>Socle</t>
        </is>
      </c>
      <c r="AE116" s="20" t="inlineStr">
        <is>
          <t>CI vérifié pour la marque Oral-B (gamme Pro Series). SN vérifié pour la marque. BF, CM, BJ non vérifiés.</t>
        </is>
      </c>
      <c r="AF116" s="20" t="inlineStr">
        <is>
          <t>Amazon UK, pharmacies</t>
        </is>
      </c>
      <c r="AG116" s="21" t="inlineStr">
        <is>
          <t>https://www.amazon.co.uk/Oral-B-CrossAction-Electric-Toothbrush-Rechargeable/dp/B072DTPBHF</t>
        </is>
      </c>
      <c r="AH116" s="21" t="inlineStr">
        <is>
          <t>https://www.electricteeth.com/uk/oral-b-pro-3-3000-review/</t>
        </is>
      </c>
      <c r="AI116" s="20" t="inlineStr">
        <is>
          <t>Rapprochement sur la technologie oscillo-rotative rechargeable multimodes. Nombre de modes variable selon le pays de commercialisation, à confirmer sur la fiche locale.</t>
        </is>
      </c>
      <c r="AJ116" s="22">
        <f>IFERROR(IF(IF('Relevé prix'!$B$1="SN",VLOOKUP($U116,'Relevé prix'!$A$4:$N$60,11,FALSE),VLOOKUP($U116,'Relevé prix'!$A$4:$N$60,7,FALSE))=0,"",IF('Relevé prix'!$B$1="SN",VLOOKUP($U116,'Relevé prix'!$A$4:$N$60,11,FALSE),VLOOKUP($U116,'Relevé prix'!$A$4:$N$60,7,FALSE))),"")</f>
        <v/>
      </c>
      <c r="AK116" s="23">
        <f>IFERROR(IF(IF('Relevé prix'!$B$1="SN",VLOOKUP($U116,'Relevé prix'!$A$4:$N$60,12,FALSE),VLOOKUP($U116,'Relevé prix'!$A$4:$N$60,8,FALSE))=0,"",IF('Relevé prix'!$B$1="SN",VLOOKUP($U116,'Relevé prix'!$A$4:$N$60,12,FALSE),VLOOKUP($U116,'Relevé prix'!$A$4:$N$60,8,FALSE))),"")</f>
        <v/>
      </c>
      <c r="AL116" s="24" t="n"/>
      <c r="AM116" s="25" t="n"/>
      <c r="AN116" s="25" t="n"/>
      <c r="AO116" s="22">
        <f>IF(OR(AL116="",AJ116=""),"",AL116-AJ116)</f>
        <v/>
      </c>
      <c r="AP116" s="26">
        <f>IF(OR(AL116="",AJ116="",AJ116=0),"",(AL116-AJ116)/AJ116)</f>
        <v/>
      </c>
      <c r="AQ116" s="27">
        <f>IF(AP116="","",IF(AP116&lt;-0.05,"Moins cher",IF(AP116&gt;0.05,"Plus cher","Équivalent")))</f>
        <v/>
      </c>
    </row>
    <row r="117">
      <c r="A117" s="28" t="inlineStr">
        <is>
          <t>SG-913A</t>
        </is>
      </c>
      <c r="B117" s="28" t="inlineStr">
        <is>
          <t>Rotating Clean</t>
        </is>
      </c>
      <c r="C117" s="28" t="inlineStr">
        <is>
          <t>Rotative / oscillante</t>
        </is>
      </c>
      <c r="D117" s="28" t="inlineStr">
        <is>
          <t>Adulte</t>
        </is>
      </c>
      <c r="E117" s="29" t="n">
        <v>8800</v>
      </c>
      <c r="F117" s="29" t="n">
        <v>8800</v>
      </c>
      <c r="G117" s="30" t="n">
        <v>4</v>
      </c>
      <c r="H117" s="30" t="n">
        <v>21</v>
      </c>
      <c r="I117" s="30" t="n">
        <v>700</v>
      </c>
      <c r="J117" s="28" t="inlineStr">
        <is>
          <t>Batterie Li-ion rechargeable</t>
        </is>
      </c>
      <c r="K117" s="28" t="inlineStr">
        <is>
          <t>USB + sans fil</t>
        </is>
      </c>
      <c r="L117" s="34" t="inlineStr">
        <is>
          <t>N/D</t>
        </is>
      </c>
      <c r="M117" s="28" t="inlineStr">
        <is>
          <t>IPX6</t>
        </is>
      </c>
      <c r="N117" s="28" t="inlineStr">
        <is>
          <t>Non</t>
        </is>
      </c>
      <c r="O117" s="28" t="inlineStr">
        <is>
          <t>Aucun</t>
        </is>
      </c>
      <c r="P117" s="28" t="inlineStr">
        <is>
          <t>Oui</t>
        </is>
      </c>
      <c r="Q117" s="31" t="n">
        <v>105</v>
      </c>
      <c r="R117" s="28" t="inlineStr">
        <is>
          <t>28.1*26.3*225</t>
        </is>
      </c>
      <c r="S117" s="32" t="inlineStr">
        <is>
          <t>4 modes (clean, soft, pulse, massage), charge sans fil, compatible têtes Oral-B</t>
        </is>
      </c>
      <c r="T117" s="33" t="n">
        <v>67</v>
      </c>
      <c r="U117" s="20" t="inlineStr">
        <is>
          <t>PRO3</t>
        </is>
      </c>
      <c r="V117" s="20" t="inlineStr">
        <is>
          <t>Pro 3 3000</t>
        </is>
      </c>
      <c r="W117" s="20" t="inlineStr">
        <is>
          <t>Oral-B</t>
        </is>
      </c>
      <c r="X117" s="20" t="inlineStr">
        <is>
          <t>Oscillo-rotative</t>
        </is>
      </c>
      <c r="Y117" s="20" t="inlineStr">
        <is>
          <t>8 800 oscillations/min</t>
        </is>
      </c>
      <c r="Z117" s="20" t="inlineStr">
        <is>
          <t>2 à 3 modes selon la version régionale</t>
        </is>
      </c>
      <c r="AA117" s="20" t="n">
        <v>14</v>
      </c>
      <c r="AB117" s="37" t="inlineStr">
        <is>
          <t>N/D</t>
        </is>
      </c>
      <c r="AC117" s="20" t="inlineStr">
        <is>
          <t>Oui (voyant lumineux, ralentissement automatique)</t>
        </is>
      </c>
      <c r="AD117" s="20" t="inlineStr">
        <is>
          <t>Socle</t>
        </is>
      </c>
      <c r="AE117" s="20" t="inlineStr">
        <is>
          <t>CI vérifié pour la marque Oral-B (gamme Pro Series). SN vérifié pour la marque. BF, CM, BJ non vérifiés.</t>
        </is>
      </c>
      <c r="AF117" s="20" t="inlineStr">
        <is>
          <t>Amazon UK, pharmacies</t>
        </is>
      </c>
      <c r="AG117" s="21" t="inlineStr">
        <is>
          <t>https://www.amazon.co.uk/Oral-B-CrossAction-Electric-Toothbrush-Rechargeable/dp/B072DTPBHF</t>
        </is>
      </c>
      <c r="AH117" s="21" t="inlineStr">
        <is>
          <t>https://www.electricteeth.com/uk/oral-b-pro-3-3000-review/</t>
        </is>
      </c>
      <c r="AI117" s="20" t="inlineStr">
        <is>
          <t>Rapprochement sur la technologie oscillo-rotative rechargeable multimodes. Nombre de modes variable selon le pays de commercialisation, à confirmer sur la fiche locale.</t>
        </is>
      </c>
      <c r="AJ117" s="22">
        <f>IFERROR(IF(IF('Relevé prix'!$B$1="SN",VLOOKUP($U117,'Relevé prix'!$A$4:$N$60,11,FALSE),VLOOKUP($U117,'Relevé prix'!$A$4:$N$60,7,FALSE))=0,"",IF('Relevé prix'!$B$1="SN",VLOOKUP($U117,'Relevé prix'!$A$4:$N$60,11,FALSE),VLOOKUP($U117,'Relevé prix'!$A$4:$N$60,7,FALSE))),"")</f>
        <v/>
      </c>
      <c r="AK117" s="23">
        <f>IFERROR(IF(IF('Relevé prix'!$B$1="SN",VLOOKUP($U117,'Relevé prix'!$A$4:$N$60,12,FALSE),VLOOKUP($U117,'Relevé prix'!$A$4:$N$60,8,FALSE))=0,"",IF('Relevé prix'!$B$1="SN",VLOOKUP($U117,'Relevé prix'!$A$4:$N$60,12,FALSE),VLOOKUP($U117,'Relevé prix'!$A$4:$N$60,8,FALSE))),"")</f>
        <v/>
      </c>
      <c r="AL117" s="24" t="n"/>
      <c r="AM117" s="25" t="n"/>
      <c r="AN117" s="25" t="n"/>
      <c r="AO117" s="22">
        <f>IF(OR(AL117="",AJ117=""),"",AL117-AJ117)</f>
        <v/>
      </c>
      <c r="AP117" s="26">
        <f>IF(OR(AL117="",AJ117="",AJ117=0),"",(AL117-AJ117)/AJ117)</f>
        <v/>
      </c>
      <c r="AQ117" s="27">
        <f>IF(AP117="","",IF(AP117&lt;-0.05,"Moins cher",IF(AP117&gt;0.05,"Plus cher","Équivalent")))</f>
        <v/>
      </c>
    </row>
    <row r="118">
      <c r="A118" s="41" t="n"/>
      <c r="B118" s="41" t="n"/>
      <c r="C118" s="41" t="n"/>
      <c r="D118" s="41" t="n"/>
      <c r="E118" s="41" t="n"/>
      <c r="F118" s="41" t="n"/>
      <c r="G118" s="41" t="n"/>
      <c r="H118" s="41" t="n"/>
      <c r="I118" s="41" t="n"/>
      <c r="J118" s="41" t="n"/>
      <c r="K118" s="41" t="n"/>
      <c r="L118" s="41" t="n"/>
      <c r="M118" s="41" t="n"/>
      <c r="N118" s="41" t="n"/>
      <c r="O118" s="41" t="n"/>
      <c r="P118" s="41" t="n"/>
      <c r="Q118" s="41" t="n"/>
      <c r="R118" s="41" t="n"/>
      <c r="S118" s="41" t="n"/>
      <c r="T118" s="41" t="n"/>
      <c r="U118" s="42" t="n"/>
      <c r="V118" s="42" t="n"/>
      <c r="W118" s="42" t="n"/>
      <c r="X118" s="42" t="n"/>
      <c r="Y118" s="42" t="n"/>
      <c r="Z118" s="42" t="n"/>
      <c r="AA118" s="42" t="n"/>
      <c r="AB118" s="42" t="n"/>
      <c r="AC118" s="42" t="n"/>
      <c r="AD118" s="42" t="n"/>
      <c r="AE118" s="42" t="n"/>
      <c r="AF118" s="42" t="n"/>
      <c r="AG118" s="42" t="n"/>
      <c r="AH118" s="42" t="n"/>
      <c r="AI118" s="42" t="n"/>
      <c r="AJ118" s="22">
        <f>IFERROR(IF(IF('Relevé prix'!$B$1="SN",VLOOKUP($U118,'Relevé prix'!$A$4:$N$60,11,FALSE),VLOOKUP($U118,'Relevé prix'!$A$4:$N$60,7,FALSE))=0,"",IF('Relevé prix'!$B$1="SN",VLOOKUP($U118,'Relevé prix'!$A$4:$N$60,11,FALSE),VLOOKUP($U118,'Relevé prix'!$A$4:$N$60,7,FALSE))),"")</f>
        <v/>
      </c>
      <c r="AK118" s="23">
        <f>IFERROR(IF(IF('Relevé prix'!$B$1="SN",VLOOKUP($U118,'Relevé prix'!$A$4:$N$60,12,FALSE),VLOOKUP($U118,'Relevé prix'!$A$4:$N$60,8,FALSE))=0,"",IF('Relevé prix'!$B$1="SN",VLOOKUP($U118,'Relevé prix'!$A$4:$N$60,12,FALSE),VLOOKUP($U118,'Relevé prix'!$A$4:$N$60,8,FALSE))),"")</f>
        <v/>
      </c>
      <c r="AL118" s="24" t="n"/>
      <c r="AM118" s="25" t="n"/>
      <c r="AN118" s="25" t="n"/>
      <c r="AO118" s="22">
        <f>IF(OR(AL118="",AJ118=""),"",AL118-AJ118)</f>
        <v/>
      </c>
      <c r="AP118" s="26">
        <f>IF(OR(AL118="",AJ118="",AJ118=0),"",(AL118-AJ118)/AJ118)</f>
        <v/>
      </c>
      <c r="AQ118" s="27">
        <f>IF(AP118="","",IF(AP118&lt;-0.05,"Moins cher",IF(AP118&gt;0.05,"Plus cher","Équivalent")))</f>
        <v/>
      </c>
    </row>
    <row r="119">
      <c r="A119" s="41" t="n"/>
      <c r="B119" s="41"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2" t="n"/>
      <c r="V119" s="42" t="n"/>
      <c r="W119" s="42" t="n"/>
      <c r="X119" s="42" t="n"/>
      <c r="Y119" s="42" t="n"/>
      <c r="Z119" s="42" t="n"/>
      <c r="AA119" s="42" t="n"/>
      <c r="AB119" s="42" t="n"/>
      <c r="AC119" s="42" t="n"/>
      <c r="AD119" s="42" t="n"/>
      <c r="AE119" s="42" t="n"/>
      <c r="AF119" s="42" t="n"/>
      <c r="AG119" s="42" t="n"/>
      <c r="AH119" s="42" t="n"/>
      <c r="AI119" s="42" t="n"/>
      <c r="AJ119" s="22">
        <f>IFERROR(IF(IF('Relevé prix'!$B$1="SN",VLOOKUP($U119,'Relevé prix'!$A$4:$N$60,11,FALSE),VLOOKUP($U119,'Relevé prix'!$A$4:$N$60,7,FALSE))=0,"",IF('Relevé prix'!$B$1="SN",VLOOKUP($U119,'Relevé prix'!$A$4:$N$60,11,FALSE),VLOOKUP($U119,'Relevé prix'!$A$4:$N$60,7,FALSE))),"")</f>
        <v/>
      </c>
      <c r="AK119" s="23">
        <f>IFERROR(IF(IF('Relevé prix'!$B$1="SN",VLOOKUP($U119,'Relevé prix'!$A$4:$N$60,12,FALSE),VLOOKUP($U119,'Relevé prix'!$A$4:$N$60,8,FALSE))=0,"",IF('Relevé prix'!$B$1="SN",VLOOKUP($U119,'Relevé prix'!$A$4:$N$60,12,FALSE),VLOOKUP($U119,'Relevé prix'!$A$4:$N$60,8,FALSE))),"")</f>
        <v/>
      </c>
      <c r="AL119" s="24" t="n"/>
      <c r="AM119" s="25" t="n"/>
      <c r="AN119" s="25" t="n"/>
      <c r="AO119" s="22">
        <f>IF(OR(AL119="",AJ119=""),"",AL119-AJ119)</f>
        <v/>
      </c>
      <c r="AP119" s="26">
        <f>IF(OR(AL119="",AJ119="",AJ119=0),"",(AL119-AJ119)/AJ119)</f>
        <v/>
      </c>
      <c r="AQ119" s="27">
        <f>IF(AP119="","",IF(AP119&lt;-0.05,"Moins cher",IF(AP119&gt;0.05,"Plus cher","Équivalent")))</f>
        <v/>
      </c>
    </row>
    <row r="120">
      <c r="A120" s="41" t="n"/>
      <c r="B120" s="41" t="n"/>
      <c r="C120" s="41" t="n"/>
      <c r="D120" s="41" t="n"/>
      <c r="E120" s="41" t="n"/>
      <c r="F120" s="41" t="n"/>
      <c r="G120" s="41" t="n"/>
      <c r="H120" s="41" t="n"/>
      <c r="I120" s="41" t="n"/>
      <c r="J120" s="41" t="n"/>
      <c r="K120" s="41" t="n"/>
      <c r="L120" s="41" t="n"/>
      <c r="M120" s="41" t="n"/>
      <c r="N120" s="41" t="n"/>
      <c r="O120" s="41" t="n"/>
      <c r="P120" s="41" t="n"/>
      <c r="Q120" s="41" t="n"/>
      <c r="R120" s="41" t="n"/>
      <c r="S120" s="41" t="n"/>
      <c r="T120" s="41" t="n"/>
      <c r="U120" s="42" t="n"/>
      <c r="V120" s="42" t="n"/>
      <c r="W120" s="42" t="n"/>
      <c r="X120" s="42" t="n"/>
      <c r="Y120" s="42" t="n"/>
      <c r="Z120" s="42" t="n"/>
      <c r="AA120" s="42" t="n"/>
      <c r="AB120" s="42" t="n"/>
      <c r="AC120" s="42" t="n"/>
      <c r="AD120" s="42" t="n"/>
      <c r="AE120" s="42" t="n"/>
      <c r="AF120" s="42" t="n"/>
      <c r="AG120" s="42" t="n"/>
      <c r="AH120" s="42" t="n"/>
      <c r="AI120" s="42" t="n"/>
      <c r="AJ120" s="22">
        <f>IFERROR(IF(IF('Relevé prix'!$B$1="SN",VLOOKUP($U120,'Relevé prix'!$A$4:$N$60,11,FALSE),VLOOKUP($U120,'Relevé prix'!$A$4:$N$60,7,FALSE))=0,"",IF('Relevé prix'!$B$1="SN",VLOOKUP($U120,'Relevé prix'!$A$4:$N$60,11,FALSE),VLOOKUP($U120,'Relevé prix'!$A$4:$N$60,7,FALSE))),"")</f>
        <v/>
      </c>
      <c r="AK120" s="23">
        <f>IFERROR(IF(IF('Relevé prix'!$B$1="SN",VLOOKUP($U120,'Relevé prix'!$A$4:$N$60,12,FALSE),VLOOKUP($U120,'Relevé prix'!$A$4:$N$60,8,FALSE))=0,"",IF('Relevé prix'!$B$1="SN",VLOOKUP($U120,'Relevé prix'!$A$4:$N$60,12,FALSE),VLOOKUP($U120,'Relevé prix'!$A$4:$N$60,8,FALSE))),"")</f>
        <v/>
      </c>
      <c r="AL120" s="24" t="n"/>
      <c r="AM120" s="25" t="n"/>
      <c r="AN120" s="25" t="n"/>
      <c r="AO120" s="22">
        <f>IF(OR(AL120="",AJ120=""),"",AL120-AJ120)</f>
        <v/>
      </c>
      <c r="AP120" s="26">
        <f>IF(OR(AL120="",AJ120="",AJ120=0),"",(AL120-AJ120)/AJ120)</f>
        <v/>
      </c>
      <c r="AQ120" s="27">
        <f>IF(AP120="","",IF(AP120&lt;-0.05,"Moins cher",IF(AP120&gt;0.05,"Plus cher","Équivalent")))</f>
        <v/>
      </c>
    </row>
    <row r="121">
      <c r="A121" s="41" t="n"/>
      <c r="B121" s="41"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2" t="n"/>
      <c r="V121" s="42" t="n"/>
      <c r="W121" s="42" t="n"/>
      <c r="X121" s="42" t="n"/>
      <c r="Y121" s="42" t="n"/>
      <c r="Z121" s="42" t="n"/>
      <c r="AA121" s="42" t="n"/>
      <c r="AB121" s="42" t="n"/>
      <c r="AC121" s="42" t="n"/>
      <c r="AD121" s="42" t="n"/>
      <c r="AE121" s="42" t="n"/>
      <c r="AF121" s="42" t="n"/>
      <c r="AG121" s="42" t="n"/>
      <c r="AH121" s="42" t="n"/>
      <c r="AI121" s="42" t="n"/>
      <c r="AJ121" s="22">
        <f>IFERROR(IF(IF('Relevé prix'!$B$1="SN",VLOOKUP($U121,'Relevé prix'!$A$4:$N$60,11,FALSE),VLOOKUP($U121,'Relevé prix'!$A$4:$N$60,7,FALSE))=0,"",IF('Relevé prix'!$B$1="SN",VLOOKUP($U121,'Relevé prix'!$A$4:$N$60,11,FALSE),VLOOKUP($U121,'Relevé prix'!$A$4:$N$60,7,FALSE))),"")</f>
        <v/>
      </c>
      <c r="AK121" s="23">
        <f>IFERROR(IF(IF('Relevé prix'!$B$1="SN",VLOOKUP($U121,'Relevé prix'!$A$4:$N$60,12,FALSE),VLOOKUP($U121,'Relevé prix'!$A$4:$N$60,8,FALSE))=0,"",IF('Relevé prix'!$B$1="SN",VLOOKUP($U121,'Relevé prix'!$A$4:$N$60,12,FALSE),VLOOKUP($U121,'Relevé prix'!$A$4:$N$60,8,FALSE))),"")</f>
        <v/>
      </c>
      <c r="AL121" s="24" t="n"/>
      <c r="AM121" s="25" t="n"/>
      <c r="AN121" s="25" t="n"/>
      <c r="AO121" s="22">
        <f>IF(OR(AL121="",AJ121=""),"",AL121-AJ121)</f>
        <v/>
      </c>
      <c r="AP121" s="26">
        <f>IF(OR(AL121="",AJ121="",AJ121=0),"",(AL121-AJ121)/AJ121)</f>
        <v/>
      </c>
      <c r="AQ121" s="27">
        <f>IF(AP121="","",IF(AP121&lt;-0.05,"Moins cher",IF(AP121&gt;0.05,"Plus cher","Équivalent")))</f>
        <v/>
      </c>
    </row>
    <row r="122">
      <c r="A122" s="41" t="n"/>
      <c r="B122" s="41" t="n"/>
      <c r="C122" s="41" t="n"/>
      <c r="D122" s="41" t="n"/>
      <c r="E122" s="41" t="n"/>
      <c r="F122" s="41" t="n"/>
      <c r="G122" s="41" t="n"/>
      <c r="H122" s="41" t="n"/>
      <c r="I122" s="41" t="n"/>
      <c r="J122" s="41" t="n"/>
      <c r="K122" s="41" t="n"/>
      <c r="L122" s="41" t="n"/>
      <c r="M122" s="41" t="n"/>
      <c r="N122" s="41" t="n"/>
      <c r="O122" s="41" t="n"/>
      <c r="P122" s="41" t="n"/>
      <c r="Q122" s="41" t="n"/>
      <c r="R122" s="41" t="n"/>
      <c r="S122" s="41" t="n"/>
      <c r="T122" s="41" t="n"/>
      <c r="U122" s="42" t="n"/>
      <c r="V122" s="42" t="n"/>
      <c r="W122" s="42" t="n"/>
      <c r="X122" s="42" t="n"/>
      <c r="Y122" s="42" t="n"/>
      <c r="Z122" s="42" t="n"/>
      <c r="AA122" s="42" t="n"/>
      <c r="AB122" s="42" t="n"/>
      <c r="AC122" s="42" t="n"/>
      <c r="AD122" s="42" t="n"/>
      <c r="AE122" s="42" t="n"/>
      <c r="AF122" s="42" t="n"/>
      <c r="AG122" s="42" t="n"/>
      <c r="AH122" s="42" t="n"/>
      <c r="AI122" s="42" t="n"/>
      <c r="AJ122" s="22">
        <f>IFERROR(IF(IF('Relevé prix'!$B$1="SN",VLOOKUP($U122,'Relevé prix'!$A$4:$N$60,11,FALSE),VLOOKUP($U122,'Relevé prix'!$A$4:$N$60,7,FALSE))=0,"",IF('Relevé prix'!$B$1="SN",VLOOKUP($U122,'Relevé prix'!$A$4:$N$60,11,FALSE),VLOOKUP($U122,'Relevé prix'!$A$4:$N$60,7,FALSE))),"")</f>
        <v/>
      </c>
      <c r="AK122" s="23">
        <f>IFERROR(IF(IF('Relevé prix'!$B$1="SN",VLOOKUP($U122,'Relevé prix'!$A$4:$N$60,12,FALSE),VLOOKUP($U122,'Relevé prix'!$A$4:$N$60,8,FALSE))=0,"",IF('Relevé prix'!$B$1="SN",VLOOKUP($U122,'Relevé prix'!$A$4:$N$60,12,FALSE),VLOOKUP($U122,'Relevé prix'!$A$4:$N$60,8,FALSE))),"")</f>
        <v/>
      </c>
      <c r="AL122" s="24" t="n"/>
      <c r="AM122" s="25" t="n"/>
      <c r="AN122" s="25" t="n"/>
      <c r="AO122" s="22">
        <f>IF(OR(AL122="",AJ122=""),"",AL122-AJ122)</f>
        <v/>
      </c>
      <c r="AP122" s="26">
        <f>IF(OR(AL122="",AJ122="",AJ122=0),"",(AL122-AJ122)/AJ122)</f>
        <v/>
      </c>
      <c r="AQ122" s="27">
        <f>IF(AP122="","",IF(AP122&lt;-0.05,"Moins cher",IF(AP122&gt;0.05,"Plus cher","Équivalent")))</f>
        <v/>
      </c>
    </row>
    <row r="123">
      <c r="A123" s="41" t="n"/>
      <c r="B123" s="41" t="n"/>
      <c r="C123" s="41" t="n"/>
      <c r="D123" s="41" t="n"/>
      <c r="E123" s="41" t="n"/>
      <c r="F123" s="41" t="n"/>
      <c r="G123" s="41" t="n"/>
      <c r="H123" s="41" t="n"/>
      <c r="I123" s="41" t="n"/>
      <c r="J123" s="41" t="n"/>
      <c r="K123" s="41" t="n"/>
      <c r="L123" s="41" t="n"/>
      <c r="M123" s="41" t="n"/>
      <c r="N123" s="41" t="n"/>
      <c r="O123" s="41" t="n"/>
      <c r="P123" s="41" t="n"/>
      <c r="Q123" s="41" t="n"/>
      <c r="R123" s="41" t="n"/>
      <c r="S123" s="41" t="n"/>
      <c r="T123" s="41" t="n"/>
      <c r="U123" s="42" t="n"/>
      <c r="V123" s="42" t="n"/>
      <c r="W123" s="42" t="n"/>
      <c r="X123" s="42" t="n"/>
      <c r="Y123" s="42" t="n"/>
      <c r="Z123" s="42" t="n"/>
      <c r="AA123" s="42" t="n"/>
      <c r="AB123" s="42" t="n"/>
      <c r="AC123" s="42" t="n"/>
      <c r="AD123" s="42" t="n"/>
      <c r="AE123" s="42" t="n"/>
      <c r="AF123" s="42" t="n"/>
      <c r="AG123" s="42" t="n"/>
      <c r="AH123" s="42" t="n"/>
      <c r="AI123" s="42" t="n"/>
      <c r="AJ123" s="22">
        <f>IFERROR(IF(IF('Relevé prix'!$B$1="SN",VLOOKUP($U123,'Relevé prix'!$A$4:$N$60,11,FALSE),VLOOKUP($U123,'Relevé prix'!$A$4:$N$60,7,FALSE))=0,"",IF('Relevé prix'!$B$1="SN",VLOOKUP($U123,'Relevé prix'!$A$4:$N$60,11,FALSE),VLOOKUP($U123,'Relevé prix'!$A$4:$N$60,7,FALSE))),"")</f>
        <v/>
      </c>
      <c r="AK123" s="23">
        <f>IFERROR(IF(IF('Relevé prix'!$B$1="SN",VLOOKUP($U123,'Relevé prix'!$A$4:$N$60,12,FALSE),VLOOKUP($U123,'Relevé prix'!$A$4:$N$60,8,FALSE))=0,"",IF('Relevé prix'!$B$1="SN",VLOOKUP($U123,'Relevé prix'!$A$4:$N$60,12,FALSE),VLOOKUP($U123,'Relevé prix'!$A$4:$N$60,8,FALSE))),"")</f>
        <v/>
      </c>
      <c r="AL123" s="24" t="n"/>
      <c r="AM123" s="25" t="n"/>
      <c r="AN123" s="25" t="n"/>
      <c r="AO123" s="22">
        <f>IF(OR(AL123="",AJ123=""),"",AL123-AJ123)</f>
        <v/>
      </c>
      <c r="AP123" s="26">
        <f>IF(OR(AL123="",AJ123="",AJ123=0),"",(AL123-AJ123)/AJ123)</f>
        <v/>
      </c>
      <c r="AQ123" s="27">
        <f>IF(AP123="","",IF(AP123&lt;-0.05,"Moins cher",IF(AP123&gt;0.05,"Plus cher","Équivalent")))</f>
        <v/>
      </c>
    </row>
    <row r="124">
      <c r="A124" s="41" t="n"/>
      <c r="B124" s="41" t="n"/>
      <c r="C124" s="41" t="n"/>
      <c r="D124" s="41" t="n"/>
      <c r="E124" s="41" t="n"/>
      <c r="F124" s="41" t="n"/>
      <c r="G124" s="41" t="n"/>
      <c r="H124" s="41" t="n"/>
      <c r="I124" s="41" t="n"/>
      <c r="J124" s="41" t="n"/>
      <c r="K124" s="41" t="n"/>
      <c r="L124" s="41" t="n"/>
      <c r="M124" s="41" t="n"/>
      <c r="N124" s="41" t="n"/>
      <c r="O124" s="41" t="n"/>
      <c r="P124" s="41" t="n"/>
      <c r="Q124" s="41" t="n"/>
      <c r="R124" s="41" t="n"/>
      <c r="S124" s="41" t="n"/>
      <c r="T124" s="41" t="n"/>
      <c r="U124" s="42" t="n"/>
      <c r="V124" s="42" t="n"/>
      <c r="W124" s="42" t="n"/>
      <c r="X124" s="42" t="n"/>
      <c r="Y124" s="42" t="n"/>
      <c r="Z124" s="42" t="n"/>
      <c r="AA124" s="42" t="n"/>
      <c r="AB124" s="42" t="n"/>
      <c r="AC124" s="42" t="n"/>
      <c r="AD124" s="42" t="n"/>
      <c r="AE124" s="42" t="n"/>
      <c r="AF124" s="42" t="n"/>
      <c r="AG124" s="42" t="n"/>
      <c r="AH124" s="42" t="n"/>
      <c r="AI124" s="42" t="n"/>
      <c r="AJ124" s="22">
        <f>IFERROR(IF(IF('Relevé prix'!$B$1="SN",VLOOKUP($U124,'Relevé prix'!$A$4:$N$60,11,FALSE),VLOOKUP($U124,'Relevé prix'!$A$4:$N$60,7,FALSE))=0,"",IF('Relevé prix'!$B$1="SN",VLOOKUP($U124,'Relevé prix'!$A$4:$N$60,11,FALSE),VLOOKUP($U124,'Relevé prix'!$A$4:$N$60,7,FALSE))),"")</f>
        <v/>
      </c>
      <c r="AK124" s="23">
        <f>IFERROR(IF(IF('Relevé prix'!$B$1="SN",VLOOKUP($U124,'Relevé prix'!$A$4:$N$60,12,FALSE),VLOOKUP($U124,'Relevé prix'!$A$4:$N$60,8,FALSE))=0,"",IF('Relevé prix'!$B$1="SN",VLOOKUP($U124,'Relevé prix'!$A$4:$N$60,12,FALSE),VLOOKUP($U124,'Relevé prix'!$A$4:$N$60,8,FALSE))),"")</f>
        <v/>
      </c>
      <c r="AL124" s="24" t="n"/>
      <c r="AM124" s="25" t="n"/>
      <c r="AN124" s="25" t="n"/>
      <c r="AO124" s="22">
        <f>IF(OR(AL124="",AJ124=""),"",AL124-AJ124)</f>
        <v/>
      </c>
      <c r="AP124" s="26">
        <f>IF(OR(AL124="",AJ124="",AJ124=0),"",(AL124-AJ124)/AJ124)</f>
        <v/>
      </c>
      <c r="AQ124" s="27">
        <f>IF(AP124="","",IF(AP124&lt;-0.05,"Moins cher",IF(AP124&gt;0.05,"Plus cher","Équivalent")))</f>
        <v/>
      </c>
    </row>
    <row r="125">
      <c r="A125" s="41" t="n"/>
      <c r="B125" s="41"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2" t="n"/>
      <c r="V125" s="42" t="n"/>
      <c r="W125" s="42" t="n"/>
      <c r="X125" s="42" t="n"/>
      <c r="Y125" s="42" t="n"/>
      <c r="Z125" s="42" t="n"/>
      <c r="AA125" s="42" t="n"/>
      <c r="AB125" s="42" t="n"/>
      <c r="AC125" s="42" t="n"/>
      <c r="AD125" s="42" t="n"/>
      <c r="AE125" s="42" t="n"/>
      <c r="AF125" s="42" t="n"/>
      <c r="AG125" s="42" t="n"/>
      <c r="AH125" s="42" t="n"/>
      <c r="AI125" s="42" t="n"/>
      <c r="AJ125" s="22">
        <f>IFERROR(IF(IF('Relevé prix'!$B$1="SN",VLOOKUP($U125,'Relevé prix'!$A$4:$N$60,11,FALSE),VLOOKUP($U125,'Relevé prix'!$A$4:$N$60,7,FALSE))=0,"",IF('Relevé prix'!$B$1="SN",VLOOKUP($U125,'Relevé prix'!$A$4:$N$60,11,FALSE),VLOOKUP($U125,'Relevé prix'!$A$4:$N$60,7,FALSE))),"")</f>
        <v/>
      </c>
      <c r="AK125" s="23">
        <f>IFERROR(IF(IF('Relevé prix'!$B$1="SN",VLOOKUP($U125,'Relevé prix'!$A$4:$N$60,12,FALSE),VLOOKUP($U125,'Relevé prix'!$A$4:$N$60,8,FALSE))=0,"",IF('Relevé prix'!$B$1="SN",VLOOKUP($U125,'Relevé prix'!$A$4:$N$60,12,FALSE),VLOOKUP($U125,'Relevé prix'!$A$4:$N$60,8,FALSE))),"")</f>
        <v/>
      </c>
      <c r="AL125" s="24" t="n"/>
      <c r="AM125" s="25" t="n"/>
      <c r="AN125" s="25" t="n"/>
      <c r="AO125" s="22">
        <f>IF(OR(AL125="",AJ125=""),"",AL125-AJ125)</f>
        <v/>
      </c>
      <c r="AP125" s="26">
        <f>IF(OR(AL125="",AJ125="",AJ125=0),"",(AL125-AJ125)/AJ125)</f>
        <v/>
      </c>
      <c r="AQ125" s="27">
        <f>IF(AP125="","",IF(AP125&lt;-0.05,"Moins cher",IF(AP125&gt;0.05,"Plus cher","Équivalent")))</f>
        <v/>
      </c>
    </row>
    <row r="126">
      <c r="A126" s="41" t="n"/>
      <c r="B126" s="41" t="n"/>
      <c r="C126" s="41" t="n"/>
      <c r="D126" s="41" t="n"/>
      <c r="E126" s="41" t="n"/>
      <c r="F126" s="41" t="n"/>
      <c r="G126" s="41" t="n"/>
      <c r="H126" s="41" t="n"/>
      <c r="I126" s="41" t="n"/>
      <c r="J126" s="41" t="n"/>
      <c r="K126" s="41" t="n"/>
      <c r="L126" s="41" t="n"/>
      <c r="M126" s="41" t="n"/>
      <c r="N126" s="41" t="n"/>
      <c r="O126" s="41" t="n"/>
      <c r="P126" s="41" t="n"/>
      <c r="Q126" s="41" t="n"/>
      <c r="R126" s="41" t="n"/>
      <c r="S126" s="41" t="n"/>
      <c r="T126" s="41" t="n"/>
      <c r="U126" s="42" t="n"/>
      <c r="V126" s="42" t="n"/>
      <c r="W126" s="42" t="n"/>
      <c r="X126" s="42" t="n"/>
      <c r="Y126" s="42" t="n"/>
      <c r="Z126" s="42" t="n"/>
      <c r="AA126" s="42" t="n"/>
      <c r="AB126" s="42" t="n"/>
      <c r="AC126" s="42" t="n"/>
      <c r="AD126" s="42" t="n"/>
      <c r="AE126" s="42" t="n"/>
      <c r="AF126" s="42" t="n"/>
      <c r="AG126" s="42" t="n"/>
      <c r="AH126" s="42" t="n"/>
      <c r="AI126" s="42" t="n"/>
      <c r="AJ126" s="22">
        <f>IFERROR(IF(IF('Relevé prix'!$B$1="SN",VLOOKUP($U126,'Relevé prix'!$A$4:$N$60,11,FALSE),VLOOKUP($U126,'Relevé prix'!$A$4:$N$60,7,FALSE))=0,"",IF('Relevé prix'!$B$1="SN",VLOOKUP($U126,'Relevé prix'!$A$4:$N$60,11,FALSE),VLOOKUP($U126,'Relevé prix'!$A$4:$N$60,7,FALSE))),"")</f>
        <v/>
      </c>
      <c r="AK126" s="23">
        <f>IFERROR(IF(IF('Relevé prix'!$B$1="SN",VLOOKUP($U126,'Relevé prix'!$A$4:$N$60,12,FALSE),VLOOKUP($U126,'Relevé prix'!$A$4:$N$60,8,FALSE))=0,"",IF('Relevé prix'!$B$1="SN",VLOOKUP($U126,'Relevé prix'!$A$4:$N$60,12,FALSE),VLOOKUP($U126,'Relevé prix'!$A$4:$N$60,8,FALSE))),"")</f>
        <v/>
      </c>
      <c r="AL126" s="24" t="n"/>
      <c r="AM126" s="25" t="n"/>
      <c r="AN126" s="25" t="n"/>
      <c r="AO126" s="22">
        <f>IF(OR(AL126="",AJ126=""),"",AL126-AJ126)</f>
        <v/>
      </c>
      <c r="AP126" s="26">
        <f>IF(OR(AL126="",AJ126="",AJ126=0),"",(AL126-AJ126)/AJ126)</f>
        <v/>
      </c>
      <c r="AQ126" s="27">
        <f>IF(AP126="","",IF(AP126&lt;-0.05,"Moins cher",IF(AP126&gt;0.05,"Plus cher","Équivalent")))</f>
        <v/>
      </c>
    </row>
    <row r="127">
      <c r="A127" s="41" t="n"/>
      <c r="B127" s="41"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2" t="n"/>
      <c r="V127" s="42" t="n"/>
      <c r="W127" s="42" t="n"/>
      <c r="X127" s="42" t="n"/>
      <c r="Y127" s="42" t="n"/>
      <c r="Z127" s="42" t="n"/>
      <c r="AA127" s="42" t="n"/>
      <c r="AB127" s="42" t="n"/>
      <c r="AC127" s="42" t="n"/>
      <c r="AD127" s="42" t="n"/>
      <c r="AE127" s="42" t="n"/>
      <c r="AF127" s="42" t="n"/>
      <c r="AG127" s="42" t="n"/>
      <c r="AH127" s="42" t="n"/>
      <c r="AI127" s="42" t="n"/>
      <c r="AJ127" s="22">
        <f>IFERROR(IF(IF('Relevé prix'!$B$1="SN",VLOOKUP($U127,'Relevé prix'!$A$4:$N$60,11,FALSE),VLOOKUP($U127,'Relevé prix'!$A$4:$N$60,7,FALSE))=0,"",IF('Relevé prix'!$B$1="SN",VLOOKUP($U127,'Relevé prix'!$A$4:$N$60,11,FALSE),VLOOKUP($U127,'Relevé prix'!$A$4:$N$60,7,FALSE))),"")</f>
        <v/>
      </c>
      <c r="AK127" s="23">
        <f>IFERROR(IF(IF('Relevé prix'!$B$1="SN",VLOOKUP($U127,'Relevé prix'!$A$4:$N$60,12,FALSE),VLOOKUP($U127,'Relevé prix'!$A$4:$N$60,8,FALSE))=0,"",IF('Relevé prix'!$B$1="SN",VLOOKUP($U127,'Relevé prix'!$A$4:$N$60,12,FALSE),VLOOKUP($U127,'Relevé prix'!$A$4:$N$60,8,FALSE))),"")</f>
        <v/>
      </c>
      <c r="AL127" s="24" t="n"/>
      <c r="AM127" s="25" t="n"/>
      <c r="AN127" s="25" t="n"/>
      <c r="AO127" s="22">
        <f>IF(OR(AL127="",AJ127=""),"",AL127-AJ127)</f>
        <v/>
      </c>
      <c r="AP127" s="26">
        <f>IF(OR(AL127="",AJ127="",AJ127=0),"",(AL127-AJ127)/AJ127)</f>
        <v/>
      </c>
      <c r="AQ127" s="27">
        <f>IF(AP127="","",IF(AP127&lt;-0.05,"Moins cher",IF(AP127&gt;0.05,"Plus cher","Équivalent")))</f>
        <v/>
      </c>
    </row>
    <row r="128">
      <c r="A128" s="41" t="n"/>
      <c r="B128" s="41" t="n"/>
      <c r="C128" s="41" t="n"/>
      <c r="D128" s="41" t="n"/>
      <c r="E128" s="41" t="n"/>
      <c r="F128" s="41" t="n"/>
      <c r="G128" s="41" t="n"/>
      <c r="H128" s="41" t="n"/>
      <c r="I128" s="41" t="n"/>
      <c r="J128" s="41" t="n"/>
      <c r="K128" s="41" t="n"/>
      <c r="L128" s="41" t="n"/>
      <c r="M128" s="41" t="n"/>
      <c r="N128" s="41" t="n"/>
      <c r="O128" s="41" t="n"/>
      <c r="P128" s="41" t="n"/>
      <c r="Q128" s="41" t="n"/>
      <c r="R128" s="41" t="n"/>
      <c r="S128" s="41" t="n"/>
      <c r="T128" s="41" t="n"/>
      <c r="U128" s="42" t="n"/>
      <c r="V128" s="42" t="n"/>
      <c r="W128" s="42" t="n"/>
      <c r="X128" s="42" t="n"/>
      <c r="Y128" s="42" t="n"/>
      <c r="Z128" s="42" t="n"/>
      <c r="AA128" s="42" t="n"/>
      <c r="AB128" s="42" t="n"/>
      <c r="AC128" s="42" t="n"/>
      <c r="AD128" s="42" t="n"/>
      <c r="AE128" s="42" t="n"/>
      <c r="AF128" s="42" t="n"/>
      <c r="AG128" s="42" t="n"/>
      <c r="AH128" s="42" t="n"/>
      <c r="AI128" s="42" t="n"/>
      <c r="AJ128" s="22">
        <f>IFERROR(IF(IF('Relevé prix'!$B$1="SN",VLOOKUP($U128,'Relevé prix'!$A$4:$N$60,11,FALSE),VLOOKUP($U128,'Relevé prix'!$A$4:$N$60,7,FALSE))=0,"",IF('Relevé prix'!$B$1="SN",VLOOKUP($U128,'Relevé prix'!$A$4:$N$60,11,FALSE),VLOOKUP($U128,'Relevé prix'!$A$4:$N$60,7,FALSE))),"")</f>
        <v/>
      </c>
      <c r="AK128" s="23">
        <f>IFERROR(IF(IF('Relevé prix'!$B$1="SN",VLOOKUP($U128,'Relevé prix'!$A$4:$N$60,12,FALSE),VLOOKUP($U128,'Relevé prix'!$A$4:$N$60,8,FALSE))=0,"",IF('Relevé prix'!$B$1="SN",VLOOKUP($U128,'Relevé prix'!$A$4:$N$60,12,FALSE),VLOOKUP($U128,'Relevé prix'!$A$4:$N$60,8,FALSE))),"")</f>
        <v/>
      </c>
      <c r="AL128" s="24" t="n"/>
      <c r="AM128" s="25" t="n"/>
      <c r="AN128" s="25" t="n"/>
      <c r="AO128" s="22">
        <f>IF(OR(AL128="",AJ128=""),"",AL128-AJ128)</f>
        <v/>
      </c>
      <c r="AP128" s="26">
        <f>IF(OR(AL128="",AJ128="",AJ128=0),"",(AL128-AJ128)/AJ128)</f>
        <v/>
      </c>
      <c r="AQ128" s="27">
        <f>IF(AP128="","",IF(AP128&lt;-0.05,"Moins cher",IF(AP128&gt;0.05,"Plus cher","Équivalent")))</f>
        <v/>
      </c>
    </row>
    <row r="129">
      <c r="A129" s="41" t="n"/>
      <c r="B129" s="41" t="n"/>
      <c r="C129" s="41" t="n"/>
      <c r="D129" s="41" t="n"/>
      <c r="E129" s="41" t="n"/>
      <c r="F129" s="41" t="n"/>
      <c r="G129" s="41" t="n"/>
      <c r="H129" s="41" t="n"/>
      <c r="I129" s="41" t="n"/>
      <c r="J129" s="41" t="n"/>
      <c r="K129" s="41" t="n"/>
      <c r="L129" s="41" t="n"/>
      <c r="M129" s="41" t="n"/>
      <c r="N129" s="41" t="n"/>
      <c r="O129" s="41" t="n"/>
      <c r="P129" s="41" t="n"/>
      <c r="Q129" s="41" t="n"/>
      <c r="R129" s="41" t="n"/>
      <c r="S129" s="41" t="n"/>
      <c r="T129" s="41" t="n"/>
      <c r="U129" s="42" t="n"/>
      <c r="V129" s="42" t="n"/>
      <c r="W129" s="42" t="n"/>
      <c r="X129" s="42" t="n"/>
      <c r="Y129" s="42" t="n"/>
      <c r="Z129" s="42" t="n"/>
      <c r="AA129" s="42" t="n"/>
      <c r="AB129" s="42" t="n"/>
      <c r="AC129" s="42" t="n"/>
      <c r="AD129" s="42" t="n"/>
      <c r="AE129" s="42" t="n"/>
      <c r="AF129" s="42" t="n"/>
      <c r="AG129" s="42" t="n"/>
      <c r="AH129" s="42" t="n"/>
      <c r="AI129" s="42" t="n"/>
      <c r="AJ129" s="22">
        <f>IFERROR(IF(IF('Relevé prix'!$B$1="SN",VLOOKUP($U129,'Relevé prix'!$A$4:$N$60,11,FALSE),VLOOKUP($U129,'Relevé prix'!$A$4:$N$60,7,FALSE))=0,"",IF('Relevé prix'!$B$1="SN",VLOOKUP($U129,'Relevé prix'!$A$4:$N$60,11,FALSE),VLOOKUP($U129,'Relevé prix'!$A$4:$N$60,7,FALSE))),"")</f>
        <v/>
      </c>
      <c r="AK129" s="23">
        <f>IFERROR(IF(IF('Relevé prix'!$B$1="SN",VLOOKUP($U129,'Relevé prix'!$A$4:$N$60,12,FALSE),VLOOKUP($U129,'Relevé prix'!$A$4:$N$60,8,FALSE))=0,"",IF('Relevé prix'!$B$1="SN",VLOOKUP($U129,'Relevé prix'!$A$4:$N$60,12,FALSE),VLOOKUP($U129,'Relevé prix'!$A$4:$N$60,8,FALSE))),"")</f>
        <v/>
      </c>
      <c r="AL129" s="24" t="n"/>
      <c r="AM129" s="25" t="n"/>
      <c r="AN129" s="25" t="n"/>
      <c r="AO129" s="22">
        <f>IF(OR(AL129="",AJ129=""),"",AL129-AJ129)</f>
        <v/>
      </c>
      <c r="AP129" s="26">
        <f>IF(OR(AL129="",AJ129="",AJ129=0),"",(AL129-AJ129)/AJ129)</f>
        <v/>
      </c>
      <c r="AQ129" s="27">
        <f>IF(AP129="","",IF(AP129&lt;-0.05,"Moins cher",IF(AP129&gt;0.05,"Plus cher","Équivalent")))</f>
        <v/>
      </c>
    </row>
    <row r="130">
      <c r="A130" s="41" t="n"/>
      <c r="B130" s="41" t="n"/>
      <c r="C130" s="41" t="n"/>
      <c r="D130" s="41" t="n"/>
      <c r="E130" s="41" t="n"/>
      <c r="F130" s="41" t="n"/>
      <c r="G130" s="41" t="n"/>
      <c r="H130" s="41" t="n"/>
      <c r="I130" s="41" t="n"/>
      <c r="J130" s="41" t="n"/>
      <c r="K130" s="41" t="n"/>
      <c r="L130" s="41" t="n"/>
      <c r="M130" s="41" t="n"/>
      <c r="N130" s="41" t="n"/>
      <c r="O130" s="41" t="n"/>
      <c r="P130" s="41" t="n"/>
      <c r="Q130" s="41" t="n"/>
      <c r="R130" s="41" t="n"/>
      <c r="S130" s="41" t="n"/>
      <c r="T130" s="41" t="n"/>
      <c r="U130" s="42" t="n"/>
      <c r="V130" s="42" t="n"/>
      <c r="W130" s="42" t="n"/>
      <c r="X130" s="42" t="n"/>
      <c r="Y130" s="42" t="n"/>
      <c r="Z130" s="42" t="n"/>
      <c r="AA130" s="42" t="n"/>
      <c r="AB130" s="42" t="n"/>
      <c r="AC130" s="42" t="n"/>
      <c r="AD130" s="42" t="n"/>
      <c r="AE130" s="42" t="n"/>
      <c r="AF130" s="42" t="n"/>
      <c r="AG130" s="42" t="n"/>
      <c r="AH130" s="42" t="n"/>
      <c r="AI130" s="42" t="n"/>
      <c r="AJ130" s="22">
        <f>IFERROR(IF(IF('Relevé prix'!$B$1="SN",VLOOKUP($U130,'Relevé prix'!$A$4:$N$60,11,FALSE),VLOOKUP($U130,'Relevé prix'!$A$4:$N$60,7,FALSE))=0,"",IF('Relevé prix'!$B$1="SN",VLOOKUP($U130,'Relevé prix'!$A$4:$N$60,11,FALSE),VLOOKUP($U130,'Relevé prix'!$A$4:$N$60,7,FALSE))),"")</f>
        <v/>
      </c>
      <c r="AK130" s="23">
        <f>IFERROR(IF(IF('Relevé prix'!$B$1="SN",VLOOKUP($U130,'Relevé prix'!$A$4:$N$60,12,FALSE),VLOOKUP($U130,'Relevé prix'!$A$4:$N$60,8,FALSE))=0,"",IF('Relevé prix'!$B$1="SN",VLOOKUP($U130,'Relevé prix'!$A$4:$N$60,12,FALSE),VLOOKUP($U130,'Relevé prix'!$A$4:$N$60,8,FALSE))),"")</f>
        <v/>
      </c>
      <c r="AL130" s="24" t="n"/>
      <c r="AM130" s="25" t="n"/>
      <c r="AN130" s="25" t="n"/>
      <c r="AO130" s="22">
        <f>IF(OR(AL130="",AJ130=""),"",AL130-AJ130)</f>
        <v/>
      </c>
      <c r="AP130" s="26">
        <f>IF(OR(AL130="",AJ130="",AJ130=0),"",(AL130-AJ130)/AJ130)</f>
        <v/>
      </c>
      <c r="AQ130" s="27">
        <f>IF(AP130="","",IF(AP130&lt;-0.05,"Moins cher",IF(AP130&gt;0.05,"Plus cher","Équivalent")))</f>
        <v/>
      </c>
    </row>
    <row r="131">
      <c r="A131" s="41" t="n"/>
      <c r="B131" s="41"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2" t="n"/>
      <c r="V131" s="42" t="n"/>
      <c r="W131" s="42" t="n"/>
      <c r="X131" s="42" t="n"/>
      <c r="Y131" s="42" t="n"/>
      <c r="Z131" s="42" t="n"/>
      <c r="AA131" s="42" t="n"/>
      <c r="AB131" s="42" t="n"/>
      <c r="AC131" s="42" t="n"/>
      <c r="AD131" s="42" t="n"/>
      <c r="AE131" s="42" t="n"/>
      <c r="AF131" s="42" t="n"/>
      <c r="AG131" s="42" t="n"/>
      <c r="AH131" s="42" t="n"/>
      <c r="AI131" s="42" t="n"/>
      <c r="AJ131" s="22">
        <f>IFERROR(IF(IF('Relevé prix'!$B$1="SN",VLOOKUP($U131,'Relevé prix'!$A$4:$N$60,11,FALSE),VLOOKUP($U131,'Relevé prix'!$A$4:$N$60,7,FALSE))=0,"",IF('Relevé prix'!$B$1="SN",VLOOKUP($U131,'Relevé prix'!$A$4:$N$60,11,FALSE),VLOOKUP($U131,'Relevé prix'!$A$4:$N$60,7,FALSE))),"")</f>
        <v/>
      </c>
      <c r="AK131" s="23">
        <f>IFERROR(IF(IF('Relevé prix'!$B$1="SN",VLOOKUP($U131,'Relevé prix'!$A$4:$N$60,12,FALSE),VLOOKUP($U131,'Relevé prix'!$A$4:$N$60,8,FALSE))=0,"",IF('Relevé prix'!$B$1="SN",VLOOKUP($U131,'Relevé prix'!$A$4:$N$60,12,FALSE),VLOOKUP($U131,'Relevé prix'!$A$4:$N$60,8,FALSE))),"")</f>
        <v/>
      </c>
      <c r="AL131" s="24" t="n"/>
      <c r="AM131" s="25" t="n"/>
      <c r="AN131" s="25" t="n"/>
      <c r="AO131" s="22">
        <f>IF(OR(AL131="",AJ131=""),"",AL131-AJ131)</f>
        <v/>
      </c>
      <c r="AP131" s="26">
        <f>IF(OR(AL131="",AJ131="",AJ131=0),"",(AL131-AJ131)/AJ131)</f>
        <v/>
      </c>
      <c r="AQ131" s="27">
        <f>IF(AP131="","",IF(AP131&lt;-0.05,"Moins cher",IF(AP131&gt;0.05,"Plus cher","Équivalent")))</f>
        <v/>
      </c>
    </row>
    <row r="132">
      <c r="A132" s="41" t="n"/>
      <c r="B132" s="41" t="n"/>
      <c r="C132" s="41" t="n"/>
      <c r="D132" s="41" t="n"/>
      <c r="E132" s="41" t="n"/>
      <c r="F132" s="41" t="n"/>
      <c r="G132" s="41" t="n"/>
      <c r="H132" s="41" t="n"/>
      <c r="I132" s="41" t="n"/>
      <c r="J132" s="41" t="n"/>
      <c r="K132" s="41" t="n"/>
      <c r="L132" s="41" t="n"/>
      <c r="M132" s="41" t="n"/>
      <c r="N132" s="41" t="n"/>
      <c r="O132" s="41" t="n"/>
      <c r="P132" s="41" t="n"/>
      <c r="Q132" s="41" t="n"/>
      <c r="R132" s="41" t="n"/>
      <c r="S132" s="41" t="n"/>
      <c r="T132" s="41" t="n"/>
      <c r="U132" s="42" t="n"/>
      <c r="V132" s="42" t="n"/>
      <c r="W132" s="42" t="n"/>
      <c r="X132" s="42" t="n"/>
      <c r="Y132" s="42" t="n"/>
      <c r="Z132" s="42" t="n"/>
      <c r="AA132" s="42" t="n"/>
      <c r="AB132" s="42" t="n"/>
      <c r="AC132" s="42" t="n"/>
      <c r="AD132" s="42" t="n"/>
      <c r="AE132" s="42" t="n"/>
      <c r="AF132" s="42" t="n"/>
      <c r="AG132" s="42" t="n"/>
      <c r="AH132" s="42" t="n"/>
      <c r="AI132" s="42" t="n"/>
      <c r="AJ132" s="22">
        <f>IFERROR(IF(IF('Relevé prix'!$B$1="SN",VLOOKUP($U132,'Relevé prix'!$A$4:$N$60,11,FALSE),VLOOKUP($U132,'Relevé prix'!$A$4:$N$60,7,FALSE))=0,"",IF('Relevé prix'!$B$1="SN",VLOOKUP($U132,'Relevé prix'!$A$4:$N$60,11,FALSE),VLOOKUP($U132,'Relevé prix'!$A$4:$N$60,7,FALSE))),"")</f>
        <v/>
      </c>
      <c r="AK132" s="23">
        <f>IFERROR(IF(IF('Relevé prix'!$B$1="SN",VLOOKUP($U132,'Relevé prix'!$A$4:$N$60,12,FALSE),VLOOKUP($U132,'Relevé prix'!$A$4:$N$60,8,FALSE))=0,"",IF('Relevé prix'!$B$1="SN",VLOOKUP($U132,'Relevé prix'!$A$4:$N$60,12,FALSE),VLOOKUP($U132,'Relevé prix'!$A$4:$N$60,8,FALSE))),"")</f>
        <v/>
      </c>
      <c r="AL132" s="24" t="n"/>
      <c r="AM132" s="25" t="n"/>
      <c r="AN132" s="25" t="n"/>
      <c r="AO132" s="22">
        <f>IF(OR(AL132="",AJ132=""),"",AL132-AJ132)</f>
        <v/>
      </c>
      <c r="AP132" s="26">
        <f>IF(OR(AL132="",AJ132="",AJ132=0),"",(AL132-AJ132)/AJ132)</f>
        <v/>
      </c>
      <c r="AQ132" s="27">
        <f>IF(AP132="","",IF(AP132&lt;-0.05,"Moins cher",IF(AP132&gt;0.05,"Plus cher","Équivalent")))</f>
        <v/>
      </c>
    </row>
    <row r="133">
      <c r="A133" s="41" t="n"/>
      <c r="B133" s="41" t="n"/>
      <c r="C133" s="41" t="n"/>
      <c r="D133" s="41" t="n"/>
      <c r="E133" s="41" t="n"/>
      <c r="F133" s="41" t="n"/>
      <c r="G133" s="41" t="n"/>
      <c r="H133" s="41" t="n"/>
      <c r="I133" s="41" t="n"/>
      <c r="J133" s="41" t="n"/>
      <c r="K133" s="41" t="n"/>
      <c r="L133" s="41" t="n"/>
      <c r="M133" s="41" t="n"/>
      <c r="N133" s="41" t="n"/>
      <c r="O133" s="41" t="n"/>
      <c r="P133" s="41" t="n"/>
      <c r="Q133" s="41" t="n"/>
      <c r="R133" s="41" t="n"/>
      <c r="S133" s="41" t="n"/>
      <c r="T133" s="41" t="n"/>
      <c r="U133" s="42" t="n"/>
      <c r="V133" s="42" t="n"/>
      <c r="W133" s="42" t="n"/>
      <c r="X133" s="42" t="n"/>
      <c r="Y133" s="42" t="n"/>
      <c r="Z133" s="42" t="n"/>
      <c r="AA133" s="42" t="n"/>
      <c r="AB133" s="42" t="n"/>
      <c r="AC133" s="42" t="n"/>
      <c r="AD133" s="42" t="n"/>
      <c r="AE133" s="42" t="n"/>
      <c r="AF133" s="42" t="n"/>
      <c r="AG133" s="42" t="n"/>
      <c r="AH133" s="42" t="n"/>
      <c r="AI133" s="42" t="n"/>
      <c r="AJ133" s="22">
        <f>IFERROR(IF(IF('Relevé prix'!$B$1="SN",VLOOKUP($U133,'Relevé prix'!$A$4:$N$60,11,FALSE),VLOOKUP($U133,'Relevé prix'!$A$4:$N$60,7,FALSE))=0,"",IF('Relevé prix'!$B$1="SN",VLOOKUP($U133,'Relevé prix'!$A$4:$N$60,11,FALSE),VLOOKUP($U133,'Relevé prix'!$A$4:$N$60,7,FALSE))),"")</f>
        <v/>
      </c>
      <c r="AK133" s="23">
        <f>IFERROR(IF(IF('Relevé prix'!$B$1="SN",VLOOKUP($U133,'Relevé prix'!$A$4:$N$60,12,FALSE),VLOOKUP($U133,'Relevé prix'!$A$4:$N$60,8,FALSE))=0,"",IF('Relevé prix'!$B$1="SN",VLOOKUP($U133,'Relevé prix'!$A$4:$N$60,12,FALSE),VLOOKUP($U133,'Relevé prix'!$A$4:$N$60,8,FALSE))),"")</f>
        <v/>
      </c>
      <c r="AL133" s="24" t="n"/>
      <c r="AM133" s="25" t="n"/>
      <c r="AN133" s="25" t="n"/>
      <c r="AO133" s="22">
        <f>IF(OR(AL133="",AJ133=""),"",AL133-AJ133)</f>
        <v/>
      </c>
      <c r="AP133" s="26">
        <f>IF(OR(AL133="",AJ133="",AJ133=0),"",(AL133-AJ133)/AJ133)</f>
        <v/>
      </c>
      <c r="AQ133" s="27">
        <f>IF(AP133="","",IF(AP133&lt;-0.05,"Moins cher",IF(AP133&gt;0.05,"Plus cher","Équivalent")))</f>
        <v/>
      </c>
    </row>
    <row r="134">
      <c r="A134" s="41" t="n"/>
      <c r="B134" s="41" t="n"/>
      <c r="C134" s="41" t="n"/>
      <c r="D134" s="41" t="n"/>
      <c r="E134" s="41" t="n"/>
      <c r="F134" s="41" t="n"/>
      <c r="G134" s="41" t="n"/>
      <c r="H134" s="41" t="n"/>
      <c r="I134" s="41" t="n"/>
      <c r="J134" s="41" t="n"/>
      <c r="K134" s="41" t="n"/>
      <c r="L134" s="41" t="n"/>
      <c r="M134" s="41" t="n"/>
      <c r="N134" s="41" t="n"/>
      <c r="O134" s="41" t="n"/>
      <c r="P134" s="41" t="n"/>
      <c r="Q134" s="41" t="n"/>
      <c r="R134" s="41" t="n"/>
      <c r="S134" s="41" t="n"/>
      <c r="T134" s="41" t="n"/>
      <c r="U134" s="42" t="n"/>
      <c r="V134" s="42" t="n"/>
      <c r="W134" s="42" t="n"/>
      <c r="X134" s="42" t="n"/>
      <c r="Y134" s="42" t="n"/>
      <c r="Z134" s="42" t="n"/>
      <c r="AA134" s="42" t="n"/>
      <c r="AB134" s="42" t="n"/>
      <c r="AC134" s="42" t="n"/>
      <c r="AD134" s="42" t="n"/>
      <c r="AE134" s="42" t="n"/>
      <c r="AF134" s="42" t="n"/>
      <c r="AG134" s="42" t="n"/>
      <c r="AH134" s="42" t="n"/>
      <c r="AI134" s="42" t="n"/>
      <c r="AJ134" s="22">
        <f>IFERROR(IF(IF('Relevé prix'!$B$1="SN",VLOOKUP($U134,'Relevé prix'!$A$4:$N$60,11,FALSE),VLOOKUP($U134,'Relevé prix'!$A$4:$N$60,7,FALSE))=0,"",IF('Relevé prix'!$B$1="SN",VLOOKUP($U134,'Relevé prix'!$A$4:$N$60,11,FALSE),VLOOKUP($U134,'Relevé prix'!$A$4:$N$60,7,FALSE))),"")</f>
        <v/>
      </c>
      <c r="AK134" s="23">
        <f>IFERROR(IF(IF('Relevé prix'!$B$1="SN",VLOOKUP($U134,'Relevé prix'!$A$4:$N$60,12,FALSE),VLOOKUP($U134,'Relevé prix'!$A$4:$N$60,8,FALSE))=0,"",IF('Relevé prix'!$B$1="SN",VLOOKUP($U134,'Relevé prix'!$A$4:$N$60,12,FALSE),VLOOKUP($U134,'Relevé prix'!$A$4:$N$60,8,FALSE))),"")</f>
        <v/>
      </c>
      <c r="AL134" s="24" t="n"/>
      <c r="AM134" s="25" t="n"/>
      <c r="AN134" s="25" t="n"/>
      <c r="AO134" s="22">
        <f>IF(OR(AL134="",AJ134=""),"",AL134-AJ134)</f>
        <v/>
      </c>
      <c r="AP134" s="26">
        <f>IF(OR(AL134="",AJ134="",AJ134=0),"",(AL134-AJ134)/AJ134)</f>
        <v/>
      </c>
      <c r="AQ134" s="27">
        <f>IF(AP134="","",IF(AP134&lt;-0.05,"Moins cher",IF(AP134&gt;0.05,"Plus cher","Équivalent")))</f>
        <v/>
      </c>
    </row>
    <row r="135">
      <c r="A135" s="41" t="n"/>
      <c r="B135" s="41" t="n"/>
      <c r="C135" s="41" t="n"/>
      <c r="D135" s="41" t="n"/>
      <c r="E135" s="41" t="n"/>
      <c r="F135" s="41" t="n"/>
      <c r="G135" s="41" t="n"/>
      <c r="H135" s="41" t="n"/>
      <c r="I135" s="41" t="n"/>
      <c r="J135" s="41" t="n"/>
      <c r="K135" s="41" t="n"/>
      <c r="L135" s="41" t="n"/>
      <c r="M135" s="41" t="n"/>
      <c r="N135" s="41" t="n"/>
      <c r="O135" s="41" t="n"/>
      <c r="P135" s="41" t="n"/>
      <c r="Q135" s="41" t="n"/>
      <c r="R135" s="41" t="n"/>
      <c r="S135" s="41" t="n"/>
      <c r="T135" s="41" t="n"/>
      <c r="U135" s="42" t="n"/>
      <c r="V135" s="42" t="n"/>
      <c r="W135" s="42" t="n"/>
      <c r="X135" s="42" t="n"/>
      <c r="Y135" s="42" t="n"/>
      <c r="Z135" s="42" t="n"/>
      <c r="AA135" s="42" t="n"/>
      <c r="AB135" s="42" t="n"/>
      <c r="AC135" s="42" t="n"/>
      <c r="AD135" s="42" t="n"/>
      <c r="AE135" s="42" t="n"/>
      <c r="AF135" s="42" t="n"/>
      <c r="AG135" s="42" t="n"/>
      <c r="AH135" s="42" t="n"/>
      <c r="AI135" s="42" t="n"/>
      <c r="AJ135" s="22">
        <f>IFERROR(IF(IF('Relevé prix'!$B$1="SN",VLOOKUP($U135,'Relevé prix'!$A$4:$N$60,11,FALSE),VLOOKUP($U135,'Relevé prix'!$A$4:$N$60,7,FALSE))=0,"",IF('Relevé prix'!$B$1="SN",VLOOKUP($U135,'Relevé prix'!$A$4:$N$60,11,FALSE),VLOOKUP($U135,'Relevé prix'!$A$4:$N$60,7,FALSE))),"")</f>
        <v/>
      </c>
      <c r="AK135" s="23">
        <f>IFERROR(IF(IF('Relevé prix'!$B$1="SN",VLOOKUP($U135,'Relevé prix'!$A$4:$N$60,12,FALSE),VLOOKUP($U135,'Relevé prix'!$A$4:$N$60,8,FALSE))=0,"",IF('Relevé prix'!$B$1="SN",VLOOKUP($U135,'Relevé prix'!$A$4:$N$60,12,FALSE),VLOOKUP($U135,'Relevé prix'!$A$4:$N$60,8,FALSE))),"")</f>
        <v/>
      </c>
      <c r="AL135" s="24" t="n"/>
      <c r="AM135" s="25" t="n"/>
      <c r="AN135" s="25" t="n"/>
      <c r="AO135" s="22">
        <f>IF(OR(AL135="",AJ135=""),"",AL135-AJ135)</f>
        <v/>
      </c>
      <c r="AP135" s="26">
        <f>IF(OR(AL135="",AJ135="",AJ135=0),"",(AL135-AJ135)/AJ135)</f>
        <v/>
      </c>
      <c r="AQ135" s="27">
        <f>IF(AP135="","",IF(AP135&lt;-0.05,"Moins cher",IF(AP135&gt;0.05,"Plus cher","Équivalent")))</f>
        <v/>
      </c>
    </row>
    <row r="136">
      <c r="A136" s="41" t="n"/>
      <c r="B136" s="41" t="n"/>
      <c r="C136" s="41" t="n"/>
      <c r="D136" s="41" t="n"/>
      <c r="E136" s="41" t="n"/>
      <c r="F136" s="41" t="n"/>
      <c r="G136" s="41" t="n"/>
      <c r="H136" s="41" t="n"/>
      <c r="I136" s="41" t="n"/>
      <c r="J136" s="41" t="n"/>
      <c r="K136" s="41" t="n"/>
      <c r="L136" s="41" t="n"/>
      <c r="M136" s="41" t="n"/>
      <c r="N136" s="41" t="n"/>
      <c r="O136" s="41" t="n"/>
      <c r="P136" s="41" t="n"/>
      <c r="Q136" s="41" t="n"/>
      <c r="R136" s="41" t="n"/>
      <c r="S136" s="41" t="n"/>
      <c r="T136" s="41" t="n"/>
      <c r="U136" s="42" t="n"/>
      <c r="V136" s="42" t="n"/>
      <c r="W136" s="42" t="n"/>
      <c r="X136" s="42" t="n"/>
      <c r="Y136" s="42" t="n"/>
      <c r="Z136" s="42" t="n"/>
      <c r="AA136" s="42" t="n"/>
      <c r="AB136" s="42" t="n"/>
      <c r="AC136" s="42" t="n"/>
      <c r="AD136" s="42" t="n"/>
      <c r="AE136" s="42" t="n"/>
      <c r="AF136" s="42" t="n"/>
      <c r="AG136" s="42" t="n"/>
      <c r="AH136" s="42" t="n"/>
      <c r="AI136" s="42" t="n"/>
      <c r="AJ136" s="22">
        <f>IFERROR(IF(IF('Relevé prix'!$B$1="SN",VLOOKUP($U136,'Relevé prix'!$A$4:$N$60,11,FALSE),VLOOKUP($U136,'Relevé prix'!$A$4:$N$60,7,FALSE))=0,"",IF('Relevé prix'!$B$1="SN",VLOOKUP($U136,'Relevé prix'!$A$4:$N$60,11,FALSE),VLOOKUP($U136,'Relevé prix'!$A$4:$N$60,7,FALSE))),"")</f>
        <v/>
      </c>
      <c r="AK136" s="23">
        <f>IFERROR(IF(IF('Relevé prix'!$B$1="SN",VLOOKUP($U136,'Relevé prix'!$A$4:$N$60,12,FALSE),VLOOKUP($U136,'Relevé prix'!$A$4:$N$60,8,FALSE))=0,"",IF('Relevé prix'!$B$1="SN",VLOOKUP($U136,'Relevé prix'!$A$4:$N$60,12,FALSE),VLOOKUP($U136,'Relevé prix'!$A$4:$N$60,8,FALSE))),"")</f>
        <v/>
      </c>
      <c r="AL136" s="24" t="n"/>
      <c r="AM136" s="25" t="n"/>
      <c r="AN136" s="25" t="n"/>
      <c r="AO136" s="22">
        <f>IF(OR(AL136="",AJ136=""),"",AL136-AJ136)</f>
        <v/>
      </c>
      <c r="AP136" s="26">
        <f>IF(OR(AL136="",AJ136="",AJ136=0),"",(AL136-AJ136)/AJ136)</f>
        <v/>
      </c>
      <c r="AQ136" s="27">
        <f>IF(AP136="","",IF(AP136&lt;-0.05,"Moins cher",IF(AP136&gt;0.05,"Plus cher","Équivalent")))</f>
        <v/>
      </c>
    </row>
    <row r="137">
      <c r="A137" s="41" t="n"/>
      <c r="B137" s="41"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2" t="n"/>
      <c r="V137" s="42" t="n"/>
      <c r="W137" s="42" t="n"/>
      <c r="X137" s="42" t="n"/>
      <c r="Y137" s="42" t="n"/>
      <c r="Z137" s="42" t="n"/>
      <c r="AA137" s="42" t="n"/>
      <c r="AB137" s="42" t="n"/>
      <c r="AC137" s="42" t="n"/>
      <c r="AD137" s="42" t="n"/>
      <c r="AE137" s="42" t="n"/>
      <c r="AF137" s="42" t="n"/>
      <c r="AG137" s="42" t="n"/>
      <c r="AH137" s="42" t="n"/>
      <c r="AI137" s="42" t="n"/>
      <c r="AJ137" s="22">
        <f>IFERROR(IF(IF('Relevé prix'!$B$1="SN",VLOOKUP($U137,'Relevé prix'!$A$4:$N$60,11,FALSE),VLOOKUP($U137,'Relevé prix'!$A$4:$N$60,7,FALSE))=0,"",IF('Relevé prix'!$B$1="SN",VLOOKUP($U137,'Relevé prix'!$A$4:$N$60,11,FALSE),VLOOKUP($U137,'Relevé prix'!$A$4:$N$60,7,FALSE))),"")</f>
        <v/>
      </c>
      <c r="AK137" s="23">
        <f>IFERROR(IF(IF('Relevé prix'!$B$1="SN",VLOOKUP($U137,'Relevé prix'!$A$4:$N$60,12,FALSE),VLOOKUP($U137,'Relevé prix'!$A$4:$N$60,8,FALSE))=0,"",IF('Relevé prix'!$B$1="SN",VLOOKUP($U137,'Relevé prix'!$A$4:$N$60,12,FALSE),VLOOKUP($U137,'Relevé prix'!$A$4:$N$60,8,FALSE))),"")</f>
        <v/>
      </c>
      <c r="AL137" s="24" t="n"/>
      <c r="AM137" s="25" t="n"/>
      <c r="AN137" s="25" t="n"/>
      <c r="AO137" s="22">
        <f>IF(OR(AL137="",AJ137=""),"",AL137-AJ137)</f>
        <v/>
      </c>
      <c r="AP137" s="26">
        <f>IF(OR(AL137="",AJ137="",AJ137=0),"",(AL137-AJ137)/AJ137)</f>
        <v/>
      </c>
      <c r="AQ137" s="27">
        <f>IF(AP137="","",IF(AP137&lt;-0.05,"Moins cher",IF(AP137&gt;0.05,"Plus cher","Équivalent")))</f>
        <v/>
      </c>
    </row>
    <row r="138">
      <c r="A138" s="41" t="n"/>
      <c r="B138" s="41" t="n"/>
      <c r="C138" s="41" t="n"/>
      <c r="D138" s="41" t="n"/>
      <c r="E138" s="41" t="n"/>
      <c r="F138" s="41" t="n"/>
      <c r="G138" s="41" t="n"/>
      <c r="H138" s="41" t="n"/>
      <c r="I138" s="41" t="n"/>
      <c r="J138" s="41" t="n"/>
      <c r="K138" s="41" t="n"/>
      <c r="L138" s="41" t="n"/>
      <c r="M138" s="41" t="n"/>
      <c r="N138" s="41" t="n"/>
      <c r="O138" s="41" t="n"/>
      <c r="P138" s="41" t="n"/>
      <c r="Q138" s="41" t="n"/>
      <c r="R138" s="41" t="n"/>
      <c r="S138" s="41" t="n"/>
      <c r="T138" s="41" t="n"/>
      <c r="U138" s="42" t="n"/>
      <c r="V138" s="42" t="n"/>
      <c r="W138" s="42" t="n"/>
      <c r="X138" s="42" t="n"/>
      <c r="Y138" s="42" t="n"/>
      <c r="Z138" s="42" t="n"/>
      <c r="AA138" s="42" t="n"/>
      <c r="AB138" s="42" t="n"/>
      <c r="AC138" s="42" t="n"/>
      <c r="AD138" s="42" t="n"/>
      <c r="AE138" s="42" t="n"/>
      <c r="AF138" s="42" t="n"/>
      <c r="AG138" s="42" t="n"/>
      <c r="AH138" s="42" t="n"/>
      <c r="AI138" s="42" t="n"/>
      <c r="AJ138" s="22">
        <f>IFERROR(IF(IF('Relevé prix'!$B$1="SN",VLOOKUP($U138,'Relevé prix'!$A$4:$N$60,11,FALSE),VLOOKUP($U138,'Relevé prix'!$A$4:$N$60,7,FALSE))=0,"",IF('Relevé prix'!$B$1="SN",VLOOKUP($U138,'Relevé prix'!$A$4:$N$60,11,FALSE),VLOOKUP($U138,'Relevé prix'!$A$4:$N$60,7,FALSE))),"")</f>
        <v/>
      </c>
      <c r="AK138" s="23">
        <f>IFERROR(IF(IF('Relevé prix'!$B$1="SN",VLOOKUP($U138,'Relevé prix'!$A$4:$N$60,12,FALSE),VLOOKUP($U138,'Relevé prix'!$A$4:$N$60,8,FALSE))=0,"",IF('Relevé prix'!$B$1="SN",VLOOKUP($U138,'Relevé prix'!$A$4:$N$60,12,FALSE),VLOOKUP($U138,'Relevé prix'!$A$4:$N$60,8,FALSE))),"")</f>
        <v/>
      </c>
      <c r="AL138" s="24" t="n"/>
      <c r="AM138" s="25" t="n"/>
      <c r="AN138" s="25" t="n"/>
      <c r="AO138" s="22">
        <f>IF(OR(AL138="",AJ138=""),"",AL138-AJ138)</f>
        <v/>
      </c>
      <c r="AP138" s="26">
        <f>IF(OR(AL138="",AJ138="",AJ138=0),"",(AL138-AJ138)/AJ138)</f>
        <v/>
      </c>
      <c r="AQ138" s="27">
        <f>IF(AP138="","",IF(AP138&lt;-0.05,"Moins cher",IF(AP138&gt;0.05,"Plus cher","Équivalent")))</f>
        <v/>
      </c>
    </row>
    <row r="139">
      <c r="A139" s="41" t="n"/>
      <c r="B139" s="41" t="n"/>
      <c r="C139" s="41" t="n"/>
      <c r="D139" s="41" t="n"/>
      <c r="E139" s="41" t="n"/>
      <c r="F139" s="41" t="n"/>
      <c r="G139" s="41" t="n"/>
      <c r="H139" s="41" t="n"/>
      <c r="I139" s="41" t="n"/>
      <c r="J139" s="41" t="n"/>
      <c r="K139" s="41" t="n"/>
      <c r="L139" s="41" t="n"/>
      <c r="M139" s="41" t="n"/>
      <c r="N139" s="41" t="n"/>
      <c r="O139" s="41" t="n"/>
      <c r="P139" s="41" t="n"/>
      <c r="Q139" s="41" t="n"/>
      <c r="R139" s="41" t="n"/>
      <c r="S139" s="41" t="n"/>
      <c r="T139" s="41" t="n"/>
      <c r="U139" s="42" t="n"/>
      <c r="V139" s="42" t="n"/>
      <c r="W139" s="42" t="n"/>
      <c r="X139" s="42" t="n"/>
      <c r="Y139" s="42" t="n"/>
      <c r="Z139" s="42" t="n"/>
      <c r="AA139" s="42" t="n"/>
      <c r="AB139" s="42" t="n"/>
      <c r="AC139" s="42" t="n"/>
      <c r="AD139" s="42" t="n"/>
      <c r="AE139" s="42" t="n"/>
      <c r="AF139" s="42" t="n"/>
      <c r="AG139" s="42" t="n"/>
      <c r="AH139" s="42" t="n"/>
      <c r="AI139" s="42" t="n"/>
      <c r="AJ139" s="22">
        <f>IFERROR(IF(IF('Relevé prix'!$B$1="SN",VLOOKUP($U139,'Relevé prix'!$A$4:$N$60,11,FALSE),VLOOKUP($U139,'Relevé prix'!$A$4:$N$60,7,FALSE))=0,"",IF('Relevé prix'!$B$1="SN",VLOOKUP($U139,'Relevé prix'!$A$4:$N$60,11,FALSE),VLOOKUP($U139,'Relevé prix'!$A$4:$N$60,7,FALSE))),"")</f>
        <v/>
      </c>
      <c r="AK139" s="23">
        <f>IFERROR(IF(IF('Relevé prix'!$B$1="SN",VLOOKUP($U139,'Relevé prix'!$A$4:$N$60,12,FALSE),VLOOKUP($U139,'Relevé prix'!$A$4:$N$60,8,FALSE))=0,"",IF('Relevé prix'!$B$1="SN",VLOOKUP($U139,'Relevé prix'!$A$4:$N$60,12,FALSE),VLOOKUP($U139,'Relevé prix'!$A$4:$N$60,8,FALSE))),"")</f>
        <v/>
      </c>
      <c r="AL139" s="24" t="n"/>
      <c r="AM139" s="25" t="n"/>
      <c r="AN139" s="25" t="n"/>
      <c r="AO139" s="22">
        <f>IF(OR(AL139="",AJ139=""),"",AL139-AJ139)</f>
        <v/>
      </c>
      <c r="AP139" s="26">
        <f>IF(OR(AL139="",AJ139="",AJ139=0),"",(AL139-AJ139)/AJ139)</f>
        <v/>
      </c>
      <c r="AQ139" s="27">
        <f>IF(AP139="","",IF(AP139&lt;-0.05,"Moins cher",IF(AP139&gt;0.05,"Plus cher","Équivalent")))</f>
        <v/>
      </c>
    </row>
    <row r="140">
      <c r="A140" s="41" t="n"/>
      <c r="B140" s="41" t="n"/>
      <c r="C140" s="41" t="n"/>
      <c r="D140" s="41" t="n"/>
      <c r="E140" s="41" t="n"/>
      <c r="F140" s="41" t="n"/>
      <c r="G140" s="41" t="n"/>
      <c r="H140" s="41" t="n"/>
      <c r="I140" s="41" t="n"/>
      <c r="J140" s="41" t="n"/>
      <c r="K140" s="41" t="n"/>
      <c r="L140" s="41" t="n"/>
      <c r="M140" s="41" t="n"/>
      <c r="N140" s="41" t="n"/>
      <c r="O140" s="41" t="n"/>
      <c r="P140" s="41" t="n"/>
      <c r="Q140" s="41" t="n"/>
      <c r="R140" s="41" t="n"/>
      <c r="S140" s="41" t="n"/>
      <c r="T140" s="41" t="n"/>
      <c r="U140" s="42" t="n"/>
      <c r="V140" s="42" t="n"/>
      <c r="W140" s="42" t="n"/>
      <c r="X140" s="42" t="n"/>
      <c r="Y140" s="42" t="n"/>
      <c r="Z140" s="42" t="n"/>
      <c r="AA140" s="42" t="n"/>
      <c r="AB140" s="42" t="n"/>
      <c r="AC140" s="42" t="n"/>
      <c r="AD140" s="42" t="n"/>
      <c r="AE140" s="42" t="n"/>
      <c r="AF140" s="42" t="n"/>
      <c r="AG140" s="42" t="n"/>
      <c r="AH140" s="42" t="n"/>
      <c r="AI140" s="42" t="n"/>
      <c r="AJ140" s="22">
        <f>IFERROR(IF(IF('Relevé prix'!$B$1="SN",VLOOKUP($U140,'Relevé prix'!$A$4:$N$60,11,FALSE),VLOOKUP($U140,'Relevé prix'!$A$4:$N$60,7,FALSE))=0,"",IF('Relevé prix'!$B$1="SN",VLOOKUP($U140,'Relevé prix'!$A$4:$N$60,11,FALSE),VLOOKUP($U140,'Relevé prix'!$A$4:$N$60,7,FALSE))),"")</f>
        <v/>
      </c>
      <c r="AK140" s="23">
        <f>IFERROR(IF(IF('Relevé prix'!$B$1="SN",VLOOKUP($U140,'Relevé prix'!$A$4:$N$60,12,FALSE),VLOOKUP($U140,'Relevé prix'!$A$4:$N$60,8,FALSE))=0,"",IF('Relevé prix'!$B$1="SN",VLOOKUP($U140,'Relevé prix'!$A$4:$N$60,12,FALSE),VLOOKUP($U140,'Relevé prix'!$A$4:$N$60,8,FALSE))),"")</f>
        <v/>
      </c>
      <c r="AL140" s="24" t="n"/>
      <c r="AM140" s="25" t="n"/>
      <c r="AN140" s="25" t="n"/>
      <c r="AO140" s="22">
        <f>IF(OR(AL140="",AJ140=""),"",AL140-AJ140)</f>
        <v/>
      </c>
      <c r="AP140" s="26">
        <f>IF(OR(AL140="",AJ140="",AJ140=0),"",(AL140-AJ140)/AJ140)</f>
        <v/>
      </c>
      <c r="AQ140" s="27">
        <f>IF(AP140="","",IF(AP140&lt;-0.05,"Moins cher",IF(AP140&gt;0.05,"Plus cher","Équivalent")))</f>
        <v/>
      </c>
    </row>
    <row r="141">
      <c r="A141" s="41" t="n"/>
      <c r="B141" s="41" t="n"/>
      <c r="C141" s="41" t="n"/>
      <c r="D141" s="41" t="n"/>
      <c r="E141" s="41" t="n"/>
      <c r="F141" s="41" t="n"/>
      <c r="G141" s="41" t="n"/>
      <c r="H141" s="41" t="n"/>
      <c r="I141" s="41" t="n"/>
      <c r="J141" s="41" t="n"/>
      <c r="K141" s="41" t="n"/>
      <c r="L141" s="41" t="n"/>
      <c r="M141" s="41" t="n"/>
      <c r="N141" s="41" t="n"/>
      <c r="O141" s="41" t="n"/>
      <c r="P141" s="41" t="n"/>
      <c r="Q141" s="41" t="n"/>
      <c r="R141" s="41" t="n"/>
      <c r="S141" s="41" t="n"/>
      <c r="T141" s="41" t="n"/>
      <c r="U141" s="42" t="n"/>
      <c r="V141" s="42" t="n"/>
      <c r="W141" s="42" t="n"/>
      <c r="X141" s="42" t="n"/>
      <c r="Y141" s="42" t="n"/>
      <c r="Z141" s="42" t="n"/>
      <c r="AA141" s="42" t="n"/>
      <c r="AB141" s="42" t="n"/>
      <c r="AC141" s="42" t="n"/>
      <c r="AD141" s="42" t="n"/>
      <c r="AE141" s="42" t="n"/>
      <c r="AF141" s="42" t="n"/>
      <c r="AG141" s="42" t="n"/>
      <c r="AH141" s="42" t="n"/>
      <c r="AI141" s="42" t="n"/>
      <c r="AJ141" s="22">
        <f>IFERROR(IF(IF('Relevé prix'!$B$1="SN",VLOOKUP($U141,'Relevé prix'!$A$4:$N$60,11,FALSE),VLOOKUP($U141,'Relevé prix'!$A$4:$N$60,7,FALSE))=0,"",IF('Relevé prix'!$B$1="SN",VLOOKUP($U141,'Relevé prix'!$A$4:$N$60,11,FALSE),VLOOKUP($U141,'Relevé prix'!$A$4:$N$60,7,FALSE))),"")</f>
        <v/>
      </c>
      <c r="AK141" s="23">
        <f>IFERROR(IF(IF('Relevé prix'!$B$1="SN",VLOOKUP($U141,'Relevé prix'!$A$4:$N$60,12,FALSE),VLOOKUP($U141,'Relevé prix'!$A$4:$N$60,8,FALSE))=0,"",IF('Relevé prix'!$B$1="SN",VLOOKUP($U141,'Relevé prix'!$A$4:$N$60,12,FALSE),VLOOKUP($U141,'Relevé prix'!$A$4:$N$60,8,FALSE))),"")</f>
        <v/>
      </c>
      <c r="AL141" s="24" t="n"/>
      <c r="AM141" s="25" t="n"/>
      <c r="AN141" s="25" t="n"/>
      <c r="AO141" s="22">
        <f>IF(OR(AL141="",AJ141=""),"",AL141-AJ141)</f>
        <v/>
      </c>
      <c r="AP141" s="26">
        <f>IF(OR(AL141="",AJ141="",AJ141=0),"",(AL141-AJ141)/AJ141)</f>
        <v/>
      </c>
      <c r="AQ141" s="27">
        <f>IF(AP141="","",IF(AP141&lt;-0.05,"Moins cher",IF(AP141&gt;0.05,"Plus cher","Équivalent")))</f>
        <v/>
      </c>
    </row>
    <row r="142">
      <c r="A142" s="41" t="n"/>
      <c r="B142" s="41" t="n"/>
      <c r="C142" s="41" t="n"/>
      <c r="D142" s="41" t="n"/>
      <c r="E142" s="41" t="n"/>
      <c r="F142" s="41" t="n"/>
      <c r="G142" s="41" t="n"/>
      <c r="H142" s="41" t="n"/>
      <c r="I142" s="41" t="n"/>
      <c r="J142" s="41" t="n"/>
      <c r="K142" s="41" t="n"/>
      <c r="L142" s="41" t="n"/>
      <c r="M142" s="41" t="n"/>
      <c r="N142" s="41" t="n"/>
      <c r="O142" s="41" t="n"/>
      <c r="P142" s="41" t="n"/>
      <c r="Q142" s="41" t="n"/>
      <c r="R142" s="41" t="n"/>
      <c r="S142" s="41" t="n"/>
      <c r="T142" s="41" t="n"/>
      <c r="U142" s="42" t="n"/>
      <c r="V142" s="42" t="n"/>
      <c r="W142" s="42" t="n"/>
      <c r="X142" s="42" t="n"/>
      <c r="Y142" s="42" t="n"/>
      <c r="Z142" s="42" t="n"/>
      <c r="AA142" s="42" t="n"/>
      <c r="AB142" s="42" t="n"/>
      <c r="AC142" s="42" t="n"/>
      <c r="AD142" s="42" t="n"/>
      <c r="AE142" s="42" t="n"/>
      <c r="AF142" s="42" t="n"/>
      <c r="AG142" s="42" t="n"/>
      <c r="AH142" s="42" t="n"/>
      <c r="AI142" s="42" t="n"/>
      <c r="AJ142" s="22">
        <f>IFERROR(IF(IF('Relevé prix'!$B$1="SN",VLOOKUP($U142,'Relevé prix'!$A$4:$N$60,11,FALSE),VLOOKUP($U142,'Relevé prix'!$A$4:$N$60,7,FALSE))=0,"",IF('Relevé prix'!$B$1="SN",VLOOKUP($U142,'Relevé prix'!$A$4:$N$60,11,FALSE),VLOOKUP($U142,'Relevé prix'!$A$4:$N$60,7,FALSE))),"")</f>
        <v/>
      </c>
      <c r="AK142" s="23">
        <f>IFERROR(IF(IF('Relevé prix'!$B$1="SN",VLOOKUP($U142,'Relevé prix'!$A$4:$N$60,12,FALSE),VLOOKUP($U142,'Relevé prix'!$A$4:$N$60,8,FALSE))=0,"",IF('Relevé prix'!$B$1="SN",VLOOKUP($U142,'Relevé prix'!$A$4:$N$60,12,FALSE),VLOOKUP($U142,'Relevé prix'!$A$4:$N$60,8,FALSE))),"")</f>
        <v/>
      </c>
      <c r="AL142" s="24" t="n"/>
      <c r="AM142" s="25" t="n"/>
      <c r="AN142" s="25" t="n"/>
      <c r="AO142" s="22">
        <f>IF(OR(AL142="",AJ142=""),"",AL142-AJ142)</f>
        <v/>
      </c>
      <c r="AP142" s="26">
        <f>IF(OR(AL142="",AJ142="",AJ142=0),"",(AL142-AJ142)/AJ142)</f>
        <v/>
      </c>
      <c r="AQ142" s="27">
        <f>IF(AP142="","",IF(AP142&lt;-0.05,"Moins cher",IF(AP142&gt;0.05,"Plus cher","Équivalent")))</f>
        <v/>
      </c>
    </row>
    <row r="143">
      <c r="A143" s="41" t="n"/>
      <c r="B143" s="41"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2" t="n"/>
      <c r="V143" s="42" t="n"/>
      <c r="W143" s="42" t="n"/>
      <c r="X143" s="42" t="n"/>
      <c r="Y143" s="42" t="n"/>
      <c r="Z143" s="42" t="n"/>
      <c r="AA143" s="42" t="n"/>
      <c r="AB143" s="42" t="n"/>
      <c r="AC143" s="42" t="n"/>
      <c r="AD143" s="42" t="n"/>
      <c r="AE143" s="42" t="n"/>
      <c r="AF143" s="42" t="n"/>
      <c r="AG143" s="42" t="n"/>
      <c r="AH143" s="42" t="n"/>
      <c r="AI143" s="42" t="n"/>
      <c r="AJ143" s="22">
        <f>IFERROR(IF(IF('Relevé prix'!$B$1="SN",VLOOKUP($U143,'Relevé prix'!$A$4:$N$60,11,FALSE),VLOOKUP($U143,'Relevé prix'!$A$4:$N$60,7,FALSE))=0,"",IF('Relevé prix'!$B$1="SN",VLOOKUP($U143,'Relevé prix'!$A$4:$N$60,11,FALSE),VLOOKUP($U143,'Relevé prix'!$A$4:$N$60,7,FALSE))),"")</f>
        <v/>
      </c>
      <c r="AK143" s="23">
        <f>IFERROR(IF(IF('Relevé prix'!$B$1="SN",VLOOKUP($U143,'Relevé prix'!$A$4:$N$60,12,FALSE),VLOOKUP($U143,'Relevé prix'!$A$4:$N$60,8,FALSE))=0,"",IF('Relevé prix'!$B$1="SN",VLOOKUP($U143,'Relevé prix'!$A$4:$N$60,12,FALSE),VLOOKUP($U143,'Relevé prix'!$A$4:$N$60,8,FALSE))),"")</f>
        <v/>
      </c>
      <c r="AL143" s="24" t="n"/>
      <c r="AM143" s="25" t="n"/>
      <c r="AN143" s="25" t="n"/>
      <c r="AO143" s="22">
        <f>IF(OR(AL143="",AJ143=""),"",AL143-AJ143)</f>
        <v/>
      </c>
      <c r="AP143" s="26">
        <f>IF(OR(AL143="",AJ143="",AJ143=0),"",(AL143-AJ143)/AJ143)</f>
        <v/>
      </c>
      <c r="AQ143" s="27">
        <f>IF(AP143="","",IF(AP143&lt;-0.05,"Moins cher",IF(AP143&gt;0.05,"Plus cher","Équivalent")))</f>
        <v/>
      </c>
    </row>
    <row r="144">
      <c r="A144" s="41" t="n"/>
      <c r="B144" s="41" t="n"/>
      <c r="C144" s="41" t="n"/>
      <c r="D144" s="41" t="n"/>
      <c r="E144" s="41" t="n"/>
      <c r="F144" s="41" t="n"/>
      <c r="G144" s="41" t="n"/>
      <c r="H144" s="41" t="n"/>
      <c r="I144" s="41" t="n"/>
      <c r="J144" s="41" t="n"/>
      <c r="K144" s="41" t="n"/>
      <c r="L144" s="41" t="n"/>
      <c r="M144" s="41" t="n"/>
      <c r="N144" s="41" t="n"/>
      <c r="O144" s="41" t="n"/>
      <c r="P144" s="41" t="n"/>
      <c r="Q144" s="41" t="n"/>
      <c r="R144" s="41" t="n"/>
      <c r="S144" s="41" t="n"/>
      <c r="T144" s="41" t="n"/>
      <c r="U144" s="42" t="n"/>
      <c r="V144" s="42" t="n"/>
      <c r="W144" s="42" t="n"/>
      <c r="X144" s="42" t="n"/>
      <c r="Y144" s="42" t="n"/>
      <c r="Z144" s="42" t="n"/>
      <c r="AA144" s="42" t="n"/>
      <c r="AB144" s="42" t="n"/>
      <c r="AC144" s="42" t="n"/>
      <c r="AD144" s="42" t="n"/>
      <c r="AE144" s="42" t="n"/>
      <c r="AF144" s="42" t="n"/>
      <c r="AG144" s="42" t="n"/>
      <c r="AH144" s="42" t="n"/>
      <c r="AI144" s="42" t="n"/>
      <c r="AJ144" s="22">
        <f>IFERROR(IF(IF('Relevé prix'!$B$1="SN",VLOOKUP($U144,'Relevé prix'!$A$4:$N$60,11,FALSE),VLOOKUP($U144,'Relevé prix'!$A$4:$N$60,7,FALSE))=0,"",IF('Relevé prix'!$B$1="SN",VLOOKUP($U144,'Relevé prix'!$A$4:$N$60,11,FALSE),VLOOKUP($U144,'Relevé prix'!$A$4:$N$60,7,FALSE))),"")</f>
        <v/>
      </c>
      <c r="AK144" s="23">
        <f>IFERROR(IF(IF('Relevé prix'!$B$1="SN",VLOOKUP($U144,'Relevé prix'!$A$4:$N$60,12,FALSE),VLOOKUP($U144,'Relevé prix'!$A$4:$N$60,8,FALSE))=0,"",IF('Relevé prix'!$B$1="SN",VLOOKUP($U144,'Relevé prix'!$A$4:$N$60,12,FALSE),VLOOKUP($U144,'Relevé prix'!$A$4:$N$60,8,FALSE))),"")</f>
        <v/>
      </c>
      <c r="AL144" s="24" t="n"/>
      <c r="AM144" s="25" t="n"/>
      <c r="AN144" s="25" t="n"/>
      <c r="AO144" s="22">
        <f>IF(OR(AL144="",AJ144=""),"",AL144-AJ144)</f>
        <v/>
      </c>
      <c r="AP144" s="26">
        <f>IF(OR(AL144="",AJ144="",AJ144=0),"",(AL144-AJ144)/AJ144)</f>
        <v/>
      </c>
      <c r="AQ144" s="27">
        <f>IF(AP144="","",IF(AP144&lt;-0.05,"Moins cher",IF(AP144&gt;0.05,"Plus cher","Équivalent")))</f>
        <v/>
      </c>
    </row>
    <row r="145">
      <c r="A145" s="41" t="n"/>
      <c r="B145" s="41" t="n"/>
      <c r="C145" s="41" t="n"/>
      <c r="D145" s="41" t="n"/>
      <c r="E145" s="41" t="n"/>
      <c r="F145" s="41" t="n"/>
      <c r="G145" s="41" t="n"/>
      <c r="H145" s="41" t="n"/>
      <c r="I145" s="41" t="n"/>
      <c r="J145" s="41" t="n"/>
      <c r="K145" s="41" t="n"/>
      <c r="L145" s="41" t="n"/>
      <c r="M145" s="41" t="n"/>
      <c r="N145" s="41" t="n"/>
      <c r="O145" s="41" t="n"/>
      <c r="P145" s="41" t="n"/>
      <c r="Q145" s="41" t="n"/>
      <c r="R145" s="41" t="n"/>
      <c r="S145" s="41" t="n"/>
      <c r="T145" s="41" t="n"/>
      <c r="U145" s="42" t="n"/>
      <c r="V145" s="42" t="n"/>
      <c r="W145" s="42" t="n"/>
      <c r="X145" s="42" t="n"/>
      <c r="Y145" s="42" t="n"/>
      <c r="Z145" s="42" t="n"/>
      <c r="AA145" s="42" t="n"/>
      <c r="AB145" s="42" t="n"/>
      <c r="AC145" s="42" t="n"/>
      <c r="AD145" s="42" t="n"/>
      <c r="AE145" s="42" t="n"/>
      <c r="AF145" s="42" t="n"/>
      <c r="AG145" s="42" t="n"/>
      <c r="AH145" s="42" t="n"/>
      <c r="AI145" s="42" t="n"/>
      <c r="AJ145" s="22">
        <f>IFERROR(IF(IF('Relevé prix'!$B$1="SN",VLOOKUP($U145,'Relevé prix'!$A$4:$N$60,11,FALSE),VLOOKUP($U145,'Relevé prix'!$A$4:$N$60,7,FALSE))=0,"",IF('Relevé prix'!$B$1="SN",VLOOKUP($U145,'Relevé prix'!$A$4:$N$60,11,FALSE),VLOOKUP($U145,'Relevé prix'!$A$4:$N$60,7,FALSE))),"")</f>
        <v/>
      </c>
      <c r="AK145" s="23">
        <f>IFERROR(IF(IF('Relevé prix'!$B$1="SN",VLOOKUP($U145,'Relevé prix'!$A$4:$N$60,12,FALSE),VLOOKUP($U145,'Relevé prix'!$A$4:$N$60,8,FALSE))=0,"",IF('Relevé prix'!$B$1="SN",VLOOKUP($U145,'Relevé prix'!$A$4:$N$60,12,FALSE),VLOOKUP($U145,'Relevé prix'!$A$4:$N$60,8,FALSE))),"")</f>
        <v/>
      </c>
      <c r="AL145" s="24" t="n"/>
      <c r="AM145" s="25" t="n"/>
      <c r="AN145" s="25" t="n"/>
      <c r="AO145" s="22">
        <f>IF(OR(AL145="",AJ145=""),"",AL145-AJ145)</f>
        <v/>
      </c>
      <c r="AP145" s="26">
        <f>IF(OR(AL145="",AJ145="",AJ145=0),"",(AL145-AJ145)/AJ145)</f>
        <v/>
      </c>
      <c r="AQ145" s="27">
        <f>IF(AP145="","",IF(AP145&lt;-0.05,"Moins cher",IF(AP145&gt;0.05,"Plus cher","Équivalent")))</f>
        <v/>
      </c>
    </row>
    <row r="146">
      <c r="A146" s="41" t="n"/>
      <c r="B146" s="41" t="n"/>
      <c r="C146" s="41" t="n"/>
      <c r="D146" s="41" t="n"/>
      <c r="E146" s="41" t="n"/>
      <c r="F146" s="41" t="n"/>
      <c r="G146" s="41" t="n"/>
      <c r="H146" s="41" t="n"/>
      <c r="I146" s="41" t="n"/>
      <c r="J146" s="41" t="n"/>
      <c r="K146" s="41" t="n"/>
      <c r="L146" s="41" t="n"/>
      <c r="M146" s="41" t="n"/>
      <c r="N146" s="41" t="n"/>
      <c r="O146" s="41" t="n"/>
      <c r="P146" s="41" t="n"/>
      <c r="Q146" s="41" t="n"/>
      <c r="R146" s="41" t="n"/>
      <c r="S146" s="41" t="n"/>
      <c r="T146" s="41" t="n"/>
      <c r="U146" s="42" t="n"/>
      <c r="V146" s="42" t="n"/>
      <c r="W146" s="42" t="n"/>
      <c r="X146" s="42" t="n"/>
      <c r="Y146" s="42" t="n"/>
      <c r="Z146" s="42" t="n"/>
      <c r="AA146" s="42" t="n"/>
      <c r="AB146" s="42" t="n"/>
      <c r="AC146" s="42" t="n"/>
      <c r="AD146" s="42" t="n"/>
      <c r="AE146" s="42" t="n"/>
      <c r="AF146" s="42" t="n"/>
      <c r="AG146" s="42" t="n"/>
      <c r="AH146" s="42" t="n"/>
      <c r="AI146" s="42" t="n"/>
      <c r="AJ146" s="22">
        <f>IFERROR(IF(IF('Relevé prix'!$B$1="SN",VLOOKUP($U146,'Relevé prix'!$A$4:$N$60,11,FALSE),VLOOKUP($U146,'Relevé prix'!$A$4:$N$60,7,FALSE))=0,"",IF('Relevé prix'!$B$1="SN",VLOOKUP($U146,'Relevé prix'!$A$4:$N$60,11,FALSE),VLOOKUP($U146,'Relevé prix'!$A$4:$N$60,7,FALSE))),"")</f>
        <v/>
      </c>
      <c r="AK146" s="23">
        <f>IFERROR(IF(IF('Relevé prix'!$B$1="SN",VLOOKUP($U146,'Relevé prix'!$A$4:$N$60,12,FALSE),VLOOKUP($U146,'Relevé prix'!$A$4:$N$60,8,FALSE))=0,"",IF('Relevé prix'!$B$1="SN",VLOOKUP($U146,'Relevé prix'!$A$4:$N$60,12,FALSE),VLOOKUP($U146,'Relevé prix'!$A$4:$N$60,8,FALSE))),"")</f>
        <v/>
      </c>
      <c r="AL146" s="24" t="n"/>
      <c r="AM146" s="25" t="n"/>
      <c r="AN146" s="25" t="n"/>
      <c r="AO146" s="22">
        <f>IF(OR(AL146="",AJ146=""),"",AL146-AJ146)</f>
        <v/>
      </c>
      <c r="AP146" s="26">
        <f>IF(OR(AL146="",AJ146="",AJ146=0),"",(AL146-AJ146)/AJ146)</f>
        <v/>
      </c>
      <c r="AQ146" s="27">
        <f>IF(AP146="","",IF(AP146&lt;-0.05,"Moins cher",IF(AP146&gt;0.05,"Plus cher","Équivalent")))</f>
        <v/>
      </c>
    </row>
    <row r="147">
      <c r="A147" s="41" t="n"/>
      <c r="B147" s="41" t="n"/>
      <c r="C147" s="41" t="n"/>
      <c r="D147" s="41" t="n"/>
      <c r="E147" s="41" t="n"/>
      <c r="F147" s="41" t="n"/>
      <c r="G147" s="41" t="n"/>
      <c r="H147" s="41" t="n"/>
      <c r="I147" s="41" t="n"/>
      <c r="J147" s="41" t="n"/>
      <c r="K147" s="41" t="n"/>
      <c r="L147" s="41" t="n"/>
      <c r="M147" s="41" t="n"/>
      <c r="N147" s="41" t="n"/>
      <c r="O147" s="41" t="n"/>
      <c r="P147" s="41" t="n"/>
      <c r="Q147" s="41" t="n"/>
      <c r="R147" s="41" t="n"/>
      <c r="S147" s="41" t="n"/>
      <c r="T147" s="41" t="n"/>
      <c r="U147" s="42" t="n"/>
      <c r="V147" s="42" t="n"/>
      <c r="W147" s="42" t="n"/>
      <c r="X147" s="42" t="n"/>
      <c r="Y147" s="42" t="n"/>
      <c r="Z147" s="42" t="n"/>
      <c r="AA147" s="42" t="n"/>
      <c r="AB147" s="42" t="n"/>
      <c r="AC147" s="42" t="n"/>
      <c r="AD147" s="42" t="n"/>
      <c r="AE147" s="42" t="n"/>
      <c r="AF147" s="42" t="n"/>
      <c r="AG147" s="42" t="n"/>
      <c r="AH147" s="42" t="n"/>
      <c r="AI147" s="42" t="n"/>
      <c r="AJ147" s="22">
        <f>IFERROR(IF(IF('Relevé prix'!$B$1="SN",VLOOKUP($U147,'Relevé prix'!$A$4:$N$60,11,FALSE),VLOOKUP($U147,'Relevé prix'!$A$4:$N$60,7,FALSE))=0,"",IF('Relevé prix'!$B$1="SN",VLOOKUP($U147,'Relevé prix'!$A$4:$N$60,11,FALSE),VLOOKUP($U147,'Relevé prix'!$A$4:$N$60,7,FALSE))),"")</f>
        <v/>
      </c>
      <c r="AK147" s="23">
        <f>IFERROR(IF(IF('Relevé prix'!$B$1="SN",VLOOKUP($U147,'Relevé prix'!$A$4:$N$60,12,FALSE),VLOOKUP($U147,'Relevé prix'!$A$4:$N$60,8,FALSE))=0,"",IF('Relevé prix'!$B$1="SN",VLOOKUP($U147,'Relevé prix'!$A$4:$N$60,12,FALSE),VLOOKUP($U147,'Relevé prix'!$A$4:$N$60,8,FALSE))),"")</f>
        <v/>
      </c>
      <c r="AL147" s="24" t="n"/>
      <c r="AM147" s="25" t="n"/>
      <c r="AN147" s="25" t="n"/>
      <c r="AO147" s="22">
        <f>IF(OR(AL147="",AJ147=""),"",AL147-AJ147)</f>
        <v/>
      </c>
      <c r="AP147" s="26">
        <f>IF(OR(AL147="",AJ147="",AJ147=0),"",(AL147-AJ147)/AJ147)</f>
        <v/>
      </c>
      <c r="AQ147" s="27">
        <f>IF(AP147="","",IF(AP147&lt;-0.05,"Moins cher",IF(AP147&gt;0.05,"Plus cher","Équivalent")))</f>
        <v/>
      </c>
    </row>
  </sheetData>
  <sheetProtection selectLockedCells="0" selectUnlockedCells="0" sheet="1" objects="0" insertRows="0" insertHyperlinks="1" autoFilter="0" scenarios="0" formatColumns="0" deleteColumns="1" insertColumns="1" pivotTables="1" deleteRows="0" formatCells="0" formatRows="0" sort="0"/>
  <autoFilter ref="A1:AQ147"/>
  <conditionalFormatting sqref="AP2:AP147">
    <cfRule type="cellIs" priority="1" operator="greaterThan" dxfId="0">
      <formula>0.05</formula>
    </cfRule>
    <cfRule type="cellIs" priority="2" operator="lessThan" dxfId="1">
      <formula>-0.05</formula>
    </cfRule>
    <cfRule type="cellIs" priority="3" operator="between" dxfId="2">
      <formula>-0.05</formula>
      <formula>0.05</formula>
    </cfRule>
  </conditionalFormatting>
  <hyperlinks>
    <hyperlink xmlns:r="http://schemas.openxmlformats.org/officeDocument/2006/relationships" ref="AG2" r:id="rId1"/>
    <hyperlink xmlns:r="http://schemas.openxmlformats.org/officeDocument/2006/relationships" ref="AH2" r:id="rId2"/>
    <hyperlink xmlns:r="http://schemas.openxmlformats.org/officeDocument/2006/relationships" ref="AG3" r:id="rId3"/>
    <hyperlink xmlns:r="http://schemas.openxmlformats.org/officeDocument/2006/relationships" ref="AH3" r:id="rId4"/>
    <hyperlink xmlns:r="http://schemas.openxmlformats.org/officeDocument/2006/relationships" ref="AG4" r:id="rId5"/>
    <hyperlink xmlns:r="http://schemas.openxmlformats.org/officeDocument/2006/relationships" ref="AH4" r:id="rId6"/>
    <hyperlink xmlns:r="http://schemas.openxmlformats.org/officeDocument/2006/relationships" ref="AG5" r:id="rId7"/>
    <hyperlink xmlns:r="http://schemas.openxmlformats.org/officeDocument/2006/relationships" ref="AH5" r:id="rId8"/>
    <hyperlink xmlns:r="http://schemas.openxmlformats.org/officeDocument/2006/relationships" ref="AG6" r:id="rId9"/>
    <hyperlink xmlns:r="http://schemas.openxmlformats.org/officeDocument/2006/relationships" ref="AH6" r:id="rId10"/>
    <hyperlink xmlns:r="http://schemas.openxmlformats.org/officeDocument/2006/relationships" ref="AG7" r:id="rId11"/>
    <hyperlink xmlns:r="http://schemas.openxmlformats.org/officeDocument/2006/relationships" ref="AH7" r:id="rId12"/>
    <hyperlink xmlns:r="http://schemas.openxmlformats.org/officeDocument/2006/relationships" ref="AG8" r:id="rId13"/>
    <hyperlink xmlns:r="http://schemas.openxmlformats.org/officeDocument/2006/relationships" ref="AH8" r:id="rId14"/>
    <hyperlink xmlns:r="http://schemas.openxmlformats.org/officeDocument/2006/relationships" ref="AG9" r:id="rId15"/>
    <hyperlink xmlns:r="http://schemas.openxmlformats.org/officeDocument/2006/relationships" ref="AH9" r:id="rId16"/>
    <hyperlink xmlns:r="http://schemas.openxmlformats.org/officeDocument/2006/relationships" ref="AG10" r:id="rId17"/>
    <hyperlink xmlns:r="http://schemas.openxmlformats.org/officeDocument/2006/relationships" ref="AH10" r:id="rId18"/>
    <hyperlink xmlns:r="http://schemas.openxmlformats.org/officeDocument/2006/relationships" ref="AG11" r:id="rId19"/>
    <hyperlink xmlns:r="http://schemas.openxmlformats.org/officeDocument/2006/relationships" ref="AH11" r:id="rId20"/>
    <hyperlink xmlns:r="http://schemas.openxmlformats.org/officeDocument/2006/relationships" ref="AG12" r:id="rId21"/>
    <hyperlink xmlns:r="http://schemas.openxmlformats.org/officeDocument/2006/relationships" ref="AH12" r:id="rId22"/>
    <hyperlink xmlns:r="http://schemas.openxmlformats.org/officeDocument/2006/relationships" ref="AG13" r:id="rId23"/>
    <hyperlink xmlns:r="http://schemas.openxmlformats.org/officeDocument/2006/relationships" ref="AH13" r:id="rId24"/>
    <hyperlink xmlns:r="http://schemas.openxmlformats.org/officeDocument/2006/relationships" ref="AG14" r:id="rId25"/>
    <hyperlink xmlns:r="http://schemas.openxmlformats.org/officeDocument/2006/relationships" ref="AH14" r:id="rId26"/>
    <hyperlink xmlns:r="http://schemas.openxmlformats.org/officeDocument/2006/relationships" ref="AG15" r:id="rId27"/>
    <hyperlink xmlns:r="http://schemas.openxmlformats.org/officeDocument/2006/relationships" ref="AH15" r:id="rId28"/>
    <hyperlink xmlns:r="http://schemas.openxmlformats.org/officeDocument/2006/relationships" ref="AG16" r:id="rId29"/>
    <hyperlink xmlns:r="http://schemas.openxmlformats.org/officeDocument/2006/relationships" ref="AH16" r:id="rId30"/>
    <hyperlink xmlns:r="http://schemas.openxmlformats.org/officeDocument/2006/relationships" ref="AG17" r:id="rId31"/>
    <hyperlink xmlns:r="http://schemas.openxmlformats.org/officeDocument/2006/relationships" ref="AH17" r:id="rId32"/>
    <hyperlink xmlns:r="http://schemas.openxmlformats.org/officeDocument/2006/relationships" ref="AG18" r:id="rId33"/>
    <hyperlink xmlns:r="http://schemas.openxmlformats.org/officeDocument/2006/relationships" ref="AH18" r:id="rId34"/>
    <hyperlink xmlns:r="http://schemas.openxmlformats.org/officeDocument/2006/relationships" ref="AG19" r:id="rId35"/>
    <hyperlink xmlns:r="http://schemas.openxmlformats.org/officeDocument/2006/relationships" ref="AH19" r:id="rId36"/>
    <hyperlink xmlns:r="http://schemas.openxmlformats.org/officeDocument/2006/relationships" ref="AG20" r:id="rId37"/>
    <hyperlink xmlns:r="http://schemas.openxmlformats.org/officeDocument/2006/relationships" ref="AH20" r:id="rId38"/>
    <hyperlink xmlns:r="http://schemas.openxmlformats.org/officeDocument/2006/relationships" ref="AG21" r:id="rId39"/>
    <hyperlink xmlns:r="http://schemas.openxmlformats.org/officeDocument/2006/relationships" ref="AH21" r:id="rId40"/>
    <hyperlink xmlns:r="http://schemas.openxmlformats.org/officeDocument/2006/relationships" ref="AG22" r:id="rId41"/>
    <hyperlink xmlns:r="http://schemas.openxmlformats.org/officeDocument/2006/relationships" ref="AH22" r:id="rId42"/>
    <hyperlink xmlns:r="http://schemas.openxmlformats.org/officeDocument/2006/relationships" ref="AG23" r:id="rId43"/>
    <hyperlink xmlns:r="http://schemas.openxmlformats.org/officeDocument/2006/relationships" ref="AH23" r:id="rId44"/>
    <hyperlink xmlns:r="http://schemas.openxmlformats.org/officeDocument/2006/relationships" ref="AG24" r:id="rId45"/>
    <hyperlink xmlns:r="http://schemas.openxmlformats.org/officeDocument/2006/relationships" ref="AH24" r:id="rId46"/>
    <hyperlink xmlns:r="http://schemas.openxmlformats.org/officeDocument/2006/relationships" ref="AG25" r:id="rId47"/>
    <hyperlink xmlns:r="http://schemas.openxmlformats.org/officeDocument/2006/relationships" ref="AH25" r:id="rId48"/>
    <hyperlink xmlns:r="http://schemas.openxmlformats.org/officeDocument/2006/relationships" ref="AG26" r:id="rId49"/>
    <hyperlink xmlns:r="http://schemas.openxmlformats.org/officeDocument/2006/relationships" ref="AH26" r:id="rId50"/>
    <hyperlink xmlns:r="http://schemas.openxmlformats.org/officeDocument/2006/relationships" ref="AG27" r:id="rId51"/>
    <hyperlink xmlns:r="http://schemas.openxmlformats.org/officeDocument/2006/relationships" ref="AH27" r:id="rId52"/>
    <hyperlink xmlns:r="http://schemas.openxmlformats.org/officeDocument/2006/relationships" ref="AG28" r:id="rId53"/>
    <hyperlink xmlns:r="http://schemas.openxmlformats.org/officeDocument/2006/relationships" ref="AH28" r:id="rId54"/>
    <hyperlink xmlns:r="http://schemas.openxmlformats.org/officeDocument/2006/relationships" ref="AG29" r:id="rId55"/>
    <hyperlink xmlns:r="http://schemas.openxmlformats.org/officeDocument/2006/relationships" ref="AH29" r:id="rId56"/>
    <hyperlink xmlns:r="http://schemas.openxmlformats.org/officeDocument/2006/relationships" ref="AG30" r:id="rId57"/>
    <hyperlink xmlns:r="http://schemas.openxmlformats.org/officeDocument/2006/relationships" ref="AH30" r:id="rId58"/>
    <hyperlink xmlns:r="http://schemas.openxmlformats.org/officeDocument/2006/relationships" ref="AG31" r:id="rId59"/>
    <hyperlink xmlns:r="http://schemas.openxmlformats.org/officeDocument/2006/relationships" ref="AH31" r:id="rId60"/>
    <hyperlink xmlns:r="http://schemas.openxmlformats.org/officeDocument/2006/relationships" ref="AG32" r:id="rId61"/>
    <hyperlink xmlns:r="http://schemas.openxmlformats.org/officeDocument/2006/relationships" ref="AH32" r:id="rId62"/>
    <hyperlink xmlns:r="http://schemas.openxmlformats.org/officeDocument/2006/relationships" ref="AG33" r:id="rId63"/>
    <hyperlink xmlns:r="http://schemas.openxmlformats.org/officeDocument/2006/relationships" ref="AH33" r:id="rId64"/>
    <hyperlink xmlns:r="http://schemas.openxmlformats.org/officeDocument/2006/relationships" ref="AG34" r:id="rId65"/>
    <hyperlink xmlns:r="http://schemas.openxmlformats.org/officeDocument/2006/relationships" ref="AH34" r:id="rId66"/>
    <hyperlink xmlns:r="http://schemas.openxmlformats.org/officeDocument/2006/relationships" ref="AG35" r:id="rId67"/>
    <hyperlink xmlns:r="http://schemas.openxmlformats.org/officeDocument/2006/relationships" ref="AH35" r:id="rId68"/>
    <hyperlink xmlns:r="http://schemas.openxmlformats.org/officeDocument/2006/relationships" ref="AG36" r:id="rId69"/>
    <hyperlink xmlns:r="http://schemas.openxmlformats.org/officeDocument/2006/relationships" ref="AH36" r:id="rId70"/>
    <hyperlink xmlns:r="http://schemas.openxmlformats.org/officeDocument/2006/relationships" ref="AG37" r:id="rId71"/>
    <hyperlink xmlns:r="http://schemas.openxmlformats.org/officeDocument/2006/relationships" ref="AH37" r:id="rId72"/>
    <hyperlink xmlns:r="http://schemas.openxmlformats.org/officeDocument/2006/relationships" ref="AG38" r:id="rId73"/>
    <hyperlink xmlns:r="http://schemas.openxmlformats.org/officeDocument/2006/relationships" ref="AH38" r:id="rId74"/>
    <hyperlink xmlns:r="http://schemas.openxmlformats.org/officeDocument/2006/relationships" ref="AG39" r:id="rId75"/>
    <hyperlink xmlns:r="http://schemas.openxmlformats.org/officeDocument/2006/relationships" ref="AH39" r:id="rId76"/>
    <hyperlink xmlns:r="http://schemas.openxmlformats.org/officeDocument/2006/relationships" ref="AG40" r:id="rId77"/>
    <hyperlink xmlns:r="http://schemas.openxmlformats.org/officeDocument/2006/relationships" ref="AH40" r:id="rId78"/>
    <hyperlink xmlns:r="http://schemas.openxmlformats.org/officeDocument/2006/relationships" ref="AG41" r:id="rId79"/>
    <hyperlink xmlns:r="http://schemas.openxmlformats.org/officeDocument/2006/relationships" ref="AH41" r:id="rId80"/>
    <hyperlink xmlns:r="http://schemas.openxmlformats.org/officeDocument/2006/relationships" ref="AG42" r:id="rId81"/>
    <hyperlink xmlns:r="http://schemas.openxmlformats.org/officeDocument/2006/relationships" ref="AH42" r:id="rId82"/>
    <hyperlink xmlns:r="http://schemas.openxmlformats.org/officeDocument/2006/relationships" ref="AG43" r:id="rId83"/>
    <hyperlink xmlns:r="http://schemas.openxmlformats.org/officeDocument/2006/relationships" ref="AH43" r:id="rId84"/>
    <hyperlink xmlns:r="http://schemas.openxmlformats.org/officeDocument/2006/relationships" ref="AG44" r:id="rId85"/>
    <hyperlink xmlns:r="http://schemas.openxmlformats.org/officeDocument/2006/relationships" ref="AH44" r:id="rId86"/>
    <hyperlink xmlns:r="http://schemas.openxmlformats.org/officeDocument/2006/relationships" ref="AG45" r:id="rId87"/>
    <hyperlink xmlns:r="http://schemas.openxmlformats.org/officeDocument/2006/relationships" ref="AH45" r:id="rId88"/>
    <hyperlink xmlns:r="http://schemas.openxmlformats.org/officeDocument/2006/relationships" ref="AG46" r:id="rId89"/>
    <hyperlink xmlns:r="http://schemas.openxmlformats.org/officeDocument/2006/relationships" ref="AH46" r:id="rId90"/>
    <hyperlink xmlns:r="http://schemas.openxmlformats.org/officeDocument/2006/relationships" ref="AG47" r:id="rId91"/>
    <hyperlink xmlns:r="http://schemas.openxmlformats.org/officeDocument/2006/relationships" ref="AH47" r:id="rId92"/>
    <hyperlink xmlns:r="http://schemas.openxmlformats.org/officeDocument/2006/relationships" ref="AG48" r:id="rId93"/>
    <hyperlink xmlns:r="http://schemas.openxmlformats.org/officeDocument/2006/relationships" ref="AH48" r:id="rId94"/>
    <hyperlink xmlns:r="http://schemas.openxmlformats.org/officeDocument/2006/relationships" ref="AG49" r:id="rId95"/>
    <hyperlink xmlns:r="http://schemas.openxmlformats.org/officeDocument/2006/relationships" ref="AH49" r:id="rId96"/>
    <hyperlink xmlns:r="http://schemas.openxmlformats.org/officeDocument/2006/relationships" ref="AG50" r:id="rId97"/>
    <hyperlink xmlns:r="http://schemas.openxmlformats.org/officeDocument/2006/relationships" ref="AH50" r:id="rId98"/>
    <hyperlink xmlns:r="http://schemas.openxmlformats.org/officeDocument/2006/relationships" ref="AG51" r:id="rId99"/>
    <hyperlink xmlns:r="http://schemas.openxmlformats.org/officeDocument/2006/relationships" ref="AH51" r:id="rId100"/>
    <hyperlink xmlns:r="http://schemas.openxmlformats.org/officeDocument/2006/relationships" ref="AG52" r:id="rId101"/>
    <hyperlink xmlns:r="http://schemas.openxmlformats.org/officeDocument/2006/relationships" ref="AH52" r:id="rId102"/>
    <hyperlink xmlns:r="http://schemas.openxmlformats.org/officeDocument/2006/relationships" ref="AG53" r:id="rId103"/>
    <hyperlink xmlns:r="http://schemas.openxmlformats.org/officeDocument/2006/relationships" ref="AH53" r:id="rId104"/>
    <hyperlink xmlns:r="http://schemas.openxmlformats.org/officeDocument/2006/relationships" ref="AG54" r:id="rId105"/>
    <hyperlink xmlns:r="http://schemas.openxmlformats.org/officeDocument/2006/relationships" ref="AH54" r:id="rId106"/>
    <hyperlink xmlns:r="http://schemas.openxmlformats.org/officeDocument/2006/relationships" ref="AG55" r:id="rId107"/>
    <hyperlink xmlns:r="http://schemas.openxmlformats.org/officeDocument/2006/relationships" ref="AH55" r:id="rId108"/>
    <hyperlink xmlns:r="http://schemas.openxmlformats.org/officeDocument/2006/relationships" ref="AG56" r:id="rId109"/>
    <hyperlink xmlns:r="http://schemas.openxmlformats.org/officeDocument/2006/relationships" ref="AH56" r:id="rId110"/>
    <hyperlink xmlns:r="http://schemas.openxmlformats.org/officeDocument/2006/relationships" ref="AG57" r:id="rId111"/>
    <hyperlink xmlns:r="http://schemas.openxmlformats.org/officeDocument/2006/relationships" ref="AH57" r:id="rId112"/>
    <hyperlink xmlns:r="http://schemas.openxmlformats.org/officeDocument/2006/relationships" ref="AG58" r:id="rId113"/>
    <hyperlink xmlns:r="http://schemas.openxmlformats.org/officeDocument/2006/relationships" ref="AH58" r:id="rId114"/>
    <hyperlink xmlns:r="http://schemas.openxmlformats.org/officeDocument/2006/relationships" ref="AG59" r:id="rId115"/>
    <hyperlink xmlns:r="http://schemas.openxmlformats.org/officeDocument/2006/relationships" ref="AH59" r:id="rId116"/>
    <hyperlink xmlns:r="http://schemas.openxmlformats.org/officeDocument/2006/relationships" ref="AG60" r:id="rId117"/>
    <hyperlink xmlns:r="http://schemas.openxmlformats.org/officeDocument/2006/relationships" ref="AH60" r:id="rId118"/>
    <hyperlink xmlns:r="http://schemas.openxmlformats.org/officeDocument/2006/relationships" ref="AG61" r:id="rId119"/>
    <hyperlink xmlns:r="http://schemas.openxmlformats.org/officeDocument/2006/relationships" ref="AH61" r:id="rId120"/>
    <hyperlink xmlns:r="http://schemas.openxmlformats.org/officeDocument/2006/relationships" ref="AG62" r:id="rId121"/>
    <hyperlink xmlns:r="http://schemas.openxmlformats.org/officeDocument/2006/relationships" ref="AH62" r:id="rId122"/>
    <hyperlink xmlns:r="http://schemas.openxmlformats.org/officeDocument/2006/relationships" ref="AG63" r:id="rId123"/>
    <hyperlink xmlns:r="http://schemas.openxmlformats.org/officeDocument/2006/relationships" ref="AH63" r:id="rId124"/>
    <hyperlink xmlns:r="http://schemas.openxmlformats.org/officeDocument/2006/relationships" ref="AG64" r:id="rId125"/>
    <hyperlink xmlns:r="http://schemas.openxmlformats.org/officeDocument/2006/relationships" ref="AH64" r:id="rId126"/>
    <hyperlink xmlns:r="http://schemas.openxmlformats.org/officeDocument/2006/relationships" ref="AG65" r:id="rId127"/>
    <hyperlink xmlns:r="http://schemas.openxmlformats.org/officeDocument/2006/relationships" ref="AH65" r:id="rId128"/>
    <hyperlink xmlns:r="http://schemas.openxmlformats.org/officeDocument/2006/relationships" ref="AG66" r:id="rId129"/>
    <hyperlink xmlns:r="http://schemas.openxmlformats.org/officeDocument/2006/relationships" ref="AH66" r:id="rId130"/>
    <hyperlink xmlns:r="http://schemas.openxmlformats.org/officeDocument/2006/relationships" ref="AG67" r:id="rId131"/>
    <hyperlink xmlns:r="http://schemas.openxmlformats.org/officeDocument/2006/relationships" ref="AH67" r:id="rId132"/>
    <hyperlink xmlns:r="http://schemas.openxmlformats.org/officeDocument/2006/relationships" ref="AG68" r:id="rId133"/>
    <hyperlink xmlns:r="http://schemas.openxmlformats.org/officeDocument/2006/relationships" ref="AH68" r:id="rId134"/>
    <hyperlink xmlns:r="http://schemas.openxmlformats.org/officeDocument/2006/relationships" ref="AG69" r:id="rId135"/>
    <hyperlink xmlns:r="http://schemas.openxmlformats.org/officeDocument/2006/relationships" ref="AH69" r:id="rId136"/>
    <hyperlink xmlns:r="http://schemas.openxmlformats.org/officeDocument/2006/relationships" ref="AG70" r:id="rId137"/>
    <hyperlink xmlns:r="http://schemas.openxmlformats.org/officeDocument/2006/relationships" ref="AH70" r:id="rId138"/>
    <hyperlink xmlns:r="http://schemas.openxmlformats.org/officeDocument/2006/relationships" ref="AG71" r:id="rId139"/>
    <hyperlink xmlns:r="http://schemas.openxmlformats.org/officeDocument/2006/relationships" ref="AH71" r:id="rId140"/>
    <hyperlink xmlns:r="http://schemas.openxmlformats.org/officeDocument/2006/relationships" ref="AG72" r:id="rId141"/>
    <hyperlink xmlns:r="http://schemas.openxmlformats.org/officeDocument/2006/relationships" ref="AH72" r:id="rId142"/>
    <hyperlink xmlns:r="http://schemas.openxmlformats.org/officeDocument/2006/relationships" ref="AG73" r:id="rId143"/>
    <hyperlink xmlns:r="http://schemas.openxmlformats.org/officeDocument/2006/relationships" ref="AH73" r:id="rId144"/>
    <hyperlink xmlns:r="http://schemas.openxmlformats.org/officeDocument/2006/relationships" ref="AG74" r:id="rId145"/>
    <hyperlink xmlns:r="http://schemas.openxmlformats.org/officeDocument/2006/relationships" ref="AH74" r:id="rId146"/>
    <hyperlink xmlns:r="http://schemas.openxmlformats.org/officeDocument/2006/relationships" ref="AG75" r:id="rId147"/>
    <hyperlink xmlns:r="http://schemas.openxmlformats.org/officeDocument/2006/relationships" ref="AH75" r:id="rId148"/>
    <hyperlink xmlns:r="http://schemas.openxmlformats.org/officeDocument/2006/relationships" ref="AG76" r:id="rId149"/>
    <hyperlink xmlns:r="http://schemas.openxmlformats.org/officeDocument/2006/relationships" ref="AH76" r:id="rId150"/>
    <hyperlink xmlns:r="http://schemas.openxmlformats.org/officeDocument/2006/relationships" ref="AG77" r:id="rId151"/>
    <hyperlink xmlns:r="http://schemas.openxmlformats.org/officeDocument/2006/relationships" ref="AH77" r:id="rId152"/>
    <hyperlink xmlns:r="http://schemas.openxmlformats.org/officeDocument/2006/relationships" ref="AG78" r:id="rId153"/>
    <hyperlink xmlns:r="http://schemas.openxmlformats.org/officeDocument/2006/relationships" ref="AH78" r:id="rId154"/>
    <hyperlink xmlns:r="http://schemas.openxmlformats.org/officeDocument/2006/relationships" ref="AG79" r:id="rId155"/>
    <hyperlink xmlns:r="http://schemas.openxmlformats.org/officeDocument/2006/relationships" ref="AH79" r:id="rId156"/>
    <hyperlink xmlns:r="http://schemas.openxmlformats.org/officeDocument/2006/relationships" ref="AG80" r:id="rId157"/>
    <hyperlink xmlns:r="http://schemas.openxmlformats.org/officeDocument/2006/relationships" ref="AH80" r:id="rId158"/>
    <hyperlink xmlns:r="http://schemas.openxmlformats.org/officeDocument/2006/relationships" ref="AG81" r:id="rId159"/>
    <hyperlink xmlns:r="http://schemas.openxmlformats.org/officeDocument/2006/relationships" ref="AH81" r:id="rId160"/>
    <hyperlink xmlns:r="http://schemas.openxmlformats.org/officeDocument/2006/relationships" ref="AG82" r:id="rId161"/>
    <hyperlink xmlns:r="http://schemas.openxmlformats.org/officeDocument/2006/relationships" ref="AH82" r:id="rId162"/>
    <hyperlink xmlns:r="http://schemas.openxmlformats.org/officeDocument/2006/relationships" ref="AG83" r:id="rId163"/>
    <hyperlink xmlns:r="http://schemas.openxmlformats.org/officeDocument/2006/relationships" ref="AH83" r:id="rId164"/>
    <hyperlink xmlns:r="http://schemas.openxmlformats.org/officeDocument/2006/relationships" ref="AG84" r:id="rId165"/>
    <hyperlink xmlns:r="http://schemas.openxmlformats.org/officeDocument/2006/relationships" ref="AH84" r:id="rId166"/>
    <hyperlink xmlns:r="http://schemas.openxmlformats.org/officeDocument/2006/relationships" ref="AG85" r:id="rId167"/>
    <hyperlink xmlns:r="http://schemas.openxmlformats.org/officeDocument/2006/relationships" ref="AH85" r:id="rId168"/>
    <hyperlink xmlns:r="http://schemas.openxmlformats.org/officeDocument/2006/relationships" ref="AG86" r:id="rId169"/>
    <hyperlink xmlns:r="http://schemas.openxmlformats.org/officeDocument/2006/relationships" ref="AH86" r:id="rId170"/>
    <hyperlink xmlns:r="http://schemas.openxmlformats.org/officeDocument/2006/relationships" ref="AG87" r:id="rId171"/>
    <hyperlink xmlns:r="http://schemas.openxmlformats.org/officeDocument/2006/relationships" ref="AH87" r:id="rId172"/>
    <hyperlink xmlns:r="http://schemas.openxmlformats.org/officeDocument/2006/relationships" ref="AG88" r:id="rId173"/>
    <hyperlink xmlns:r="http://schemas.openxmlformats.org/officeDocument/2006/relationships" ref="AH88" r:id="rId174"/>
    <hyperlink xmlns:r="http://schemas.openxmlformats.org/officeDocument/2006/relationships" ref="AG89" r:id="rId175"/>
    <hyperlink xmlns:r="http://schemas.openxmlformats.org/officeDocument/2006/relationships" ref="AH89" r:id="rId176"/>
    <hyperlink xmlns:r="http://schemas.openxmlformats.org/officeDocument/2006/relationships" ref="AG90" r:id="rId177"/>
    <hyperlink xmlns:r="http://schemas.openxmlformats.org/officeDocument/2006/relationships" ref="AH90" r:id="rId178"/>
    <hyperlink xmlns:r="http://schemas.openxmlformats.org/officeDocument/2006/relationships" ref="AG91" r:id="rId179"/>
    <hyperlink xmlns:r="http://schemas.openxmlformats.org/officeDocument/2006/relationships" ref="AH91" r:id="rId180"/>
    <hyperlink xmlns:r="http://schemas.openxmlformats.org/officeDocument/2006/relationships" ref="AG92" r:id="rId181"/>
    <hyperlink xmlns:r="http://schemas.openxmlformats.org/officeDocument/2006/relationships" ref="AH92" r:id="rId182"/>
    <hyperlink xmlns:r="http://schemas.openxmlformats.org/officeDocument/2006/relationships" ref="AG93" r:id="rId183"/>
    <hyperlink xmlns:r="http://schemas.openxmlformats.org/officeDocument/2006/relationships" ref="AH93" r:id="rId184"/>
    <hyperlink xmlns:r="http://schemas.openxmlformats.org/officeDocument/2006/relationships" ref="AG94" r:id="rId185"/>
    <hyperlink xmlns:r="http://schemas.openxmlformats.org/officeDocument/2006/relationships" ref="AH94" r:id="rId186"/>
    <hyperlink xmlns:r="http://schemas.openxmlformats.org/officeDocument/2006/relationships" ref="AG95" r:id="rId187"/>
    <hyperlink xmlns:r="http://schemas.openxmlformats.org/officeDocument/2006/relationships" ref="AH95" r:id="rId188"/>
    <hyperlink xmlns:r="http://schemas.openxmlformats.org/officeDocument/2006/relationships" ref="AG96" r:id="rId189"/>
    <hyperlink xmlns:r="http://schemas.openxmlformats.org/officeDocument/2006/relationships" ref="AH96" r:id="rId190"/>
    <hyperlink xmlns:r="http://schemas.openxmlformats.org/officeDocument/2006/relationships" ref="AG97" r:id="rId191"/>
    <hyperlink xmlns:r="http://schemas.openxmlformats.org/officeDocument/2006/relationships" ref="AH97" r:id="rId192"/>
    <hyperlink xmlns:r="http://schemas.openxmlformats.org/officeDocument/2006/relationships" ref="AG98" r:id="rId193"/>
    <hyperlink xmlns:r="http://schemas.openxmlformats.org/officeDocument/2006/relationships" ref="AH98" r:id="rId194"/>
    <hyperlink xmlns:r="http://schemas.openxmlformats.org/officeDocument/2006/relationships" ref="AG99" r:id="rId195"/>
    <hyperlink xmlns:r="http://schemas.openxmlformats.org/officeDocument/2006/relationships" ref="AH99" r:id="rId196"/>
    <hyperlink xmlns:r="http://schemas.openxmlformats.org/officeDocument/2006/relationships" ref="AG100" r:id="rId197"/>
    <hyperlink xmlns:r="http://schemas.openxmlformats.org/officeDocument/2006/relationships" ref="AH100" r:id="rId198"/>
    <hyperlink xmlns:r="http://schemas.openxmlformats.org/officeDocument/2006/relationships" ref="AG101" r:id="rId199"/>
    <hyperlink xmlns:r="http://schemas.openxmlformats.org/officeDocument/2006/relationships" ref="AH101" r:id="rId200"/>
    <hyperlink xmlns:r="http://schemas.openxmlformats.org/officeDocument/2006/relationships" ref="AG102" r:id="rId201"/>
    <hyperlink xmlns:r="http://schemas.openxmlformats.org/officeDocument/2006/relationships" ref="AH102" r:id="rId202"/>
    <hyperlink xmlns:r="http://schemas.openxmlformats.org/officeDocument/2006/relationships" ref="AG103" r:id="rId203"/>
    <hyperlink xmlns:r="http://schemas.openxmlformats.org/officeDocument/2006/relationships" ref="AH103" r:id="rId204"/>
    <hyperlink xmlns:r="http://schemas.openxmlformats.org/officeDocument/2006/relationships" ref="AG104" r:id="rId205"/>
    <hyperlink xmlns:r="http://schemas.openxmlformats.org/officeDocument/2006/relationships" ref="AH104" r:id="rId206"/>
    <hyperlink xmlns:r="http://schemas.openxmlformats.org/officeDocument/2006/relationships" ref="AG105" r:id="rId207"/>
    <hyperlink xmlns:r="http://schemas.openxmlformats.org/officeDocument/2006/relationships" ref="AH105" r:id="rId208"/>
    <hyperlink xmlns:r="http://schemas.openxmlformats.org/officeDocument/2006/relationships" ref="AG106" r:id="rId209"/>
    <hyperlink xmlns:r="http://schemas.openxmlformats.org/officeDocument/2006/relationships" ref="AH106" r:id="rId210"/>
    <hyperlink xmlns:r="http://schemas.openxmlformats.org/officeDocument/2006/relationships" ref="AG107" r:id="rId211"/>
    <hyperlink xmlns:r="http://schemas.openxmlformats.org/officeDocument/2006/relationships" ref="AH107" r:id="rId212"/>
    <hyperlink xmlns:r="http://schemas.openxmlformats.org/officeDocument/2006/relationships" ref="AG108" r:id="rId213"/>
    <hyperlink xmlns:r="http://schemas.openxmlformats.org/officeDocument/2006/relationships" ref="AH108" r:id="rId214"/>
    <hyperlink xmlns:r="http://schemas.openxmlformats.org/officeDocument/2006/relationships" ref="AG109" r:id="rId215"/>
    <hyperlink xmlns:r="http://schemas.openxmlformats.org/officeDocument/2006/relationships" ref="AH109" r:id="rId216"/>
    <hyperlink xmlns:r="http://schemas.openxmlformats.org/officeDocument/2006/relationships" ref="AG110" r:id="rId217"/>
    <hyperlink xmlns:r="http://schemas.openxmlformats.org/officeDocument/2006/relationships" ref="AH110" r:id="rId218"/>
    <hyperlink xmlns:r="http://schemas.openxmlformats.org/officeDocument/2006/relationships" ref="AG111" r:id="rId219"/>
    <hyperlink xmlns:r="http://schemas.openxmlformats.org/officeDocument/2006/relationships" ref="AH111" r:id="rId220"/>
    <hyperlink xmlns:r="http://schemas.openxmlformats.org/officeDocument/2006/relationships" ref="AG112" r:id="rId221"/>
    <hyperlink xmlns:r="http://schemas.openxmlformats.org/officeDocument/2006/relationships" ref="AH112" r:id="rId222"/>
    <hyperlink xmlns:r="http://schemas.openxmlformats.org/officeDocument/2006/relationships" ref="AG113" r:id="rId223"/>
    <hyperlink xmlns:r="http://schemas.openxmlformats.org/officeDocument/2006/relationships" ref="AH113" r:id="rId224"/>
    <hyperlink xmlns:r="http://schemas.openxmlformats.org/officeDocument/2006/relationships" ref="AG114" r:id="rId225"/>
    <hyperlink xmlns:r="http://schemas.openxmlformats.org/officeDocument/2006/relationships" ref="AH114" r:id="rId226"/>
    <hyperlink xmlns:r="http://schemas.openxmlformats.org/officeDocument/2006/relationships" ref="AG115" r:id="rId227"/>
    <hyperlink xmlns:r="http://schemas.openxmlformats.org/officeDocument/2006/relationships" ref="AH115" r:id="rId228"/>
    <hyperlink xmlns:r="http://schemas.openxmlformats.org/officeDocument/2006/relationships" ref="AG116" r:id="rId229"/>
    <hyperlink xmlns:r="http://schemas.openxmlformats.org/officeDocument/2006/relationships" ref="AH116" r:id="rId230"/>
    <hyperlink xmlns:r="http://schemas.openxmlformats.org/officeDocument/2006/relationships" ref="AG117" r:id="rId231"/>
    <hyperlink xmlns:r="http://schemas.openxmlformats.org/officeDocument/2006/relationships" ref="AH117" r:id="rId23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M4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6" customWidth="1" min="2" max="2"/>
    <col width="16" customWidth="1" min="3" max="3"/>
    <col width="12" customWidth="1" min="4" max="4"/>
    <col width="12" customWidth="1" min="5" max="5"/>
    <col width="12" customWidth="1" min="6" max="6"/>
    <col width="12" customWidth="1" min="7" max="7"/>
    <col width="13" customWidth="1" min="8" max="8"/>
    <col width="20" customWidth="1" min="9" max="9"/>
    <col width="12" customWidth="1" min="10" max="10"/>
    <col width="10" customWidth="1" min="11" max="11"/>
    <col width="44" customWidth="1" min="12" max="12"/>
    <col width="14" customWidth="1" min="13" max="13"/>
    <col width="10" customWidth="1" min="14" max="14"/>
    <col width="60" customWidth="1" min="15" max="15"/>
    <col width="10" customWidth="1" min="16" max="16"/>
    <col width="16" customWidth="1" min="17" max="17"/>
    <col width="34" customWidth="1" min="18" max="18"/>
    <col width="18" customWidth="1" min="19" max="19"/>
    <col width="26" customWidth="1" min="20" max="20"/>
    <col width="26" customWidth="1" min="21" max="21"/>
    <col width="26" customWidth="1" min="22" max="22"/>
    <col width="14" customWidth="1" min="23" max="23"/>
    <col width="18" customWidth="1" min="24" max="24"/>
    <col width="18" customWidth="1" min="25" max="25"/>
    <col width="24" customWidth="1" min="26" max="26"/>
    <col width="46" customWidth="1" min="27" max="27"/>
    <col width="26" customWidth="1" min="28" max="28"/>
    <col width="52" customWidth="1" min="29" max="29"/>
    <col width="52" customWidth="1" min="30" max="30"/>
    <col width="64" customWidth="1" min="31" max="31"/>
    <col width="20" customWidth="1" min="32" max="32"/>
    <col width="16" customWidth="1" min="33" max="33"/>
    <col width="14" customWidth="1" min="34" max="34"/>
    <col width="10" customWidth="1" min="35" max="35"/>
    <col width="32" customWidth="1" min="36" max="36"/>
    <col width="18" customWidth="1" min="37" max="37"/>
    <col width="16" customWidth="1" min="38" max="38"/>
    <col width="20" customWidth="1" min="39" max="39"/>
  </cols>
  <sheetData>
    <row r="1" ht="46" customHeight="1">
      <c r="A1" s="3" t="inlineStr">
        <is>
          <t>Référence SEAGO</t>
        </is>
      </c>
      <c r="B1" s="3" t="inlineStr">
        <is>
          <t>Type</t>
        </is>
      </c>
      <c r="C1" s="3" t="inlineStr">
        <is>
          <t>Capacité réservoir (mL)</t>
        </is>
      </c>
      <c r="D1" s="3" t="inlineStr">
        <is>
          <t>Nombre de modes</t>
        </is>
      </c>
      <c r="E1" s="3" t="inlineStr">
        <is>
          <t>Pression min (PSI)</t>
        </is>
      </c>
      <c r="F1" s="3" t="inlineStr">
        <is>
          <t>Pression max (PSI)</t>
        </is>
      </c>
      <c r="G1" s="3" t="inlineStr">
        <is>
          <t>Batterie (mAh)</t>
        </is>
      </c>
      <c r="H1" s="3" t="inlineStr">
        <is>
          <t>Tension batterie (V)</t>
        </is>
      </c>
      <c r="I1" s="3" t="inlineStr">
        <is>
          <t>Mode de charge</t>
        </is>
      </c>
      <c r="J1" s="3" t="inlineStr">
        <is>
          <t>Étanchéité (IPX)</t>
        </is>
      </c>
      <c r="K1" s="3" t="inlineStr">
        <is>
          <t>Poids (g)</t>
        </is>
      </c>
      <c r="L1" s="3" t="inlineStr">
        <is>
          <t>Dimensions L*l*H (mm)</t>
        </is>
      </c>
      <c r="M1" s="3" t="inlineStr">
        <is>
          <t>Buse rotative 360°</t>
        </is>
      </c>
      <c r="N1" s="3" t="inlineStr">
        <is>
          <t>Minuteur</t>
        </is>
      </c>
      <c r="O1" s="3" t="inlineStr">
        <is>
          <t>Fonctions différenciantes</t>
        </is>
      </c>
      <c r="P1" s="3" t="inlineStr">
        <is>
          <t>Page catalogue</t>
        </is>
      </c>
      <c r="Q1" s="10" t="inlineStr">
        <is>
          <t>Clé concurrent</t>
        </is>
      </c>
      <c r="R1" s="10" t="inlineStr">
        <is>
          <t>Produit concurrent</t>
        </is>
      </c>
      <c r="S1" s="10" t="inlineStr">
        <is>
          <t>Marque concurrente</t>
        </is>
      </c>
      <c r="T1" s="10" t="inlineStr">
        <is>
          <t>Technologie concurrent</t>
        </is>
      </c>
      <c r="U1" s="10" t="inlineStr">
        <is>
          <t>Fréquence / débit concurrent</t>
        </is>
      </c>
      <c r="V1" s="10" t="inlineStr">
        <is>
          <t>Modes concurrent</t>
        </is>
      </c>
      <c r="W1" s="10" t="inlineStr">
        <is>
          <t>Autonomie concurrent (jours)</t>
        </is>
      </c>
      <c r="X1" s="10" t="inlineStr">
        <is>
          <t>Étanchéité concurrent</t>
        </is>
      </c>
      <c r="Y1" s="10" t="inlineStr">
        <is>
          <t>Capteur de pression concurrent</t>
        </is>
      </c>
      <c r="Z1" s="10" t="inlineStr">
        <is>
          <t>Alimentation / charge concurrent</t>
        </is>
      </c>
      <c r="AA1" s="10" t="inlineStr">
        <is>
          <t>Présence sur les marchés Atome Pharma (CI, SN, BF, CM, BJ)</t>
        </is>
      </c>
      <c r="AB1" s="10" t="inlineStr">
        <is>
          <t>Canal de distribution</t>
        </is>
      </c>
      <c r="AC1" s="10" t="inlineStr">
        <is>
          <t>Lien produit concurrent</t>
        </is>
      </c>
      <c r="AD1" s="10" t="inlineStr">
        <is>
          <t>Lien source secondaire</t>
        </is>
      </c>
      <c r="AE1" s="10" t="inlineStr">
        <is>
          <t>Base du rapprochement et écart technique</t>
        </is>
      </c>
      <c r="AF1" s="11" t="inlineStr">
        <is>
          <t>Prix concurrent (auto, onglet Relevé prix)</t>
        </is>
      </c>
      <c r="AG1" s="11" t="inlineStr">
        <is>
          <t>Date du relevé (auto)</t>
        </is>
      </c>
      <c r="AH1" s="11" t="inlineStr">
        <is>
          <t>Prix SEAGO</t>
        </is>
      </c>
      <c r="AI1" s="11" t="inlineStr">
        <is>
          <t>Devise</t>
        </is>
      </c>
      <c r="AJ1" s="11" t="inlineStr">
        <is>
          <t>Commentaire</t>
        </is>
      </c>
      <c r="AK1" s="12" t="inlineStr">
        <is>
          <t>Écart de prix (valeur)</t>
        </is>
      </c>
      <c r="AL1" s="12" t="inlineStr">
        <is>
          <t>Écart de prix (%)</t>
        </is>
      </c>
      <c r="AM1" s="12" t="inlineStr">
        <is>
          <t>Positionnement prix</t>
        </is>
      </c>
    </row>
    <row r="2">
      <c r="A2" s="13" t="inlineStr">
        <is>
          <t>SG-8026</t>
        </is>
      </c>
      <c r="B2" s="13" t="inlineStr">
        <is>
          <t>Portable (sans fil)</t>
        </is>
      </c>
      <c r="C2" s="15" t="n">
        <v>350</v>
      </c>
      <c r="D2" s="15" t="n">
        <v>4</v>
      </c>
      <c r="E2" s="15" t="n">
        <v>80</v>
      </c>
      <c r="F2" s="15" t="n">
        <v>160</v>
      </c>
      <c r="G2" s="15" t="n">
        <v>1500</v>
      </c>
      <c r="H2" s="17" t="n">
        <v>3.7</v>
      </c>
      <c r="I2" s="13" t="inlineStr">
        <is>
          <t>Type-C</t>
        </is>
      </c>
      <c r="J2" s="13" t="inlineStr">
        <is>
          <t>IPX7</t>
        </is>
      </c>
      <c r="K2" s="17" t="n">
        <v>305</v>
      </c>
      <c r="L2" s="13" t="inlineStr">
        <is>
          <t>84*61*303</t>
        </is>
      </c>
      <c r="M2" s="13" t="inlineStr">
        <is>
          <t>Oui</t>
        </is>
      </c>
      <c r="N2" s="13" t="inlineStr">
        <is>
          <t>Non</t>
        </is>
      </c>
      <c r="O2" s="18" t="inlineStr">
        <is>
          <t>Modes DIY, fonction shoot avec pause à tout moment, réservoir 350 mL détachable pour un nettoyage facile</t>
        </is>
      </c>
      <c r="P2" s="19" t="n">
        <v>6</v>
      </c>
      <c r="Q2" s="20" t="inlineStr">
        <is>
          <t>WP560</t>
        </is>
      </c>
      <c r="R2" s="20" t="inlineStr">
        <is>
          <t>Cordless Advanced WP-560</t>
        </is>
      </c>
      <c r="S2" s="20" t="inlineStr">
        <is>
          <t>Waterpik</t>
        </is>
      </c>
      <c r="T2" s="20" t="inlineStr">
        <is>
          <t>Hydropulseur portable sans fil</t>
        </is>
      </c>
      <c r="U2" s="37" t="inlineStr">
        <is>
          <t>N/D</t>
        </is>
      </c>
      <c r="V2" s="20" t="inlineStr">
        <is>
          <t>3 réglages de pression</t>
        </is>
      </c>
      <c r="W2" s="37" t="inlineStr">
        <is>
          <t>N/D</t>
        </is>
      </c>
      <c r="X2" s="37" t="inlineStr">
        <is>
          <t>N/D</t>
        </is>
      </c>
      <c r="Y2" s="37" t="inlineStr">
        <is>
          <t>N/D</t>
        </is>
      </c>
      <c r="Z2" s="20" t="inlineStr">
        <is>
          <t>Charge magnétique, 4 h</t>
        </is>
      </c>
      <c r="AA2" s="20" t="inlineStr">
        <is>
          <t>Non vérifié sur CI, SN, BF, CM, BJ.</t>
        </is>
      </c>
      <c r="AB2" s="20" t="inlineStr">
        <is>
          <t>Retail spécialisé, pharmacies</t>
        </is>
      </c>
      <c r="AC2" s="21" t="inlineStr">
        <is>
          <t>https://www.waterpik.ch/en/oral-health/products/dental-water-flosser/WP-560/</t>
        </is>
      </c>
      <c r="AD2" s="21" t="inlineStr">
        <is>
          <t>https://www.electricteeth.com/waterpik-cordless-advanced-wp560-review/</t>
        </is>
      </c>
      <c r="AE2" s="20" t="inlineStr">
        <is>
          <t>Rapprochement sur le format portable sans fil et un réservoir de grande capacité. Pression 45-75 PSI, réservoir 207 mL (7 oz), 4 buses, rotation 360 degrés. Référence du segment.</t>
        </is>
      </c>
      <c r="AF2" s="22">
        <f>IFERROR(IF(IF('Relevé prix'!$B$1="SN",VLOOKUP($Q2,'Relevé prix'!$A$4:$N$60,11,FALSE),VLOOKUP($Q2,'Relevé prix'!$A$4:$N$60,7,FALSE))=0,"",IF('Relevé prix'!$B$1="SN",VLOOKUP($Q2,'Relevé prix'!$A$4:$N$60,11,FALSE),VLOOKUP($Q2,'Relevé prix'!$A$4:$N$60,7,FALSE))),"")</f>
        <v/>
      </c>
      <c r="AG2" s="23">
        <f>IFERROR(IF(IF('Relevé prix'!$B$1="SN",VLOOKUP($Q2,'Relevé prix'!$A$4:$N$60,12,FALSE),VLOOKUP($Q2,'Relevé prix'!$A$4:$N$60,8,FALSE))=0,"",IF('Relevé prix'!$B$1="SN",VLOOKUP($Q2,'Relevé prix'!$A$4:$N$60,12,FALSE),VLOOKUP($Q2,'Relevé prix'!$A$4:$N$60,8,FALSE))),"")</f>
        <v/>
      </c>
      <c r="AH2" s="24" t="n"/>
      <c r="AI2" s="25" t="n"/>
      <c r="AJ2" s="25" t="n"/>
      <c r="AK2" s="22">
        <f>IF(OR(AH2="",AF2=""),"",AH2-AF2)</f>
        <v/>
      </c>
      <c r="AL2" s="26">
        <f>IF(OR(AH2="",AF2="",AF2=0),"",(AH2-AF2)/AF2)</f>
        <v/>
      </c>
      <c r="AM2" s="27">
        <f>IF(AL2="","",IF(AL2&lt;-0.05,"Moins cher",IF(AL2&gt;0.05,"Plus cher","Équivalent")))</f>
        <v/>
      </c>
    </row>
    <row r="3">
      <c r="A3" s="28" t="inlineStr">
        <is>
          <t>SG-8020</t>
        </is>
      </c>
      <c r="B3" s="28" t="inlineStr">
        <is>
          <t>Sur socle (plan de travail)</t>
        </is>
      </c>
      <c r="C3" s="30" t="n">
        <v>500</v>
      </c>
      <c r="D3" s="30" t="n">
        <v>4</v>
      </c>
      <c r="E3" s="35" t="inlineStr">
        <is>
          <t>N/D</t>
        </is>
      </c>
      <c r="F3" s="35" t="inlineStr">
        <is>
          <t>N/D</t>
        </is>
      </c>
      <c r="G3" s="30" t="n">
        <v>1500</v>
      </c>
      <c r="H3" s="31" t="n">
        <v>7.4</v>
      </c>
      <c r="I3" s="28" t="inlineStr">
        <is>
          <t>USB</t>
        </is>
      </c>
      <c r="J3" s="28" t="inlineStr">
        <is>
          <t>IPX7</t>
        </is>
      </c>
      <c r="K3" s="34" t="inlineStr">
        <is>
          <t>N/D</t>
        </is>
      </c>
      <c r="L3" s="28" t="inlineStr">
        <is>
          <t>191.8*96.3*196.3</t>
        </is>
      </c>
      <c r="M3" s="36" t="inlineStr">
        <is>
          <t>N/D</t>
        </is>
      </c>
      <c r="N3" s="28" t="inlineStr">
        <is>
          <t>Oui</t>
        </is>
      </c>
      <c r="O3" s="32" t="inlineStr">
        <is>
          <t>Changement de mode visible sur le réservoir, modes 1, 2 et 4 avec 9 intensités, manche fin à bouton poussoir, mémoire intelligente, protection surcharge et décharge profonde</t>
        </is>
      </c>
      <c r="P3" s="33" t="n">
        <v>95</v>
      </c>
      <c r="Q3" s="20" t="inlineStr">
        <is>
          <t>WP560</t>
        </is>
      </c>
      <c r="R3" s="20" t="inlineStr">
        <is>
          <t>Cordless Advanced WP-560</t>
        </is>
      </c>
      <c r="S3" s="20" t="inlineStr">
        <is>
          <t>Waterpik</t>
        </is>
      </c>
      <c r="T3" s="20" t="inlineStr">
        <is>
          <t>Hydropulseur portable sans fil</t>
        </is>
      </c>
      <c r="U3" s="37" t="inlineStr">
        <is>
          <t>N/D</t>
        </is>
      </c>
      <c r="V3" s="20" t="inlineStr">
        <is>
          <t>3 réglages de pression</t>
        </is>
      </c>
      <c r="W3" s="37" t="inlineStr">
        <is>
          <t>N/D</t>
        </is>
      </c>
      <c r="X3" s="37" t="inlineStr">
        <is>
          <t>N/D</t>
        </is>
      </c>
      <c r="Y3" s="37" t="inlineStr">
        <is>
          <t>N/D</t>
        </is>
      </c>
      <c r="Z3" s="20" t="inlineStr">
        <is>
          <t>Charge magnétique, 4 h</t>
        </is>
      </c>
      <c r="AA3" s="20" t="inlineStr">
        <is>
          <t>Non vérifié sur CI, SN, BF, CM, BJ.</t>
        </is>
      </c>
      <c r="AB3" s="20" t="inlineStr">
        <is>
          <t>Retail spécialisé, pharmacies</t>
        </is>
      </c>
      <c r="AC3" s="21" t="inlineStr">
        <is>
          <t>https://www.waterpik.ch/en/oral-health/products/dental-water-flosser/WP-560/</t>
        </is>
      </c>
      <c r="AD3" s="21" t="inlineStr">
        <is>
          <t>https://www.electricteeth.com/waterpik-cordless-advanced-wp560-review/</t>
        </is>
      </c>
      <c r="AE3" s="20" t="inlineStr">
        <is>
          <t>Rapprochement sur la catégorie hydropulseur haut de gamme. Écart : le SEAGO est un modèle de comptoir, le concurrent est portable. Aucun modèle de comptoir n'a pu être sourcé avec un lien vérifié. Pression 45-75 PSI, réservoir 207 mL (7 oz), 4 buses, rotation 360 degrés. Référence du segment.</t>
        </is>
      </c>
      <c r="AF3" s="22">
        <f>IFERROR(IF(IF('Relevé prix'!$B$1="SN",VLOOKUP($Q3,'Relevé prix'!$A$4:$N$60,11,FALSE),VLOOKUP($Q3,'Relevé prix'!$A$4:$N$60,7,FALSE))=0,"",IF('Relevé prix'!$B$1="SN",VLOOKUP($Q3,'Relevé prix'!$A$4:$N$60,11,FALSE),VLOOKUP($Q3,'Relevé prix'!$A$4:$N$60,7,FALSE))),"")</f>
        <v/>
      </c>
      <c r="AG3" s="23">
        <f>IFERROR(IF(IF('Relevé prix'!$B$1="SN",VLOOKUP($Q3,'Relevé prix'!$A$4:$N$60,12,FALSE),VLOOKUP($Q3,'Relevé prix'!$A$4:$N$60,8,FALSE))=0,"",IF('Relevé prix'!$B$1="SN",VLOOKUP($Q3,'Relevé prix'!$A$4:$N$60,12,FALSE),VLOOKUP($Q3,'Relevé prix'!$A$4:$N$60,8,FALSE))),"")</f>
        <v/>
      </c>
      <c r="AH3" s="24" t="n"/>
      <c r="AI3" s="25" t="n"/>
      <c r="AJ3" s="25" t="n"/>
      <c r="AK3" s="22">
        <f>IF(OR(AH3="",AF3=""),"",AH3-AF3)</f>
        <v/>
      </c>
      <c r="AL3" s="26">
        <f>IF(OR(AH3="",AF3="",AF3=0),"",(AH3-AF3)/AF3)</f>
        <v/>
      </c>
      <c r="AM3" s="27">
        <f>IF(AL3="","",IF(AL3&lt;-0.05,"Moins cher",IF(AL3&gt;0.05,"Plus cher","Équivalent")))</f>
        <v/>
      </c>
    </row>
    <row r="4">
      <c r="A4" s="13" t="inlineStr">
        <is>
          <t>SG-8023</t>
        </is>
      </c>
      <c r="B4" s="13" t="inlineStr">
        <is>
          <t>Portable (sans fil)</t>
        </is>
      </c>
      <c r="C4" s="15" t="n">
        <v>350</v>
      </c>
      <c r="D4" s="15" t="n">
        <v>4</v>
      </c>
      <c r="E4" s="15" t="n">
        <v>80</v>
      </c>
      <c r="F4" s="15" t="n">
        <v>160</v>
      </c>
      <c r="G4" s="15" t="n">
        <v>1500</v>
      </c>
      <c r="H4" s="17" t="n">
        <v>3.7</v>
      </c>
      <c r="I4" s="13" t="inlineStr">
        <is>
          <t>Type-C</t>
        </is>
      </c>
      <c r="J4" s="13" t="inlineStr">
        <is>
          <t>IPX7</t>
        </is>
      </c>
      <c r="K4" s="17" t="n">
        <v>305</v>
      </c>
      <c r="L4" s="13" t="inlineStr">
        <is>
          <t>81*86*230</t>
        </is>
      </c>
      <c r="M4" s="13" t="inlineStr">
        <is>
          <t>Oui</t>
        </is>
      </c>
      <c r="N4" s="13" t="inlineStr">
        <is>
          <t>Non</t>
        </is>
      </c>
      <c r="O4" s="18" t="inlineStr">
        <is>
          <t>4 modes (Strong, Soft, Pulse, DIY), fonction shoot avec arrêt à tout moment</t>
        </is>
      </c>
      <c r="P4" s="19" t="n">
        <v>95</v>
      </c>
      <c r="Q4" s="20" t="inlineStr">
        <is>
          <t>WP560</t>
        </is>
      </c>
      <c r="R4" s="20" t="inlineStr">
        <is>
          <t>Cordless Advanced WP-560</t>
        </is>
      </c>
      <c r="S4" s="20" t="inlineStr">
        <is>
          <t>Waterpik</t>
        </is>
      </c>
      <c r="T4" s="20" t="inlineStr">
        <is>
          <t>Hydropulseur portable sans fil</t>
        </is>
      </c>
      <c r="U4" s="37" t="inlineStr">
        <is>
          <t>N/D</t>
        </is>
      </c>
      <c r="V4" s="20" t="inlineStr">
        <is>
          <t>3 réglages de pression</t>
        </is>
      </c>
      <c r="W4" s="37" t="inlineStr">
        <is>
          <t>N/D</t>
        </is>
      </c>
      <c r="X4" s="37" t="inlineStr">
        <is>
          <t>N/D</t>
        </is>
      </c>
      <c r="Y4" s="37" t="inlineStr">
        <is>
          <t>N/D</t>
        </is>
      </c>
      <c r="Z4" s="20" t="inlineStr">
        <is>
          <t>Charge magnétique, 4 h</t>
        </is>
      </c>
      <c r="AA4" s="20" t="inlineStr">
        <is>
          <t>Non vérifié sur CI, SN, BF, CM, BJ.</t>
        </is>
      </c>
      <c r="AB4" s="20" t="inlineStr">
        <is>
          <t>Retail spécialisé, pharmacies</t>
        </is>
      </c>
      <c r="AC4" s="21" t="inlineStr">
        <is>
          <t>https://www.waterpik.ch/en/oral-health/products/dental-water-flosser/WP-560/</t>
        </is>
      </c>
      <c r="AD4" s="21" t="inlineStr">
        <is>
          <t>https://www.electricteeth.com/waterpik-cordless-advanced-wp560-review/</t>
        </is>
      </c>
      <c r="AE4" s="20" t="inlineStr">
        <is>
          <t>Rapprochement sur le format portable sans fil et un réservoir de grande capacité. Pression 45-75 PSI, réservoir 207 mL (7 oz), 4 buses, rotation 360 degrés. Référence du segment.</t>
        </is>
      </c>
      <c r="AF4" s="22">
        <f>IFERROR(IF(IF('Relevé prix'!$B$1="SN",VLOOKUP($Q4,'Relevé prix'!$A$4:$N$60,11,FALSE),VLOOKUP($Q4,'Relevé prix'!$A$4:$N$60,7,FALSE))=0,"",IF('Relevé prix'!$B$1="SN",VLOOKUP($Q4,'Relevé prix'!$A$4:$N$60,11,FALSE),VLOOKUP($Q4,'Relevé prix'!$A$4:$N$60,7,FALSE))),"")</f>
        <v/>
      </c>
      <c r="AG4" s="23">
        <f>IFERROR(IF(IF('Relevé prix'!$B$1="SN",VLOOKUP($Q4,'Relevé prix'!$A$4:$N$60,12,FALSE),VLOOKUP($Q4,'Relevé prix'!$A$4:$N$60,8,FALSE))=0,"",IF('Relevé prix'!$B$1="SN",VLOOKUP($Q4,'Relevé prix'!$A$4:$N$60,12,FALSE),VLOOKUP($Q4,'Relevé prix'!$A$4:$N$60,8,FALSE))),"")</f>
        <v/>
      </c>
      <c r="AH4" s="24" t="n"/>
      <c r="AI4" s="25" t="n"/>
      <c r="AJ4" s="25" t="n"/>
      <c r="AK4" s="22">
        <f>IF(OR(AH4="",AF4=""),"",AH4-AF4)</f>
        <v/>
      </c>
      <c r="AL4" s="26">
        <f>IF(OR(AH4="",AF4="",AF4=0),"",(AH4-AF4)/AF4)</f>
        <v/>
      </c>
      <c r="AM4" s="27">
        <f>IF(AL4="","",IF(AL4&lt;-0.05,"Moins cher",IF(AL4&gt;0.05,"Plus cher","Équivalent")))</f>
        <v/>
      </c>
    </row>
    <row r="5">
      <c r="A5" s="28" t="inlineStr">
        <is>
          <t>SG-8003</t>
        </is>
      </c>
      <c r="B5" s="28" t="inlineStr">
        <is>
          <t>Portable pliable (voyage)</t>
        </is>
      </c>
      <c r="C5" s="30" t="n">
        <v>175</v>
      </c>
      <c r="D5" s="30" t="n">
        <v>3</v>
      </c>
      <c r="E5" s="30" t="n">
        <v>90</v>
      </c>
      <c r="F5" s="30" t="n">
        <v>130</v>
      </c>
      <c r="G5" s="30" t="n">
        <v>1000</v>
      </c>
      <c r="H5" s="31" t="n">
        <v>3.7</v>
      </c>
      <c r="I5" s="28" t="inlineStr">
        <is>
          <t>Magnétique</t>
        </is>
      </c>
      <c r="J5" s="28" t="inlineStr">
        <is>
          <t>IPX7</t>
        </is>
      </c>
      <c r="K5" s="31" t="n">
        <v>233</v>
      </c>
      <c r="L5" s="28" t="inlineStr">
        <is>
          <t>63.3*47.1*227 (buse déployée) / 63.3*47.1*151 (buse rangée)</t>
        </is>
      </c>
      <c r="M5" s="28" t="inlineStr">
        <is>
          <t>Oui</t>
        </is>
      </c>
      <c r="N5" s="28" t="inlineStr">
        <is>
          <t>Non</t>
        </is>
      </c>
      <c r="O5" s="32" t="inlineStr">
        <is>
          <t>Plus de 1500 pulsations/min, format mini pliable en forme de diamant, versions 8003A et 8003B</t>
        </is>
      </c>
      <c r="P5" s="33" t="n">
        <v>96</v>
      </c>
      <c r="Q5" s="20" t="inlineStr">
        <is>
          <t>PANA_DJ10</t>
        </is>
      </c>
      <c r="R5" s="20" t="inlineStr">
        <is>
          <t>EW-DJ10 Dentacare</t>
        </is>
      </c>
      <c r="S5" s="20" t="inlineStr">
        <is>
          <t>Panasonic</t>
        </is>
      </c>
      <c r="T5" s="20" t="inlineStr">
        <is>
          <t>Hydropulseur portable pliable</t>
        </is>
      </c>
      <c r="U5" s="20" t="inlineStr">
        <is>
          <t>1 400 pulsations/min</t>
        </is>
      </c>
      <c r="V5" s="20" t="inlineStr">
        <is>
          <t>2 vitesses</t>
        </is>
      </c>
      <c r="W5" s="37" t="inlineStr">
        <is>
          <t>N/D</t>
        </is>
      </c>
      <c r="X5" s="20" t="inlineStr">
        <is>
          <t>100 % lavable</t>
        </is>
      </c>
      <c r="Y5" s="37" t="inlineStr">
        <is>
          <t>N/D</t>
        </is>
      </c>
      <c r="Z5" s="20" t="inlineStr">
        <is>
          <t>2 piles AA</t>
        </is>
      </c>
      <c r="AA5" s="20" t="inlineStr">
        <is>
          <t>Non vérifié sur CI, SN, BF, CM, BJ.</t>
        </is>
      </c>
      <c r="AB5" s="20" t="inlineStr">
        <is>
          <t>Retail spécialisé</t>
        </is>
      </c>
      <c r="AC5" s="21" t="inlineStr">
        <is>
          <t>https://www.panasonic.com/uk/support/discontinued-products/personal-care/ew-dj10.specs.html</t>
        </is>
      </c>
      <c r="AD5" s="21" t="inlineStr">
        <is>
          <t>https://www.amazon.com/Panasonic-EW-DJ10-A-Portable-Oral-Irrigator/dp/B00H2H9J4C</t>
        </is>
      </c>
      <c r="AE5" s="20" t="inlineStr">
        <is>
          <t>Rapprochement sur le format pliable de voyage et la petite capacité de réservoir. Réservoir 165 mL, environ 40 s d'autonomie d'eau, design pliable. Équivalent des SEAGO mini pliables.</t>
        </is>
      </c>
      <c r="AF5" s="22">
        <f>IFERROR(IF(IF('Relevé prix'!$B$1="SN",VLOOKUP($Q5,'Relevé prix'!$A$4:$N$60,11,FALSE),VLOOKUP($Q5,'Relevé prix'!$A$4:$N$60,7,FALSE))=0,"",IF('Relevé prix'!$B$1="SN",VLOOKUP($Q5,'Relevé prix'!$A$4:$N$60,11,FALSE),VLOOKUP($Q5,'Relevé prix'!$A$4:$N$60,7,FALSE))),"")</f>
        <v/>
      </c>
      <c r="AG5" s="23">
        <f>IFERROR(IF(IF('Relevé prix'!$B$1="SN",VLOOKUP($Q5,'Relevé prix'!$A$4:$N$60,12,FALSE),VLOOKUP($Q5,'Relevé prix'!$A$4:$N$60,8,FALSE))=0,"",IF('Relevé prix'!$B$1="SN",VLOOKUP($Q5,'Relevé prix'!$A$4:$N$60,12,FALSE),VLOOKUP($Q5,'Relevé prix'!$A$4:$N$60,8,FALSE))),"")</f>
        <v/>
      </c>
      <c r="AH5" s="24" t="n"/>
      <c r="AI5" s="25" t="n"/>
      <c r="AJ5" s="25" t="n"/>
      <c r="AK5" s="22">
        <f>IF(OR(AH5="",AF5=""),"",AH5-AF5)</f>
        <v/>
      </c>
      <c r="AL5" s="26">
        <f>IF(OR(AH5="",AF5="",AF5=0),"",(AH5-AF5)/AF5)</f>
        <v/>
      </c>
      <c r="AM5" s="27">
        <f>IF(AL5="","",IF(AL5&lt;-0.05,"Moins cher",IF(AL5&gt;0.05,"Plus cher","Équivalent")))</f>
        <v/>
      </c>
    </row>
    <row r="6">
      <c r="A6" s="13" t="inlineStr">
        <is>
          <t>SG-8019</t>
        </is>
      </c>
      <c r="B6" s="13" t="inlineStr">
        <is>
          <t>Portable (sans fil)</t>
        </is>
      </c>
      <c r="C6" s="15" t="n">
        <v>290</v>
      </c>
      <c r="D6" s="15" t="n">
        <v>5</v>
      </c>
      <c r="E6" s="15" t="n">
        <v>90</v>
      </c>
      <c r="F6" s="15" t="n">
        <v>130</v>
      </c>
      <c r="G6" s="15" t="n">
        <v>1600</v>
      </c>
      <c r="H6" s="17" t="n">
        <v>3.7</v>
      </c>
      <c r="I6" s="13" t="inlineStr">
        <is>
          <t>USB (port DC)</t>
        </is>
      </c>
      <c r="J6" s="13" t="inlineStr">
        <is>
          <t>IPX7</t>
        </is>
      </c>
      <c r="K6" s="17" t="n">
        <v>276</v>
      </c>
      <c r="L6" s="13" t="inlineStr">
        <is>
          <t>85.7*71.7*225.2</t>
        </is>
      </c>
      <c r="M6" s="13" t="inlineStr">
        <is>
          <t>Oui</t>
        </is>
      </c>
      <c r="N6" s="13" t="inlineStr">
        <is>
          <t>Oui</t>
        </is>
      </c>
      <c r="O6" s="18" t="inlineStr">
        <is>
          <t>Plus de 1500 pulsations/min, 5 modes (Strong, Normal, Massage, Shoot, DIY), grand réservoir 290 mL</t>
        </is>
      </c>
      <c r="P6" s="19" t="n">
        <v>96</v>
      </c>
      <c r="Q6" s="20" t="inlineStr">
        <is>
          <t>WP560</t>
        </is>
      </c>
      <c r="R6" s="20" t="inlineStr">
        <is>
          <t>Cordless Advanced WP-560</t>
        </is>
      </c>
      <c r="S6" s="20" t="inlineStr">
        <is>
          <t>Waterpik</t>
        </is>
      </c>
      <c r="T6" s="20" t="inlineStr">
        <is>
          <t>Hydropulseur portable sans fil</t>
        </is>
      </c>
      <c r="U6" s="37" t="inlineStr">
        <is>
          <t>N/D</t>
        </is>
      </c>
      <c r="V6" s="20" t="inlineStr">
        <is>
          <t>3 réglages de pression</t>
        </is>
      </c>
      <c r="W6" s="37" t="inlineStr">
        <is>
          <t>N/D</t>
        </is>
      </c>
      <c r="X6" s="37" t="inlineStr">
        <is>
          <t>N/D</t>
        </is>
      </c>
      <c r="Y6" s="37" t="inlineStr">
        <is>
          <t>N/D</t>
        </is>
      </c>
      <c r="Z6" s="20" t="inlineStr">
        <is>
          <t>Charge magnétique, 4 h</t>
        </is>
      </c>
      <c r="AA6" s="20" t="inlineStr">
        <is>
          <t>Non vérifié sur CI, SN, BF, CM, BJ.</t>
        </is>
      </c>
      <c r="AB6" s="20" t="inlineStr">
        <is>
          <t>Retail spécialisé, pharmacies</t>
        </is>
      </c>
      <c r="AC6" s="21" t="inlineStr">
        <is>
          <t>https://www.waterpik.ch/en/oral-health/products/dental-water-flosser/WP-560/</t>
        </is>
      </c>
      <c r="AD6" s="21" t="inlineStr">
        <is>
          <t>https://www.electricteeth.com/waterpik-cordless-advanced-wp560-review/</t>
        </is>
      </c>
      <c r="AE6" s="20" t="inlineStr">
        <is>
          <t>Rapprochement sur le format portable sans fil et un réservoir de grande capacité. Pression 45-75 PSI, réservoir 207 mL (7 oz), 4 buses, rotation 360 degrés. Référence du segment.</t>
        </is>
      </c>
      <c r="AF6" s="22">
        <f>IFERROR(IF(IF('Relevé prix'!$B$1="SN",VLOOKUP($Q6,'Relevé prix'!$A$4:$N$60,11,FALSE),VLOOKUP($Q6,'Relevé prix'!$A$4:$N$60,7,FALSE))=0,"",IF('Relevé prix'!$B$1="SN",VLOOKUP($Q6,'Relevé prix'!$A$4:$N$60,11,FALSE),VLOOKUP($Q6,'Relevé prix'!$A$4:$N$60,7,FALSE))),"")</f>
        <v/>
      </c>
      <c r="AG6" s="23">
        <f>IFERROR(IF(IF('Relevé prix'!$B$1="SN",VLOOKUP($Q6,'Relevé prix'!$A$4:$N$60,12,FALSE),VLOOKUP($Q6,'Relevé prix'!$A$4:$N$60,8,FALSE))=0,"",IF('Relevé prix'!$B$1="SN",VLOOKUP($Q6,'Relevé prix'!$A$4:$N$60,12,FALSE),VLOOKUP($Q6,'Relevé prix'!$A$4:$N$60,8,FALSE))),"")</f>
        <v/>
      </c>
      <c r="AH6" s="24" t="n"/>
      <c r="AI6" s="25" t="n"/>
      <c r="AJ6" s="25" t="n"/>
      <c r="AK6" s="22">
        <f>IF(OR(AH6="",AF6=""),"",AH6-AF6)</f>
        <v/>
      </c>
      <c r="AL6" s="26">
        <f>IF(OR(AH6="",AF6="",AF6=0),"",(AH6-AF6)/AF6)</f>
        <v/>
      </c>
      <c r="AM6" s="27">
        <f>IF(AL6="","",IF(AL6&lt;-0.05,"Moins cher",IF(AL6&gt;0.05,"Plus cher","Équivalent")))</f>
        <v/>
      </c>
    </row>
    <row r="7">
      <c r="A7" s="28" t="inlineStr">
        <is>
          <t>SG-833</t>
        </is>
      </c>
      <c r="B7" s="28" t="inlineStr">
        <is>
          <t>Portable (sans fil)</t>
        </is>
      </c>
      <c r="C7" s="30" t="n">
        <v>260</v>
      </c>
      <c r="D7" s="30" t="n">
        <v>3</v>
      </c>
      <c r="E7" s="30" t="n">
        <v>80</v>
      </c>
      <c r="F7" s="30" t="n">
        <v>160</v>
      </c>
      <c r="G7" s="30" t="n">
        <v>1500</v>
      </c>
      <c r="H7" s="31" t="n">
        <v>3.7</v>
      </c>
      <c r="I7" s="28" t="inlineStr">
        <is>
          <t>USB (port DC)</t>
        </is>
      </c>
      <c r="J7" s="28" t="inlineStr">
        <is>
          <t>IPX7</t>
        </is>
      </c>
      <c r="K7" s="31" t="n">
        <v>321</v>
      </c>
      <c r="L7" s="28" t="inlineStr">
        <is>
          <t>73*84*226 (manche sans buse)</t>
        </is>
      </c>
      <c r="M7" s="28" t="inlineStr">
        <is>
          <t>Oui</t>
        </is>
      </c>
      <c r="N7" s="28" t="inlineStr">
        <is>
          <t>Oui</t>
        </is>
      </c>
      <c r="O7" s="32" t="inlineStr">
        <is>
          <t>Plus de 1500 pulsations/min, réservoir disponible en 200 mL et 260 mL</t>
        </is>
      </c>
      <c r="P7" s="33" t="n">
        <v>97</v>
      </c>
      <c r="Q7" s="20" t="inlineStr">
        <is>
          <t>WP560</t>
        </is>
      </c>
      <c r="R7" s="20" t="inlineStr">
        <is>
          <t>Cordless Advanced WP-560</t>
        </is>
      </c>
      <c r="S7" s="20" t="inlineStr">
        <is>
          <t>Waterpik</t>
        </is>
      </c>
      <c r="T7" s="20" t="inlineStr">
        <is>
          <t>Hydropulseur portable sans fil</t>
        </is>
      </c>
      <c r="U7" s="37" t="inlineStr">
        <is>
          <t>N/D</t>
        </is>
      </c>
      <c r="V7" s="20" t="inlineStr">
        <is>
          <t>3 réglages de pression</t>
        </is>
      </c>
      <c r="W7" s="37" t="inlineStr">
        <is>
          <t>N/D</t>
        </is>
      </c>
      <c r="X7" s="37" t="inlineStr">
        <is>
          <t>N/D</t>
        </is>
      </c>
      <c r="Y7" s="37" t="inlineStr">
        <is>
          <t>N/D</t>
        </is>
      </c>
      <c r="Z7" s="20" t="inlineStr">
        <is>
          <t>Charge magnétique, 4 h</t>
        </is>
      </c>
      <c r="AA7" s="20" t="inlineStr">
        <is>
          <t>Non vérifié sur CI, SN, BF, CM, BJ.</t>
        </is>
      </c>
      <c r="AB7" s="20" t="inlineStr">
        <is>
          <t>Retail spécialisé, pharmacies</t>
        </is>
      </c>
      <c r="AC7" s="21" t="inlineStr">
        <is>
          <t>https://www.waterpik.ch/en/oral-health/products/dental-water-flosser/WP-560/</t>
        </is>
      </c>
      <c r="AD7" s="21" t="inlineStr">
        <is>
          <t>https://www.electricteeth.com/waterpik-cordless-advanced-wp560-review/</t>
        </is>
      </c>
      <c r="AE7" s="20" t="inlineStr">
        <is>
          <t>Rapprochement sur le format portable sans fil et un réservoir de grande capacité. Pression 45-75 PSI, réservoir 207 mL (7 oz), 4 buses, rotation 360 degrés. Référence du segment.</t>
        </is>
      </c>
      <c r="AF7" s="22">
        <f>IFERROR(IF(IF('Relevé prix'!$B$1="SN",VLOOKUP($Q7,'Relevé prix'!$A$4:$N$60,11,FALSE),VLOOKUP($Q7,'Relevé prix'!$A$4:$N$60,7,FALSE))=0,"",IF('Relevé prix'!$B$1="SN",VLOOKUP($Q7,'Relevé prix'!$A$4:$N$60,11,FALSE),VLOOKUP($Q7,'Relevé prix'!$A$4:$N$60,7,FALSE))),"")</f>
        <v/>
      </c>
      <c r="AG7" s="23">
        <f>IFERROR(IF(IF('Relevé prix'!$B$1="SN",VLOOKUP($Q7,'Relevé prix'!$A$4:$N$60,12,FALSE),VLOOKUP($Q7,'Relevé prix'!$A$4:$N$60,8,FALSE))=0,"",IF('Relevé prix'!$B$1="SN",VLOOKUP($Q7,'Relevé prix'!$A$4:$N$60,12,FALSE),VLOOKUP($Q7,'Relevé prix'!$A$4:$N$60,8,FALSE))),"")</f>
        <v/>
      </c>
      <c r="AH7" s="24" t="n"/>
      <c r="AI7" s="25" t="n"/>
      <c r="AJ7" s="25" t="n"/>
      <c r="AK7" s="22">
        <f>IF(OR(AH7="",AF7=""),"",AH7-AF7)</f>
        <v/>
      </c>
      <c r="AL7" s="26">
        <f>IF(OR(AH7="",AF7="",AF7=0),"",(AH7-AF7)/AF7)</f>
        <v/>
      </c>
      <c r="AM7" s="27">
        <f>IF(AL7="","",IF(AL7&lt;-0.05,"Moins cher",IF(AL7&gt;0.05,"Plus cher","Équivalent")))</f>
        <v/>
      </c>
    </row>
    <row r="8">
      <c r="A8" s="13" t="inlineStr">
        <is>
          <t>SG-8001</t>
        </is>
      </c>
      <c r="B8" s="13" t="inlineStr">
        <is>
          <t>Portable (sans fil)</t>
        </is>
      </c>
      <c r="C8" s="15" t="n">
        <v>180</v>
      </c>
      <c r="D8" s="15" t="n">
        <v>3</v>
      </c>
      <c r="E8" s="15" t="n">
        <v>80</v>
      </c>
      <c r="F8" s="15" t="n">
        <v>160</v>
      </c>
      <c r="G8" s="15" t="n">
        <v>1500</v>
      </c>
      <c r="H8" s="17" t="n">
        <v>3.7</v>
      </c>
      <c r="I8" s="13" t="inlineStr">
        <is>
          <t>USB (port DC)</t>
        </is>
      </c>
      <c r="J8" s="13" t="inlineStr">
        <is>
          <t>IPX7</t>
        </is>
      </c>
      <c r="K8" s="17" t="n">
        <v>312</v>
      </c>
      <c r="L8" s="13" t="inlineStr">
        <is>
          <t>63*84*226 (manche sans buse)</t>
        </is>
      </c>
      <c r="M8" s="13" t="inlineStr">
        <is>
          <t>Oui</t>
        </is>
      </c>
      <c r="N8" s="13" t="inlineStr">
        <is>
          <t>Oui</t>
        </is>
      </c>
      <c r="O8" s="18" t="inlineStr">
        <is>
          <t>Plus de 1500 pulsations/min, réservoir lavable, capacité annoncée 150-180 mL</t>
        </is>
      </c>
      <c r="P8" s="19" t="n">
        <v>97</v>
      </c>
      <c r="Q8" s="20" t="inlineStr">
        <is>
          <t>WP450</t>
        </is>
      </c>
      <c r="R8" s="20" t="inlineStr">
        <is>
          <t>Cordless Plus WP-450</t>
        </is>
      </c>
      <c r="S8" s="20" t="inlineStr">
        <is>
          <t>Waterpik</t>
        </is>
      </c>
      <c r="T8" s="20" t="inlineStr">
        <is>
          <t>Hydropulseur portable sans fil</t>
        </is>
      </c>
      <c r="U8" s="20" t="inlineStr">
        <is>
          <t>1 200 pulsations/min (20 Hz)</t>
        </is>
      </c>
      <c r="V8" s="20" t="inlineStr">
        <is>
          <t>2 réglages de pression</t>
        </is>
      </c>
      <c r="W8" s="20" t="n">
        <v>7</v>
      </c>
      <c r="X8" s="37" t="inlineStr">
        <is>
          <t>N/D</t>
        </is>
      </c>
      <c r="Y8" s="37" t="inlineStr">
        <is>
          <t>N/D</t>
        </is>
      </c>
      <c r="Z8" s="20" t="inlineStr">
        <is>
          <t>Batterie Ni-MH rechargeable</t>
        </is>
      </c>
      <c r="AA8" s="20" t="inlineStr">
        <is>
          <t>Non vérifié sur CI, SN, BF, CM, BJ.</t>
        </is>
      </c>
      <c r="AB8" s="20" t="inlineStr">
        <is>
          <t>Retail spécialisé, pharmacies</t>
        </is>
      </c>
      <c r="AC8" s="21" t="inlineStr">
        <is>
          <t>https://www.amazon.com/Waterpik-Ultra-Cordless-Water-Flosser/dp/B000UWAWQU</t>
        </is>
      </c>
      <c r="AD8" s="21" t="inlineStr">
        <is>
          <t>https://www.bestbuy.com/site/waterpik-cordless-plus-water-flosser-white/9984479.p?skuId=9984479</t>
        </is>
      </c>
      <c r="AE8" s="20" t="inlineStr">
        <is>
          <t>Rapprochement sur le format portable sans fil et un réservoir de capacité intermédiaire. Pression 2,8 à 5,8 bar (environ 40 à 84 PSI), réservoir 207 mL, 4 buses. Autonomie une semaine.</t>
        </is>
      </c>
      <c r="AF8" s="22">
        <f>IFERROR(IF(IF('Relevé prix'!$B$1="SN",VLOOKUP($Q8,'Relevé prix'!$A$4:$N$60,11,FALSE),VLOOKUP($Q8,'Relevé prix'!$A$4:$N$60,7,FALSE))=0,"",IF('Relevé prix'!$B$1="SN",VLOOKUP($Q8,'Relevé prix'!$A$4:$N$60,11,FALSE),VLOOKUP($Q8,'Relevé prix'!$A$4:$N$60,7,FALSE))),"")</f>
        <v/>
      </c>
      <c r="AG8" s="23">
        <f>IFERROR(IF(IF('Relevé prix'!$B$1="SN",VLOOKUP($Q8,'Relevé prix'!$A$4:$N$60,12,FALSE),VLOOKUP($Q8,'Relevé prix'!$A$4:$N$60,8,FALSE))=0,"",IF('Relevé prix'!$B$1="SN",VLOOKUP($Q8,'Relevé prix'!$A$4:$N$60,12,FALSE),VLOOKUP($Q8,'Relevé prix'!$A$4:$N$60,8,FALSE))),"")</f>
        <v/>
      </c>
      <c r="AH8" s="24" t="n"/>
      <c r="AI8" s="25" t="n"/>
      <c r="AJ8" s="25" t="n"/>
      <c r="AK8" s="22">
        <f>IF(OR(AH8="",AF8=""),"",AH8-AF8)</f>
        <v/>
      </c>
      <c r="AL8" s="26">
        <f>IF(OR(AH8="",AF8="",AF8=0),"",(AH8-AF8)/AF8)</f>
        <v/>
      </c>
      <c r="AM8" s="27">
        <f>IF(AL8="","",IF(AL8&lt;-0.05,"Moins cher",IF(AL8&gt;0.05,"Plus cher","Équivalent")))</f>
        <v/>
      </c>
    </row>
    <row r="9">
      <c r="A9" s="28" t="inlineStr">
        <is>
          <t>SG-8009</t>
        </is>
      </c>
      <c r="B9" s="28" t="inlineStr">
        <is>
          <t>Portable (sans fil)</t>
        </is>
      </c>
      <c r="C9" s="30" t="n">
        <v>230</v>
      </c>
      <c r="D9" s="30" t="n">
        <v>3</v>
      </c>
      <c r="E9" s="30" t="n">
        <v>90</v>
      </c>
      <c r="F9" s="30" t="n">
        <v>130</v>
      </c>
      <c r="G9" s="30" t="n">
        <v>1500</v>
      </c>
      <c r="H9" s="31" t="n">
        <v>3.7</v>
      </c>
      <c r="I9" s="28" t="inlineStr">
        <is>
          <t>USB</t>
        </is>
      </c>
      <c r="J9" s="28" t="inlineStr">
        <is>
          <t>IPX7</t>
        </is>
      </c>
      <c r="K9" s="31" t="n">
        <v>315</v>
      </c>
      <c r="L9" s="28" t="inlineStr">
        <is>
          <t>64*87*230 (manche sans buse)</t>
        </is>
      </c>
      <c r="M9" s="28" t="inlineStr">
        <is>
          <t>Oui</t>
        </is>
      </c>
      <c r="N9" s="28" t="inlineStr">
        <is>
          <t>Oui</t>
        </is>
      </c>
      <c r="O9" s="32" t="inlineStr">
        <is>
          <t>Plus de 1500 pulsations/min, réservoir 230 mL détachable et lavable</t>
        </is>
      </c>
      <c r="P9" s="33" t="n">
        <v>98</v>
      </c>
      <c r="Q9" s="20" t="inlineStr">
        <is>
          <t>WP450</t>
        </is>
      </c>
      <c r="R9" s="20" t="inlineStr">
        <is>
          <t>Cordless Plus WP-450</t>
        </is>
      </c>
      <c r="S9" s="20" t="inlineStr">
        <is>
          <t>Waterpik</t>
        </is>
      </c>
      <c r="T9" s="20" t="inlineStr">
        <is>
          <t>Hydropulseur portable sans fil</t>
        </is>
      </c>
      <c r="U9" s="20" t="inlineStr">
        <is>
          <t>1 200 pulsations/min (20 Hz)</t>
        </is>
      </c>
      <c r="V9" s="20" t="inlineStr">
        <is>
          <t>2 réglages de pression</t>
        </is>
      </c>
      <c r="W9" s="20" t="n">
        <v>7</v>
      </c>
      <c r="X9" s="37" t="inlineStr">
        <is>
          <t>N/D</t>
        </is>
      </c>
      <c r="Y9" s="37" t="inlineStr">
        <is>
          <t>N/D</t>
        </is>
      </c>
      <c r="Z9" s="20" t="inlineStr">
        <is>
          <t>Batterie Ni-MH rechargeable</t>
        </is>
      </c>
      <c r="AA9" s="20" t="inlineStr">
        <is>
          <t>Non vérifié sur CI, SN, BF, CM, BJ.</t>
        </is>
      </c>
      <c r="AB9" s="20" t="inlineStr">
        <is>
          <t>Retail spécialisé, pharmacies</t>
        </is>
      </c>
      <c r="AC9" s="21" t="inlineStr">
        <is>
          <t>https://www.amazon.com/Waterpik-Ultra-Cordless-Water-Flosser/dp/B000UWAWQU</t>
        </is>
      </c>
      <c r="AD9" s="21" t="inlineStr">
        <is>
          <t>https://www.bestbuy.com/site/waterpik-cordless-plus-water-flosser-white/9984479.p?skuId=9984479</t>
        </is>
      </c>
      <c r="AE9" s="20" t="inlineStr">
        <is>
          <t>Rapprochement sur le format portable sans fil et un réservoir de capacité intermédiaire. Pression 2,8 à 5,8 bar (environ 40 à 84 PSI), réservoir 207 mL, 4 buses. Autonomie une semaine.</t>
        </is>
      </c>
      <c r="AF9" s="22">
        <f>IFERROR(IF(IF('Relevé prix'!$B$1="SN",VLOOKUP($Q9,'Relevé prix'!$A$4:$N$60,11,FALSE),VLOOKUP($Q9,'Relevé prix'!$A$4:$N$60,7,FALSE))=0,"",IF('Relevé prix'!$B$1="SN",VLOOKUP($Q9,'Relevé prix'!$A$4:$N$60,11,FALSE),VLOOKUP($Q9,'Relevé prix'!$A$4:$N$60,7,FALSE))),"")</f>
        <v/>
      </c>
      <c r="AG9" s="23">
        <f>IFERROR(IF(IF('Relevé prix'!$B$1="SN",VLOOKUP($Q9,'Relevé prix'!$A$4:$N$60,12,FALSE),VLOOKUP($Q9,'Relevé prix'!$A$4:$N$60,8,FALSE))=0,"",IF('Relevé prix'!$B$1="SN",VLOOKUP($Q9,'Relevé prix'!$A$4:$N$60,12,FALSE),VLOOKUP($Q9,'Relevé prix'!$A$4:$N$60,8,FALSE))),"")</f>
        <v/>
      </c>
      <c r="AH9" s="24" t="n"/>
      <c r="AI9" s="25" t="n"/>
      <c r="AJ9" s="25" t="n"/>
      <c r="AK9" s="22">
        <f>IF(OR(AH9="",AF9=""),"",AH9-AF9)</f>
        <v/>
      </c>
      <c r="AL9" s="26">
        <f>IF(OR(AH9="",AF9="",AF9=0),"",(AH9-AF9)/AF9)</f>
        <v/>
      </c>
      <c r="AM9" s="27">
        <f>IF(AL9="","",IF(AL9&lt;-0.05,"Moins cher",IF(AL9&gt;0.05,"Plus cher","Équivalent")))</f>
        <v/>
      </c>
    </row>
    <row r="10">
      <c r="A10" s="13" t="inlineStr">
        <is>
          <t>SG-8002</t>
        </is>
      </c>
      <c r="B10" s="13" t="inlineStr">
        <is>
          <t>Portable pliable (voyage)</t>
        </is>
      </c>
      <c r="C10" s="15" t="n">
        <v>170</v>
      </c>
      <c r="D10" s="15" t="n">
        <v>3</v>
      </c>
      <c r="E10" s="15" t="n">
        <v>90</v>
      </c>
      <c r="F10" s="15" t="n">
        <v>130</v>
      </c>
      <c r="G10" s="15" t="n">
        <v>1500</v>
      </c>
      <c r="H10" s="17" t="n">
        <v>3.7</v>
      </c>
      <c r="I10" s="13" t="inlineStr">
        <is>
          <t>Magnétique</t>
        </is>
      </c>
      <c r="J10" s="13" t="inlineStr">
        <is>
          <t>IPX7</t>
        </is>
      </c>
      <c r="K10" s="17" t="n">
        <v>236</v>
      </c>
      <c r="L10" s="13" t="inlineStr">
        <is>
          <t>64*43*224 (buse déployée) / 64*43*148 (buse rangée)</t>
        </is>
      </c>
      <c r="M10" s="13" t="inlineStr">
        <is>
          <t>Oui</t>
        </is>
      </c>
      <c r="N10" s="13" t="inlineStr">
        <is>
          <t>Non</t>
        </is>
      </c>
      <c r="O10" s="18" t="inlineStr">
        <is>
          <t>Plus de 1500 pulsations/min, format mini pliable pour le voyage</t>
        </is>
      </c>
      <c r="P10" s="19" t="n">
        <v>98</v>
      </c>
      <c r="Q10" s="20" t="inlineStr">
        <is>
          <t>PANA_DJ10</t>
        </is>
      </c>
      <c r="R10" s="20" t="inlineStr">
        <is>
          <t>EW-DJ10 Dentacare</t>
        </is>
      </c>
      <c r="S10" s="20" t="inlineStr">
        <is>
          <t>Panasonic</t>
        </is>
      </c>
      <c r="T10" s="20" t="inlineStr">
        <is>
          <t>Hydropulseur portable pliable</t>
        </is>
      </c>
      <c r="U10" s="20" t="inlineStr">
        <is>
          <t>1 400 pulsations/min</t>
        </is>
      </c>
      <c r="V10" s="20" t="inlineStr">
        <is>
          <t>2 vitesses</t>
        </is>
      </c>
      <c r="W10" s="37" t="inlineStr">
        <is>
          <t>N/D</t>
        </is>
      </c>
      <c r="X10" s="20" t="inlineStr">
        <is>
          <t>100 % lavable</t>
        </is>
      </c>
      <c r="Y10" s="37" t="inlineStr">
        <is>
          <t>N/D</t>
        </is>
      </c>
      <c r="Z10" s="20" t="inlineStr">
        <is>
          <t>2 piles AA</t>
        </is>
      </c>
      <c r="AA10" s="20" t="inlineStr">
        <is>
          <t>Non vérifié sur CI, SN, BF, CM, BJ.</t>
        </is>
      </c>
      <c r="AB10" s="20" t="inlineStr">
        <is>
          <t>Retail spécialisé</t>
        </is>
      </c>
      <c r="AC10" s="21" t="inlineStr">
        <is>
          <t>https://www.panasonic.com/uk/support/discontinued-products/personal-care/ew-dj10.specs.html</t>
        </is>
      </c>
      <c r="AD10" s="21" t="inlineStr">
        <is>
          <t>https://www.amazon.com/Panasonic-EW-DJ10-A-Portable-Oral-Irrigator/dp/B00H2H9J4C</t>
        </is>
      </c>
      <c r="AE10" s="20" t="inlineStr">
        <is>
          <t>Rapprochement sur le format pliable de voyage et la petite capacité de réservoir. Réservoir 165 mL, environ 40 s d'autonomie d'eau, design pliable. Équivalent des SEAGO mini pliables.</t>
        </is>
      </c>
      <c r="AF10" s="22">
        <f>IFERROR(IF(IF('Relevé prix'!$B$1="SN",VLOOKUP($Q10,'Relevé prix'!$A$4:$N$60,11,FALSE),VLOOKUP($Q10,'Relevé prix'!$A$4:$N$60,7,FALSE))=0,"",IF('Relevé prix'!$B$1="SN",VLOOKUP($Q10,'Relevé prix'!$A$4:$N$60,11,FALSE),VLOOKUP($Q10,'Relevé prix'!$A$4:$N$60,7,FALSE))),"")</f>
        <v/>
      </c>
      <c r="AG10" s="23">
        <f>IFERROR(IF(IF('Relevé prix'!$B$1="SN",VLOOKUP($Q10,'Relevé prix'!$A$4:$N$60,12,FALSE),VLOOKUP($Q10,'Relevé prix'!$A$4:$N$60,8,FALSE))=0,"",IF('Relevé prix'!$B$1="SN",VLOOKUP($Q10,'Relevé prix'!$A$4:$N$60,12,FALSE),VLOOKUP($Q10,'Relevé prix'!$A$4:$N$60,8,FALSE))),"")</f>
        <v/>
      </c>
      <c r="AH10" s="24" t="n"/>
      <c r="AI10" s="25" t="n"/>
      <c r="AJ10" s="25" t="n"/>
      <c r="AK10" s="22">
        <f>IF(OR(AH10="",AF10=""),"",AH10-AF10)</f>
        <v/>
      </c>
      <c r="AL10" s="26">
        <f>IF(OR(AH10="",AF10="",AF10=0),"",(AH10-AF10)/AF10)</f>
        <v/>
      </c>
      <c r="AM10" s="27">
        <f>IF(AL10="","",IF(AL10&lt;-0.05,"Moins cher",IF(AL10&gt;0.05,"Plus cher","Équivalent")))</f>
        <v/>
      </c>
    </row>
    <row r="11">
      <c r="A11" s="28" t="inlineStr">
        <is>
          <t>SG-831</t>
        </is>
      </c>
      <c r="B11" s="28" t="inlineStr">
        <is>
          <t>Portable pliable (voyage)</t>
        </is>
      </c>
      <c r="C11" s="30" t="n">
        <v>190</v>
      </c>
      <c r="D11" s="30" t="n">
        <v>3</v>
      </c>
      <c r="E11" s="30" t="n">
        <v>80</v>
      </c>
      <c r="F11" s="30" t="n">
        <v>160</v>
      </c>
      <c r="G11" s="30" t="n">
        <v>1500</v>
      </c>
      <c r="H11" s="31" t="n">
        <v>3.7</v>
      </c>
      <c r="I11" s="28" t="inlineStr">
        <is>
          <t>USB</t>
        </is>
      </c>
      <c r="J11" s="28" t="inlineStr">
        <is>
          <t>IPX7</t>
        </is>
      </c>
      <c r="K11" s="31" t="n">
        <v>250</v>
      </c>
      <c r="L11" s="28" t="inlineStr">
        <is>
          <t>64*51*230 (buse déployée) / 64*51*158 (buse rangée)</t>
        </is>
      </c>
      <c r="M11" s="28" t="inlineStr">
        <is>
          <t>Oui</t>
        </is>
      </c>
      <c r="N11" s="28" t="inlineStr">
        <is>
          <t>Non</t>
        </is>
      </c>
      <c r="O11" s="32" t="inlineStr">
        <is>
          <t>Plus de 1500 pulsations/min, format mini pliable pour le voyage</t>
        </is>
      </c>
      <c r="P11" s="33" t="n">
        <v>99</v>
      </c>
      <c r="Q11" s="20" t="inlineStr">
        <is>
          <t>PANA_DJ10</t>
        </is>
      </c>
      <c r="R11" s="20" t="inlineStr">
        <is>
          <t>EW-DJ10 Dentacare</t>
        </is>
      </c>
      <c r="S11" s="20" t="inlineStr">
        <is>
          <t>Panasonic</t>
        </is>
      </c>
      <c r="T11" s="20" t="inlineStr">
        <is>
          <t>Hydropulseur portable pliable</t>
        </is>
      </c>
      <c r="U11" s="20" t="inlineStr">
        <is>
          <t>1 400 pulsations/min</t>
        </is>
      </c>
      <c r="V11" s="20" t="inlineStr">
        <is>
          <t>2 vitesses</t>
        </is>
      </c>
      <c r="W11" s="37" t="inlineStr">
        <is>
          <t>N/D</t>
        </is>
      </c>
      <c r="X11" s="20" t="inlineStr">
        <is>
          <t>100 % lavable</t>
        </is>
      </c>
      <c r="Y11" s="37" t="inlineStr">
        <is>
          <t>N/D</t>
        </is>
      </c>
      <c r="Z11" s="20" t="inlineStr">
        <is>
          <t>2 piles AA</t>
        </is>
      </c>
      <c r="AA11" s="20" t="inlineStr">
        <is>
          <t>Non vérifié sur CI, SN, BF, CM, BJ.</t>
        </is>
      </c>
      <c r="AB11" s="20" t="inlineStr">
        <is>
          <t>Retail spécialisé</t>
        </is>
      </c>
      <c r="AC11" s="21" t="inlineStr">
        <is>
          <t>https://www.panasonic.com/uk/support/discontinued-products/personal-care/ew-dj10.specs.html</t>
        </is>
      </c>
      <c r="AD11" s="21" t="inlineStr">
        <is>
          <t>https://www.amazon.com/Panasonic-EW-DJ10-A-Portable-Oral-Irrigator/dp/B00H2H9J4C</t>
        </is>
      </c>
      <c r="AE11" s="20" t="inlineStr">
        <is>
          <t>Rapprochement sur le format pliable de voyage et la petite capacité de réservoir. Réservoir 165 mL, environ 40 s d'autonomie d'eau, design pliable. Équivalent des SEAGO mini pliables.</t>
        </is>
      </c>
      <c r="AF11" s="22">
        <f>IFERROR(IF(IF('Relevé prix'!$B$1="SN",VLOOKUP($Q11,'Relevé prix'!$A$4:$N$60,11,FALSE),VLOOKUP($Q11,'Relevé prix'!$A$4:$N$60,7,FALSE))=0,"",IF('Relevé prix'!$B$1="SN",VLOOKUP($Q11,'Relevé prix'!$A$4:$N$60,11,FALSE),VLOOKUP($Q11,'Relevé prix'!$A$4:$N$60,7,FALSE))),"")</f>
        <v/>
      </c>
      <c r="AG11" s="23">
        <f>IFERROR(IF(IF('Relevé prix'!$B$1="SN",VLOOKUP($Q11,'Relevé prix'!$A$4:$N$60,12,FALSE),VLOOKUP($Q11,'Relevé prix'!$A$4:$N$60,8,FALSE))=0,"",IF('Relevé prix'!$B$1="SN",VLOOKUP($Q11,'Relevé prix'!$A$4:$N$60,12,FALSE),VLOOKUP($Q11,'Relevé prix'!$A$4:$N$60,8,FALSE))),"")</f>
        <v/>
      </c>
      <c r="AH11" s="24" t="n"/>
      <c r="AI11" s="25" t="n"/>
      <c r="AJ11" s="25" t="n"/>
      <c r="AK11" s="22">
        <f>IF(OR(AH11="",AF11=""),"",AH11-AF11)</f>
        <v/>
      </c>
      <c r="AL11" s="26">
        <f>IF(OR(AH11="",AF11="",AF11=0),"",(AH11-AF11)/AF11)</f>
        <v/>
      </c>
      <c r="AM11" s="27">
        <f>IF(AL11="","",IF(AL11&lt;-0.05,"Moins cher",IF(AL11&gt;0.05,"Plus cher","Équivalent")))</f>
        <v/>
      </c>
    </row>
    <row r="12">
      <c r="A12" s="13" t="inlineStr">
        <is>
          <t>SG-8010</t>
        </is>
      </c>
      <c r="B12" s="13" t="inlineStr">
        <is>
          <t>Sur socle (plan de travail)</t>
        </is>
      </c>
      <c r="C12" s="15" t="n">
        <v>400</v>
      </c>
      <c r="D12" s="15" t="n">
        <v>5</v>
      </c>
      <c r="E12" s="15" t="n">
        <v>90</v>
      </c>
      <c r="F12" s="15" t="n">
        <v>130</v>
      </c>
      <c r="G12" s="15" t="n">
        <v>1500</v>
      </c>
      <c r="H12" s="17" t="n">
        <v>3.7</v>
      </c>
      <c r="I12" s="13" t="inlineStr">
        <is>
          <t>USB</t>
        </is>
      </c>
      <c r="J12" s="13" t="inlineStr">
        <is>
          <t>IPX7</t>
        </is>
      </c>
      <c r="K12" s="17" t="n">
        <v>510</v>
      </c>
      <c r="L12" s="13" t="inlineStr">
        <is>
          <t>185*118*128</t>
        </is>
      </c>
      <c r="M12" s="13" t="inlineStr">
        <is>
          <t>Oui</t>
        </is>
      </c>
      <c r="N12" s="13" t="inlineStr">
        <is>
          <t>Oui</t>
        </is>
      </c>
      <c r="O12" s="18" t="inlineStr">
        <is>
          <t>Grand réservoir 400 mL, 5 réglages de pression, manche fin à bouton poussoir</t>
        </is>
      </c>
      <c r="P12" s="19" t="n">
        <v>99</v>
      </c>
      <c r="Q12" s="20" t="inlineStr">
        <is>
          <t>WP560</t>
        </is>
      </c>
      <c r="R12" s="20" t="inlineStr">
        <is>
          <t>Cordless Advanced WP-560</t>
        </is>
      </c>
      <c r="S12" s="20" t="inlineStr">
        <is>
          <t>Waterpik</t>
        </is>
      </c>
      <c r="T12" s="20" t="inlineStr">
        <is>
          <t>Hydropulseur portable sans fil</t>
        </is>
      </c>
      <c r="U12" s="37" t="inlineStr">
        <is>
          <t>N/D</t>
        </is>
      </c>
      <c r="V12" s="20" t="inlineStr">
        <is>
          <t>3 réglages de pression</t>
        </is>
      </c>
      <c r="W12" s="37" t="inlineStr">
        <is>
          <t>N/D</t>
        </is>
      </c>
      <c r="X12" s="37" t="inlineStr">
        <is>
          <t>N/D</t>
        </is>
      </c>
      <c r="Y12" s="37" t="inlineStr">
        <is>
          <t>N/D</t>
        </is>
      </c>
      <c r="Z12" s="20" t="inlineStr">
        <is>
          <t>Charge magnétique, 4 h</t>
        </is>
      </c>
      <c r="AA12" s="20" t="inlineStr">
        <is>
          <t>Non vérifié sur CI, SN, BF, CM, BJ.</t>
        </is>
      </c>
      <c r="AB12" s="20" t="inlineStr">
        <is>
          <t>Retail spécialisé, pharmacies</t>
        </is>
      </c>
      <c r="AC12" s="21" t="inlineStr">
        <is>
          <t>https://www.waterpik.ch/en/oral-health/products/dental-water-flosser/WP-560/</t>
        </is>
      </c>
      <c r="AD12" s="21" t="inlineStr">
        <is>
          <t>https://www.electricteeth.com/waterpik-cordless-advanced-wp560-review/</t>
        </is>
      </c>
      <c r="AE12" s="20" t="inlineStr">
        <is>
          <t>Rapprochement sur la catégorie hydropulseur haut de gamme. Écart : le SEAGO est un modèle de comptoir, le concurrent est portable. Aucun modèle de comptoir n'a pu être sourcé avec un lien vérifié. Pression 45-75 PSI, réservoir 207 mL (7 oz), 4 buses, rotation 360 degrés. Référence du segment.</t>
        </is>
      </c>
      <c r="AF12" s="22">
        <f>IFERROR(IF(IF('Relevé prix'!$B$1="SN",VLOOKUP($Q12,'Relevé prix'!$A$4:$N$60,11,FALSE),VLOOKUP($Q12,'Relevé prix'!$A$4:$N$60,7,FALSE))=0,"",IF('Relevé prix'!$B$1="SN",VLOOKUP($Q12,'Relevé prix'!$A$4:$N$60,11,FALSE),VLOOKUP($Q12,'Relevé prix'!$A$4:$N$60,7,FALSE))),"")</f>
        <v/>
      </c>
      <c r="AG12" s="23">
        <f>IFERROR(IF(IF('Relevé prix'!$B$1="SN",VLOOKUP($Q12,'Relevé prix'!$A$4:$N$60,12,FALSE),VLOOKUP($Q12,'Relevé prix'!$A$4:$N$60,8,FALSE))=0,"",IF('Relevé prix'!$B$1="SN",VLOOKUP($Q12,'Relevé prix'!$A$4:$N$60,12,FALSE),VLOOKUP($Q12,'Relevé prix'!$A$4:$N$60,8,FALSE))),"")</f>
        <v/>
      </c>
      <c r="AH12" s="24" t="n"/>
      <c r="AI12" s="25" t="n"/>
      <c r="AJ12" s="25" t="n"/>
      <c r="AK12" s="22">
        <f>IF(OR(AH12="",AF12=""),"",AH12-AF12)</f>
        <v/>
      </c>
      <c r="AL12" s="26">
        <f>IF(OR(AH12="",AF12="",AF12=0),"",(AH12-AF12)/AF12)</f>
        <v/>
      </c>
      <c r="AM12" s="27">
        <f>IF(AL12="","",IF(AL12&lt;-0.05,"Moins cher",IF(AL12&gt;0.05,"Plus cher","Équivalent")))</f>
        <v/>
      </c>
    </row>
    <row r="13">
      <c r="A13" s="41" t="n"/>
      <c r="B13" s="41" t="n"/>
      <c r="C13" s="41" t="n"/>
      <c r="D13" s="41" t="n"/>
      <c r="E13" s="41" t="n"/>
      <c r="F13" s="41" t="n"/>
      <c r="G13" s="41" t="n"/>
      <c r="H13" s="41" t="n"/>
      <c r="I13" s="41" t="n"/>
      <c r="J13" s="41" t="n"/>
      <c r="K13" s="41" t="n"/>
      <c r="L13" s="41" t="n"/>
      <c r="M13" s="41" t="n"/>
      <c r="N13" s="41" t="n"/>
      <c r="O13" s="41" t="n"/>
      <c r="P13" s="41" t="n"/>
      <c r="Q13" s="42" t="n"/>
      <c r="R13" s="42" t="n"/>
      <c r="S13" s="42" t="n"/>
      <c r="T13" s="42" t="n"/>
      <c r="U13" s="42" t="n"/>
      <c r="V13" s="42" t="n"/>
      <c r="W13" s="42" t="n"/>
      <c r="X13" s="42" t="n"/>
      <c r="Y13" s="42" t="n"/>
      <c r="Z13" s="42" t="n"/>
      <c r="AA13" s="42" t="n"/>
      <c r="AB13" s="42" t="n"/>
      <c r="AC13" s="42" t="n"/>
      <c r="AD13" s="42" t="n"/>
      <c r="AE13" s="42" t="n"/>
      <c r="AF13" s="22">
        <f>IFERROR(IF(IF('Relevé prix'!$B$1="SN",VLOOKUP($Q13,'Relevé prix'!$A$4:$N$60,11,FALSE),VLOOKUP($Q13,'Relevé prix'!$A$4:$N$60,7,FALSE))=0,"",IF('Relevé prix'!$B$1="SN",VLOOKUP($Q13,'Relevé prix'!$A$4:$N$60,11,FALSE),VLOOKUP($Q13,'Relevé prix'!$A$4:$N$60,7,FALSE))),"")</f>
        <v/>
      </c>
      <c r="AG13" s="23">
        <f>IFERROR(IF(IF('Relevé prix'!$B$1="SN",VLOOKUP($Q13,'Relevé prix'!$A$4:$N$60,12,FALSE),VLOOKUP($Q13,'Relevé prix'!$A$4:$N$60,8,FALSE))=0,"",IF('Relevé prix'!$B$1="SN",VLOOKUP($Q13,'Relevé prix'!$A$4:$N$60,12,FALSE),VLOOKUP($Q13,'Relevé prix'!$A$4:$N$60,8,FALSE))),"")</f>
        <v/>
      </c>
      <c r="AH13" s="24" t="n"/>
      <c r="AI13" s="25" t="n"/>
      <c r="AJ13" s="25" t="n"/>
      <c r="AK13" s="22">
        <f>IF(OR(AH13="",AF13=""),"",AH13-AF13)</f>
        <v/>
      </c>
      <c r="AL13" s="26">
        <f>IF(OR(AH13="",AF13="",AF13=0),"",(AH13-AF13)/AF13)</f>
        <v/>
      </c>
      <c r="AM13" s="27">
        <f>IF(AL13="","",IF(AL13&lt;-0.05,"Moins cher",IF(AL13&gt;0.05,"Plus cher","Équivalent")))</f>
        <v/>
      </c>
    </row>
    <row r="14">
      <c r="A14" s="41" t="n"/>
      <c r="B14" s="41" t="n"/>
      <c r="C14" s="41" t="n"/>
      <c r="D14" s="41" t="n"/>
      <c r="E14" s="41" t="n"/>
      <c r="F14" s="41" t="n"/>
      <c r="G14" s="41" t="n"/>
      <c r="H14" s="41" t="n"/>
      <c r="I14" s="41" t="n"/>
      <c r="J14" s="41" t="n"/>
      <c r="K14" s="41" t="n"/>
      <c r="L14" s="41" t="n"/>
      <c r="M14" s="41" t="n"/>
      <c r="N14" s="41" t="n"/>
      <c r="O14" s="41" t="n"/>
      <c r="P14" s="41" t="n"/>
      <c r="Q14" s="42" t="n"/>
      <c r="R14" s="42" t="n"/>
      <c r="S14" s="42" t="n"/>
      <c r="T14" s="42" t="n"/>
      <c r="U14" s="42" t="n"/>
      <c r="V14" s="42" t="n"/>
      <c r="W14" s="42" t="n"/>
      <c r="X14" s="42" t="n"/>
      <c r="Y14" s="42" t="n"/>
      <c r="Z14" s="42" t="n"/>
      <c r="AA14" s="42" t="n"/>
      <c r="AB14" s="42" t="n"/>
      <c r="AC14" s="42" t="n"/>
      <c r="AD14" s="42" t="n"/>
      <c r="AE14" s="42" t="n"/>
      <c r="AF14" s="22">
        <f>IFERROR(IF(IF('Relevé prix'!$B$1="SN",VLOOKUP($Q14,'Relevé prix'!$A$4:$N$60,11,FALSE),VLOOKUP($Q14,'Relevé prix'!$A$4:$N$60,7,FALSE))=0,"",IF('Relevé prix'!$B$1="SN",VLOOKUP($Q14,'Relevé prix'!$A$4:$N$60,11,FALSE),VLOOKUP($Q14,'Relevé prix'!$A$4:$N$60,7,FALSE))),"")</f>
        <v/>
      </c>
      <c r="AG14" s="23">
        <f>IFERROR(IF(IF('Relevé prix'!$B$1="SN",VLOOKUP($Q14,'Relevé prix'!$A$4:$N$60,12,FALSE),VLOOKUP($Q14,'Relevé prix'!$A$4:$N$60,8,FALSE))=0,"",IF('Relevé prix'!$B$1="SN",VLOOKUP($Q14,'Relevé prix'!$A$4:$N$60,12,FALSE),VLOOKUP($Q14,'Relevé prix'!$A$4:$N$60,8,FALSE))),"")</f>
        <v/>
      </c>
      <c r="AH14" s="24" t="n"/>
      <c r="AI14" s="25" t="n"/>
      <c r="AJ14" s="25" t="n"/>
      <c r="AK14" s="22">
        <f>IF(OR(AH14="",AF14=""),"",AH14-AF14)</f>
        <v/>
      </c>
      <c r="AL14" s="26">
        <f>IF(OR(AH14="",AF14="",AF14=0),"",(AH14-AF14)/AF14)</f>
        <v/>
      </c>
      <c r="AM14" s="27">
        <f>IF(AL14="","",IF(AL14&lt;-0.05,"Moins cher",IF(AL14&gt;0.05,"Plus cher","Équivalent")))</f>
        <v/>
      </c>
    </row>
    <row r="15">
      <c r="A15" s="41" t="n"/>
      <c r="B15" s="41" t="n"/>
      <c r="C15" s="41" t="n"/>
      <c r="D15" s="41" t="n"/>
      <c r="E15" s="41" t="n"/>
      <c r="F15" s="41" t="n"/>
      <c r="G15" s="41" t="n"/>
      <c r="H15" s="41" t="n"/>
      <c r="I15" s="41" t="n"/>
      <c r="J15" s="41" t="n"/>
      <c r="K15" s="41" t="n"/>
      <c r="L15" s="41" t="n"/>
      <c r="M15" s="41" t="n"/>
      <c r="N15" s="41" t="n"/>
      <c r="O15" s="41" t="n"/>
      <c r="P15" s="41" t="n"/>
      <c r="Q15" s="42" t="n"/>
      <c r="R15" s="42" t="n"/>
      <c r="S15" s="42" t="n"/>
      <c r="T15" s="42" t="n"/>
      <c r="U15" s="42" t="n"/>
      <c r="V15" s="42" t="n"/>
      <c r="W15" s="42" t="n"/>
      <c r="X15" s="42" t="n"/>
      <c r="Y15" s="42" t="n"/>
      <c r="Z15" s="42" t="n"/>
      <c r="AA15" s="42" t="n"/>
      <c r="AB15" s="42" t="n"/>
      <c r="AC15" s="42" t="n"/>
      <c r="AD15" s="42" t="n"/>
      <c r="AE15" s="42" t="n"/>
      <c r="AF15" s="22">
        <f>IFERROR(IF(IF('Relevé prix'!$B$1="SN",VLOOKUP($Q15,'Relevé prix'!$A$4:$N$60,11,FALSE),VLOOKUP($Q15,'Relevé prix'!$A$4:$N$60,7,FALSE))=0,"",IF('Relevé prix'!$B$1="SN",VLOOKUP($Q15,'Relevé prix'!$A$4:$N$60,11,FALSE),VLOOKUP($Q15,'Relevé prix'!$A$4:$N$60,7,FALSE))),"")</f>
        <v/>
      </c>
      <c r="AG15" s="23">
        <f>IFERROR(IF(IF('Relevé prix'!$B$1="SN",VLOOKUP($Q15,'Relevé prix'!$A$4:$N$60,12,FALSE),VLOOKUP($Q15,'Relevé prix'!$A$4:$N$60,8,FALSE))=0,"",IF('Relevé prix'!$B$1="SN",VLOOKUP($Q15,'Relevé prix'!$A$4:$N$60,12,FALSE),VLOOKUP($Q15,'Relevé prix'!$A$4:$N$60,8,FALSE))),"")</f>
        <v/>
      </c>
      <c r="AH15" s="24" t="n"/>
      <c r="AI15" s="25" t="n"/>
      <c r="AJ15" s="25" t="n"/>
      <c r="AK15" s="22">
        <f>IF(OR(AH15="",AF15=""),"",AH15-AF15)</f>
        <v/>
      </c>
      <c r="AL15" s="26">
        <f>IF(OR(AH15="",AF15="",AF15=0),"",(AH15-AF15)/AF15)</f>
        <v/>
      </c>
      <c r="AM15" s="27">
        <f>IF(AL15="","",IF(AL15&lt;-0.05,"Moins cher",IF(AL15&gt;0.05,"Plus cher","Équivalent")))</f>
        <v/>
      </c>
    </row>
    <row r="16">
      <c r="A16" s="41" t="n"/>
      <c r="B16" s="41" t="n"/>
      <c r="C16" s="41" t="n"/>
      <c r="D16" s="41" t="n"/>
      <c r="E16" s="41" t="n"/>
      <c r="F16" s="41" t="n"/>
      <c r="G16" s="41" t="n"/>
      <c r="H16" s="41" t="n"/>
      <c r="I16" s="41" t="n"/>
      <c r="J16" s="41" t="n"/>
      <c r="K16" s="41" t="n"/>
      <c r="L16" s="41" t="n"/>
      <c r="M16" s="41" t="n"/>
      <c r="N16" s="41" t="n"/>
      <c r="O16" s="41" t="n"/>
      <c r="P16" s="41" t="n"/>
      <c r="Q16" s="42" t="n"/>
      <c r="R16" s="42" t="n"/>
      <c r="S16" s="42" t="n"/>
      <c r="T16" s="42" t="n"/>
      <c r="U16" s="42" t="n"/>
      <c r="V16" s="42" t="n"/>
      <c r="W16" s="42" t="n"/>
      <c r="X16" s="42" t="n"/>
      <c r="Y16" s="42" t="n"/>
      <c r="Z16" s="42" t="n"/>
      <c r="AA16" s="42" t="n"/>
      <c r="AB16" s="42" t="n"/>
      <c r="AC16" s="42" t="n"/>
      <c r="AD16" s="42" t="n"/>
      <c r="AE16" s="42" t="n"/>
      <c r="AF16" s="22">
        <f>IFERROR(IF(IF('Relevé prix'!$B$1="SN",VLOOKUP($Q16,'Relevé prix'!$A$4:$N$60,11,FALSE),VLOOKUP($Q16,'Relevé prix'!$A$4:$N$60,7,FALSE))=0,"",IF('Relevé prix'!$B$1="SN",VLOOKUP($Q16,'Relevé prix'!$A$4:$N$60,11,FALSE),VLOOKUP($Q16,'Relevé prix'!$A$4:$N$60,7,FALSE))),"")</f>
        <v/>
      </c>
      <c r="AG16" s="23">
        <f>IFERROR(IF(IF('Relevé prix'!$B$1="SN",VLOOKUP($Q16,'Relevé prix'!$A$4:$N$60,12,FALSE),VLOOKUP($Q16,'Relevé prix'!$A$4:$N$60,8,FALSE))=0,"",IF('Relevé prix'!$B$1="SN",VLOOKUP($Q16,'Relevé prix'!$A$4:$N$60,12,FALSE),VLOOKUP($Q16,'Relevé prix'!$A$4:$N$60,8,FALSE))),"")</f>
        <v/>
      </c>
      <c r="AH16" s="24" t="n"/>
      <c r="AI16" s="25" t="n"/>
      <c r="AJ16" s="25" t="n"/>
      <c r="AK16" s="22">
        <f>IF(OR(AH16="",AF16=""),"",AH16-AF16)</f>
        <v/>
      </c>
      <c r="AL16" s="26">
        <f>IF(OR(AH16="",AF16="",AF16=0),"",(AH16-AF16)/AF16)</f>
        <v/>
      </c>
      <c r="AM16" s="27">
        <f>IF(AL16="","",IF(AL16&lt;-0.05,"Moins cher",IF(AL16&gt;0.05,"Plus cher","Équivalent")))</f>
        <v/>
      </c>
    </row>
    <row r="17">
      <c r="A17" s="41" t="n"/>
      <c r="B17" s="41" t="n"/>
      <c r="C17" s="41" t="n"/>
      <c r="D17" s="41" t="n"/>
      <c r="E17" s="41" t="n"/>
      <c r="F17" s="41" t="n"/>
      <c r="G17" s="41" t="n"/>
      <c r="H17" s="41" t="n"/>
      <c r="I17" s="41" t="n"/>
      <c r="J17" s="41" t="n"/>
      <c r="K17" s="41" t="n"/>
      <c r="L17" s="41" t="n"/>
      <c r="M17" s="41" t="n"/>
      <c r="N17" s="41" t="n"/>
      <c r="O17" s="41" t="n"/>
      <c r="P17" s="41" t="n"/>
      <c r="Q17" s="42" t="n"/>
      <c r="R17" s="42" t="n"/>
      <c r="S17" s="42" t="n"/>
      <c r="T17" s="42" t="n"/>
      <c r="U17" s="42" t="n"/>
      <c r="V17" s="42" t="n"/>
      <c r="W17" s="42" t="n"/>
      <c r="X17" s="42" t="n"/>
      <c r="Y17" s="42" t="n"/>
      <c r="Z17" s="42" t="n"/>
      <c r="AA17" s="42" t="n"/>
      <c r="AB17" s="42" t="n"/>
      <c r="AC17" s="42" t="n"/>
      <c r="AD17" s="42" t="n"/>
      <c r="AE17" s="42" t="n"/>
      <c r="AF17" s="22">
        <f>IFERROR(IF(IF('Relevé prix'!$B$1="SN",VLOOKUP($Q17,'Relevé prix'!$A$4:$N$60,11,FALSE),VLOOKUP($Q17,'Relevé prix'!$A$4:$N$60,7,FALSE))=0,"",IF('Relevé prix'!$B$1="SN",VLOOKUP($Q17,'Relevé prix'!$A$4:$N$60,11,FALSE),VLOOKUP($Q17,'Relevé prix'!$A$4:$N$60,7,FALSE))),"")</f>
        <v/>
      </c>
      <c r="AG17" s="23">
        <f>IFERROR(IF(IF('Relevé prix'!$B$1="SN",VLOOKUP($Q17,'Relevé prix'!$A$4:$N$60,12,FALSE),VLOOKUP($Q17,'Relevé prix'!$A$4:$N$60,8,FALSE))=0,"",IF('Relevé prix'!$B$1="SN",VLOOKUP($Q17,'Relevé prix'!$A$4:$N$60,12,FALSE),VLOOKUP($Q17,'Relevé prix'!$A$4:$N$60,8,FALSE))),"")</f>
        <v/>
      </c>
      <c r="AH17" s="24" t="n"/>
      <c r="AI17" s="25" t="n"/>
      <c r="AJ17" s="25" t="n"/>
      <c r="AK17" s="22">
        <f>IF(OR(AH17="",AF17=""),"",AH17-AF17)</f>
        <v/>
      </c>
      <c r="AL17" s="26">
        <f>IF(OR(AH17="",AF17="",AF17=0),"",(AH17-AF17)/AF17)</f>
        <v/>
      </c>
      <c r="AM17" s="27">
        <f>IF(AL17="","",IF(AL17&lt;-0.05,"Moins cher",IF(AL17&gt;0.05,"Plus cher","Équivalent")))</f>
        <v/>
      </c>
    </row>
    <row r="18">
      <c r="A18" s="41" t="n"/>
      <c r="B18" s="41" t="n"/>
      <c r="C18" s="41" t="n"/>
      <c r="D18" s="41" t="n"/>
      <c r="E18" s="41" t="n"/>
      <c r="F18" s="41" t="n"/>
      <c r="G18" s="41" t="n"/>
      <c r="H18" s="41" t="n"/>
      <c r="I18" s="41" t="n"/>
      <c r="J18" s="41" t="n"/>
      <c r="K18" s="41" t="n"/>
      <c r="L18" s="41" t="n"/>
      <c r="M18" s="41" t="n"/>
      <c r="N18" s="41" t="n"/>
      <c r="O18" s="41" t="n"/>
      <c r="P18" s="41" t="n"/>
      <c r="Q18" s="42" t="n"/>
      <c r="R18" s="42" t="n"/>
      <c r="S18" s="42" t="n"/>
      <c r="T18" s="42" t="n"/>
      <c r="U18" s="42" t="n"/>
      <c r="V18" s="42" t="n"/>
      <c r="W18" s="42" t="n"/>
      <c r="X18" s="42" t="n"/>
      <c r="Y18" s="42" t="n"/>
      <c r="Z18" s="42" t="n"/>
      <c r="AA18" s="42" t="n"/>
      <c r="AB18" s="42" t="n"/>
      <c r="AC18" s="42" t="n"/>
      <c r="AD18" s="42" t="n"/>
      <c r="AE18" s="42" t="n"/>
      <c r="AF18" s="22">
        <f>IFERROR(IF(IF('Relevé prix'!$B$1="SN",VLOOKUP($Q18,'Relevé prix'!$A$4:$N$60,11,FALSE),VLOOKUP($Q18,'Relevé prix'!$A$4:$N$60,7,FALSE))=0,"",IF('Relevé prix'!$B$1="SN",VLOOKUP($Q18,'Relevé prix'!$A$4:$N$60,11,FALSE),VLOOKUP($Q18,'Relevé prix'!$A$4:$N$60,7,FALSE))),"")</f>
        <v/>
      </c>
      <c r="AG18" s="23">
        <f>IFERROR(IF(IF('Relevé prix'!$B$1="SN",VLOOKUP($Q18,'Relevé prix'!$A$4:$N$60,12,FALSE),VLOOKUP($Q18,'Relevé prix'!$A$4:$N$60,8,FALSE))=0,"",IF('Relevé prix'!$B$1="SN",VLOOKUP($Q18,'Relevé prix'!$A$4:$N$60,12,FALSE),VLOOKUP($Q18,'Relevé prix'!$A$4:$N$60,8,FALSE))),"")</f>
        <v/>
      </c>
      <c r="AH18" s="24" t="n"/>
      <c r="AI18" s="25" t="n"/>
      <c r="AJ18" s="25" t="n"/>
      <c r="AK18" s="22">
        <f>IF(OR(AH18="",AF18=""),"",AH18-AF18)</f>
        <v/>
      </c>
      <c r="AL18" s="26">
        <f>IF(OR(AH18="",AF18="",AF18=0),"",(AH18-AF18)/AF18)</f>
        <v/>
      </c>
      <c r="AM18" s="27">
        <f>IF(AL18="","",IF(AL18&lt;-0.05,"Moins cher",IF(AL18&gt;0.05,"Plus cher","Équivalent")))</f>
        <v/>
      </c>
    </row>
    <row r="19">
      <c r="A19" s="41" t="n"/>
      <c r="B19" s="41" t="n"/>
      <c r="C19" s="41" t="n"/>
      <c r="D19" s="41" t="n"/>
      <c r="E19" s="41" t="n"/>
      <c r="F19" s="41" t="n"/>
      <c r="G19" s="41" t="n"/>
      <c r="H19" s="41" t="n"/>
      <c r="I19" s="41" t="n"/>
      <c r="J19" s="41" t="n"/>
      <c r="K19" s="41" t="n"/>
      <c r="L19" s="41" t="n"/>
      <c r="M19" s="41" t="n"/>
      <c r="N19" s="41" t="n"/>
      <c r="O19" s="41" t="n"/>
      <c r="P19" s="41" t="n"/>
      <c r="Q19" s="42" t="n"/>
      <c r="R19" s="42" t="n"/>
      <c r="S19" s="42" t="n"/>
      <c r="T19" s="42" t="n"/>
      <c r="U19" s="42" t="n"/>
      <c r="V19" s="42" t="n"/>
      <c r="W19" s="42" t="n"/>
      <c r="X19" s="42" t="n"/>
      <c r="Y19" s="42" t="n"/>
      <c r="Z19" s="42" t="n"/>
      <c r="AA19" s="42" t="n"/>
      <c r="AB19" s="42" t="n"/>
      <c r="AC19" s="42" t="n"/>
      <c r="AD19" s="42" t="n"/>
      <c r="AE19" s="42" t="n"/>
      <c r="AF19" s="22">
        <f>IFERROR(IF(IF('Relevé prix'!$B$1="SN",VLOOKUP($Q19,'Relevé prix'!$A$4:$N$60,11,FALSE),VLOOKUP($Q19,'Relevé prix'!$A$4:$N$60,7,FALSE))=0,"",IF('Relevé prix'!$B$1="SN",VLOOKUP($Q19,'Relevé prix'!$A$4:$N$60,11,FALSE),VLOOKUP($Q19,'Relevé prix'!$A$4:$N$60,7,FALSE))),"")</f>
        <v/>
      </c>
      <c r="AG19" s="23">
        <f>IFERROR(IF(IF('Relevé prix'!$B$1="SN",VLOOKUP($Q19,'Relevé prix'!$A$4:$N$60,12,FALSE),VLOOKUP($Q19,'Relevé prix'!$A$4:$N$60,8,FALSE))=0,"",IF('Relevé prix'!$B$1="SN",VLOOKUP($Q19,'Relevé prix'!$A$4:$N$60,12,FALSE),VLOOKUP($Q19,'Relevé prix'!$A$4:$N$60,8,FALSE))),"")</f>
        <v/>
      </c>
      <c r="AH19" s="24" t="n"/>
      <c r="AI19" s="25" t="n"/>
      <c r="AJ19" s="25" t="n"/>
      <c r="AK19" s="22">
        <f>IF(OR(AH19="",AF19=""),"",AH19-AF19)</f>
        <v/>
      </c>
      <c r="AL19" s="26">
        <f>IF(OR(AH19="",AF19="",AF19=0),"",(AH19-AF19)/AF19)</f>
        <v/>
      </c>
      <c r="AM19" s="27">
        <f>IF(AL19="","",IF(AL19&lt;-0.05,"Moins cher",IF(AL19&gt;0.05,"Plus cher","Équivalent")))</f>
        <v/>
      </c>
    </row>
    <row r="20">
      <c r="A20" s="41" t="n"/>
      <c r="B20" s="41" t="n"/>
      <c r="C20" s="41" t="n"/>
      <c r="D20" s="41" t="n"/>
      <c r="E20" s="41" t="n"/>
      <c r="F20" s="41" t="n"/>
      <c r="G20" s="41" t="n"/>
      <c r="H20" s="41" t="n"/>
      <c r="I20" s="41" t="n"/>
      <c r="J20" s="41" t="n"/>
      <c r="K20" s="41" t="n"/>
      <c r="L20" s="41" t="n"/>
      <c r="M20" s="41" t="n"/>
      <c r="N20" s="41" t="n"/>
      <c r="O20" s="41" t="n"/>
      <c r="P20" s="41" t="n"/>
      <c r="Q20" s="42" t="n"/>
      <c r="R20" s="42" t="n"/>
      <c r="S20" s="42" t="n"/>
      <c r="T20" s="42" t="n"/>
      <c r="U20" s="42" t="n"/>
      <c r="V20" s="42" t="n"/>
      <c r="W20" s="42" t="n"/>
      <c r="X20" s="42" t="n"/>
      <c r="Y20" s="42" t="n"/>
      <c r="Z20" s="42" t="n"/>
      <c r="AA20" s="42" t="n"/>
      <c r="AB20" s="42" t="n"/>
      <c r="AC20" s="42" t="n"/>
      <c r="AD20" s="42" t="n"/>
      <c r="AE20" s="42" t="n"/>
      <c r="AF20" s="22">
        <f>IFERROR(IF(IF('Relevé prix'!$B$1="SN",VLOOKUP($Q20,'Relevé prix'!$A$4:$N$60,11,FALSE),VLOOKUP($Q20,'Relevé prix'!$A$4:$N$60,7,FALSE))=0,"",IF('Relevé prix'!$B$1="SN",VLOOKUP($Q20,'Relevé prix'!$A$4:$N$60,11,FALSE),VLOOKUP($Q20,'Relevé prix'!$A$4:$N$60,7,FALSE))),"")</f>
        <v/>
      </c>
      <c r="AG20" s="23">
        <f>IFERROR(IF(IF('Relevé prix'!$B$1="SN",VLOOKUP($Q20,'Relevé prix'!$A$4:$N$60,12,FALSE),VLOOKUP($Q20,'Relevé prix'!$A$4:$N$60,8,FALSE))=0,"",IF('Relevé prix'!$B$1="SN",VLOOKUP($Q20,'Relevé prix'!$A$4:$N$60,12,FALSE),VLOOKUP($Q20,'Relevé prix'!$A$4:$N$60,8,FALSE))),"")</f>
        <v/>
      </c>
      <c r="AH20" s="24" t="n"/>
      <c r="AI20" s="25" t="n"/>
      <c r="AJ20" s="25" t="n"/>
      <c r="AK20" s="22">
        <f>IF(OR(AH20="",AF20=""),"",AH20-AF20)</f>
        <v/>
      </c>
      <c r="AL20" s="26">
        <f>IF(OR(AH20="",AF20="",AF20=0),"",(AH20-AF20)/AF20)</f>
        <v/>
      </c>
      <c r="AM20" s="27">
        <f>IF(AL20="","",IF(AL20&lt;-0.05,"Moins cher",IF(AL20&gt;0.05,"Plus cher","Équivalent")))</f>
        <v/>
      </c>
    </row>
    <row r="21">
      <c r="A21" s="41" t="n"/>
      <c r="B21" s="41" t="n"/>
      <c r="C21" s="41" t="n"/>
      <c r="D21" s="41" t="n"/>
      <c r="E21" s="41" t="n"/>
      <c r="F21" s="41" t="n"/>
      <c r="G21" s="41" t="n"/>
      <c r="H21" s="41" t="n"/>
      <c r="I21" s="41" t="n"/>
      <c r="J21" s="41" t="n"/>
      <c r="K21" s="41" t="n"/>
      <c r="L21" s="41" t="n"/>
      <c r="M21" s="41" t="n"/>
      <c r="N21" s="41" t="n"/>
      <c r="O21" s="41" t="n"/>
      <c r="P21" s="41" t="n"/>
      <c r="Q21" s="42" t="n"/>
      <c r="R21" s="42" t="n"/>
      <c r="S21" s="42" t="n"/>
      <c r="T21" s="42" t="n"/>
      <c r="U21" s="42" t="n"/>
      <c r="V21" s="42" t="n"/>
      <c r="W21" s="42" t="n"/>
      <c r="X21" s="42" t="n"/>
      <c r="Y21" s="42" t="n"/>
      <c r="Z21" s="42" t="n"/>
      <c r="AA21" s="42" t="n"/>
      <c r="AB21" s="42" t="n"/>
      <c r="AC21" s="42" t="n"/>
      <c r="AD21" s="42" t="n"/>
      <c r="AE21" s="42" t="n"/>
      <c r="AF21" s="22">
        <f>IFERROR(IF(IF('Relevé prix'!$B$1="SN",VLOOKUP($Q21,'Relevé prix'!$A$4:$N$60,11,FALSE),VLOOKUP($Q21,'Relevé prix'!$A$4:$N$60,7,FALSE))=0,"",IF('Relevé prix'!$B$1="SN",VLOOKUP($Q21,'Relevé prix'!$A$4:$N$60,11,FALSE),VLOOKUP($Q21,'Relevé prix'!$A$4:$N$60,7,FALSE))),"")</f>
        <v/>
      </c>
      <c r="AG21" s="23">
        <f>IFERROR(IF(IF('Relevé prix'!$B$1="SN",VLOOKUP($Q21,'Relevé prix'!$A$4:$N$60,12,FALSE),VLOOKUP($Q21,'Relevé prix'!$A$4:$N$60,8,FALSE))=0,"",IF('Relevé prix'!$B$1="SN",VLOOKUP($Q21,'Relevé prix'!$A$4:$N$60,12,FALSE),VLOOKUP($Q21,'Relevé prix'!$A$4:$N$60,8,FALSE))),"")</f>
        <v/>
      </c>
      <c r="AH21" s="24" t="n"/>
      <c r="AI21" s="25" t="n"/>
      <c r="AJ21" s="25" t="n"/>
      <c r="AK21" s="22">
        <f>IF(OR(AH21="",AF21=""),"",AH21-AF21)</f>
        <v/>
      </c>
      <c r="AL21" s="26">
        <f>IF(OR(AH21="",AF21="",AF21=0),"",(AH21-AF21)/AF21)</f>
        <v/>
      </c>
      <c r="AM21" s="27">
        <f>IF(AL21="","",IF(AL21&lt;-0.05,"Moins cher",IF(AL21&gt;0.05,"Plus cher","Équivalent")))</f>
        <v/>
      </c>
    </row>
    <row r="22">
      <c r="A22" s="41" t="n"/>
      <c r="B22" s="41" t="n"/>
      <c r="C22" s="41" t="n"/>
      <c r="D22" s="41" t="n"/>
      <c r="E22" s="41" t="n"/>
      <c r="F22" s="41" t="n"/>
      <c r="G22" s="41" t="n"/>
      <c r="H22" s="41" t="n"/>
      <c r="I22" s="41" t="n"/>
      <c r="J22" s="41" t="n"/>
      <c r="K22" s="41" t="n"/>
      <c r="L22" s="41" t="n"/>
      <c r="M22" s="41" t="n"/>
      <c r="N22" s="41" t="n"/>
      <c r="O22" s="41" t="n"/>
      <c r="P22" s="41" t="n"/>
      <c r="Q22" s="42" t="n"/>
      <c r="R22" s="42" t="n"/>
      <c r="S22" s="42" t="n"/>
      <c r="T22" s="42" t="n"/>
      <c r="U22" s="42" t="n"/>
      <c r="V22" s="42" t="n"/>
      <c r="W22" s="42" t="n"/>
      <c r="X22" s="42" t="n"/>
      <c r="Y22" s="42" t="n"/>
      <c r="Z22" s="42" t="n"/>
      <c r="AA22" s="42" t="n"/>
      <c r="AB22" s="42" t="n"/>
      <c r="AC22" s="42" t="n"/>
      <c r="AD22" s="42" t="n"/>
      <c r="AE22" s="42" t="n"/>
      <c r="AF22" s="22">
        <f>IFERROR(IF(IF('Relevé prix'!$B$1="SN",VLOOKUP($Q22,'Relevé prix'!$A$4:$N$60,11,FALSE),VLOOKUP($Q22,'Relevé prix'!$A$4:$N$60,7,FALSE))=0,"",IF('Relevé prix'!$B$1="SN",VLOOKUP($Q22,'Relevé prix'!$A$4:$N$60,11,FALSE),VLOOKUP($Q22,'Relevé prix'!$A$4:$N$60,7,FALSE))),"")</f>
        <v/>
      </c>
      <c r="AG22" s="23">
        <f>IFERROR(IF(IF('Relevé prix'!$B$1="SN",VLOOKUP($Q22,'Relevé prix'!$A$4:$N$60,12,FALSE),VLOOKUP($Q22,'Relevé prix'!$A$4:$N$60,8,FALSE))=0,"",IF('Relevé prix'!$B$1="SN",VLOOKUP($Q22,'Relevé prix'!$A$4:$N$60,12,FALSE),VLOOKUP($Q22,'Relevé prix'!$A$4:$N$60,8,FALSE))),"")</f>
        <v/>
      </c>
      <c r="AH22" s="24" t="n"/>
      <c r="AI22" s="25" t="n"/>
      <c r="AJ22" s="25" t="n"/>
      <c r="AK22" s="22">
        <f>IF(OR(AH22="",AF22=""),"",AH22-AF22)</f>
        <v/>
      </c>
      <c r="AL22" s="26">
        <f>IF(OR(AH22="",AF22="",AF22=0),"",(AH22-AF22)/AF22)</f>
        <v/>
      </c>
      <c r="AM22" s="27">
        <f>IF(AL22="","",IF(AL22&lt;-0.05,"Moins cher",IF(AL22&gt;0.05,"Plus cher","Équivalent")))</f>
        <v/>
      </c>
    </row>
    <row r="23">
      <c r="A23" s="41" t="n"/>
      <c r="B23" s="41" t="n"/>
      <c r="C23" s="41" t="n"/>
      <c r="D23" s="41" t="n"/>
      <c r="E23" s="41" t="n"/>
      <c r="F23" s="41" t="n"/>
      <c r="G23" s="41" t="n"/>
      <c r="H23" s="41" t="n"/>
      <c r="I23" s="41" t="n"/>
      <c r="J23" s="41" t="n"/>
      <c r="K23" s="41" t="n"/>
      <c r="L23" s="41" t="n"/>
      <c r="M23" s="41" t="n"/>
      <c r="N23" s="41" t="n"/>
      <c r="O23" s="41" t="n"/>
      <c r="P23" s="41" t="n"/>
      <c r="Q23" s="42" t="n"/>
      <c r="R23" s="42" t="n"/>
      <c r="S23" s="42" t="n"/>
      <c r="T23" s="42" t="n"/>
      <c r="U23" s="42" t="n"/>
      <c r="V23" s="42" t="n"/>
      <c r="W23" s="42" t="n"/>
      <c r="X23" s="42" t="n"/>
      <c r="Y23" s="42" t="n"/>
      <c r="Z23" s="42" t="n"/>
      <c r="AA23" s="42" t="n"/>
      <c r="AB23" s="42" t="n"/>
      <c r="AC23" s="42" t="n"/>
      <c r="AD23" s="42" t="n"/>
      <c r="AE23" s="42" t="n"/>
      <c r="AF23" s="22">
        <f>IFERROR(IF(IF('Relevé prix'!$B$1="SN",VLOOKUP($Q23,'Relevé prix'!$A$4:$N$60,11,FALSE),VLOOKUP($Q23,'Relevé prix'!$A$4:$N$60,7,FALSE))=0,"",IF('Relevé prix'!$B$1="SN",VLOOKUP($Q23,'Relevé prix'!$A$4:$N$60,11,FALSE),VLOOKUP($Q23,'Relevé prix'!$A$4:$N$60,7,FALSE))),"")</f>
        <v/>
      </c>
      <c r="AG23" s="23">
        <f>IFERROR(IF(IF('Relevé prix'!$B$1="SN",VLOOKUP($Q23,'Relevé prix'!$A$4:$N$60,12,FALSE),VLOOKUP($Q23,'Relevé prix'!$A$4:$N$60,8,FALSE))=0,"",IF('Relevé prix'!$B$1="SN",VLOOKUP($Q23,'Relevé prix'!$A$4:$N$60,12,FALSE),VLOOKUP($Q23,'Relevé prix'!$A$4:$N$60,8,FALSE))),"")</f>
        <v/>
      </c>
      <c r="AH23" s="24" t="n"/>
      <c r="AI23" s="25" t="n"/>
      <c r="AJ23" s="25" t="n"/>
      <c r="AK23" s="22">
        <f>IF(OR(AH23="",AF23=""),"",AH23-AF23)</f>
        <v/>
      </c>
      <c r="AL23" s="26">
        <f>IF(OR(AH23="",AF23="",AF23=0),"",(AH23-AF23)/AF23)</f>
        <v/>
      </c>
      <c r="AM23" s="27">
        <f>IF(AL23="","",IF(AL23&lt;-0.05,"Moins cher",IF(AL23&gt;0.05,"Plus cher","Équivalent")))</f>
        <v/>
      </c>
    </row>
    <row r="24">
      <c r="A24" s="41" t="n"/>
      <c r="B24" s="41" t="n"/>
      <c r="C24" s="41" t="n"/>
      <c r="D24" s="41" t="n"/>
      <c r="E24" s="41" t="n"/>
      <c r="F24" s="41" t="n"/>
      <c r="G24" s="41" t="n"/>
      <c r="H24" s="41" t="n"/>
      <c r="I24" s="41" t="n"/>
      <c r="J24" s="41" t="n"/>
      <c r="K24" s="41" t="n"/>
      <c r="L24" s="41" t="n"/>
      <c r="M24" s="41" t="n"/>
      <c r="N24" s="41" t="n"/>
      <c r="O24" s="41" t="n"/>
      <c r="P24" s="41" t="n"/>
      <c r="Q24" s="42" t="n"/>
      <c r="R24" s="42" t="n"/>
      <c r="S24" s="42" t="n"/>
      <c r="T24" s="42" t="n"/>
      <c r="U24" s="42" t="n"/>
      <c r="V24" s="42" t="n"/>
      <c r="W24" s="42" t="n"/>
      <c r="X24" s="42" t="n"/>
      <c r="Y24" s="42" t="n"/>
      <c r="Z24" s="42" t="n"/>
      <c r="AA24" s="42" t="n"/>
      <c r="AB24" s="42" t="n"/>
      <c r="AC24" s="42" t="n"/>
      <c r="AD24" s="42" t="n"/>
      <c r="AE24" s="42" t="n"/>
      <c r="AF24" s="22">
        <f>IFERROR(IF(IF('Relevé prix'!$B$1="SN",VLOOKUP($Q24,'Relevé prix'!$A$4:$N$60,11,FALSE),VLOOKUP($Q24,'Relevé prix'!$A$4:$N$60,7,FALSE))=0,"",IF('Relevé prix'!$B$1="SN",VLOOKUP($Q24,'Relevé prix'!$A$4:$N$60,11,FALSE),VLOOKUP($Q24,'Relevé prix'!$A$4:$N$60,7,FALSE))),"")</f>
        <v/>
      </c>
      <c r="AG24" s="23">
        <f>IFERROR(IF(IF('Relevé prix'!$B$1="SN",VLOOKUP($Q24,'Relevé prix'!$A$4:$N$60,12,FALSE),VLOOKUP($Q24,'Relevé prix'!$A$4:$N$60,8,FALSE))=0,"",IF('Relevé prix'!$B$1="SN",VLOOKUP($Q24,'Relevé prix'!$A$4:$N$60,12,FALSE),VLOOKUP($Q24,'Relevé prix'!$A$4:$N$60,8,FALSE))),"")</f>
        <v/>
      </c>
      <c r="AH24" s="24" t="n"/>
      <c r="AI24" s="25" t="n"/>
      <c r="AJ24" s="25" t="n"/>
      <c r="AK24" s="22">
        <f>IF(OR(AH24="",AF24=""),"",AH24-AF24)</f>
        <v/>
      </c>
      <c r="AL24" s="26">
        <f>IF(OR(AH24="",AF24="",AF24=0),"",(AH24-AF24)/AF24)</f>
        <v/>
      </c>
      <c r="AM24" s="27">
        <f>IF(AL24="","",IF(AL24&lt;-0.05,"Moins cher",IF(AL24&gt;0.05,"Plus cher","Équivalent")))</f>
        <v/>
      </c>
    </row>
    <row r="25">
      <c r="A25" s="41" t="n"/>
      <c r="B25" s="41" t="n"/>
      <c r="C25" s="41" t="n"/>
      <c r="D25" s="41" t="n"/>
      <c r="E25" s="41" t="n"/>
      <c r="F25" s="41" t="n"/>
      <c r="G25" s="41" t="n"/>
      <c r="H25" s="41" t="n"/>
      <c r="I25" s="41" t="n"/>
      <c r="J25" s="41" t="n"/>
      <c r="K25" s="41" t="n"/>
      <c r="L25" s="41" t="n"/>
      <c r="M25" s="41" t="n"/>
      <c r="N25" s="41" t="n"/>
      <c r="O25" s="41" t="n"/>
      <c r="P25" s="41" t="n"/>
      <c r="Q25" s="42" t="n"/>
      <c r="R25" s="42" t="n"/>
      <c r="S25" s="42" t="n"/>
      <c r="T25" s="42" t="n"/>
      <c r="U25" s="42" t="n"/>
      <c r="V25" s="42" t="n"/>
      <c r="W25" s="42" t="n"/>
      <c r="X25" s="42" t="n"/>
      <c r="Y25" s="42" t="n"/>
      <c r="Z25" s="42" t="n"/>
      <c r="AA25" s="42" t="n"/>
      <c r="AB25" s="42" t="n"/>
      <c r="AC25" s="42" t="n"/>
      <c r="AD25" s="42" t="n"/>
      <c r="AE25" s="42" t="n"/>
      <c r="AF25" s="22">
        <f>IFERROR(IF(IF('Relevé prix'!$B$1="SN",VLOOKUP($Q25,'Relevé prix'!$A$4:$N$60,11,FALSE),VLOOKUP($Q25,'Relevé prix'!$A$4:$N$60,7,FALSE))=0,"",IF('Relevé prix'!$B$1="SN",VLOOKUP($Q25,'Relevé prix'!$A$4:$N$60,11,FALSE),VLOOKUP($Q25,'Relevé prix'!$A$4:$N$60,7,FALSE))),"")</f>
        <v/>
      </c>
      <c r="AG25" s="23">
        <f>IFERROR(IF(IF('Relevé prix'!$B$1="SN",VLOOKUP($Q25,'Relevé prix'!$A$4:$N$60,12,FALSE),VLOOKUP($Q25,'Relevé prix'!$A$4:$N$60,8,FALSE))=0,"",IF('Relevé prix'!$B$1="SN",VLOOKUP($Q25,'Relevé prix'!$A$4:$N$60,12,FALSE),VLOOKUP($Q25,'Relevé prix'!$A$4:$N$60,8,FALSE))),"")</f>
        <v/>
      </c>
      <c r="AH25" s="24" t="n"/>
      <c r="AI25" s="25" t="n"/>
      <c r="AJ25" s="25" t="n"/>
      <c r="AK25" s="22">
        <f>IF(OR(AH25="",AF25=""),"",AH25-AF25)</f>
        <v/>
      </c>
      <c r="AL25" s="26">
        <f>IF(OR(AH25="",AF25="",AF25=0),"",(AH25-AF25)/AF25)</f>
        <v/>
      </c>
      <c r="AM25" s="27">
        <f>IF(AL25="","",IF(AL25&lt;-0.05,"Moins cher",IF(AL25&gt;0.05,"Plus cher","Équivalent")))</f>
        <v/>
      </c>
    </row>
    <row r="26">
      <c r="A26" s="41" t="n"/>
      <c r="B26" s="41" t="n"/>
      <c r="C26" s="41" t="n"/>
      <c r="D26" s="41" t="n"/>
      <c r="E26" s="41" t="n"/>
      <c r="F26" s="41" t="n"/>
      <c r="G26" s="41" t="n"/>
      <c r="H26" s="41" t="n"/>
      <c r="I26" s="41" t="n"/>
      <c r="J26" s="41" t="n"/>
      <c r="K26" s="41" t="n"/>
      <c r="L26" s="41" t="n"/>
      <c r="M26" s="41" t="n"/>
      <c r="N26" s="41" t="n"/>
      <c r="O26" s="41" t="n"/>
      <c r="P26" s="41" t="n"/>
      <c r="Q26" s="42" t="n"/>
      <c r="R26" s="42" t="n"/>
      <c r="S26" s="42" t="n"/>
      <c r="T26" s="42" t="n"/>
      <c r="U26" s="42" t="n"/>
      <c r="V26" s="42" t="n"/>
      <c r="W26" s="42" t="n"/>
      <c r="X26" s="42" t="n"/>
      <c r="Y26" s="42" t="n"/>
      <c r="Z26" s="42" t="n"/>
      <c r="AA26" s="42" t="n"/>
      <c r="AB26" s="42" t="n"/>
      <c r="AC26" s="42" t="n"/>
      <c r="AD26" s="42" t="n"/>
      <c r="AE26" s="42" t="n"/>
      <c r="AF26" s="22">
        <f>IFERROR(IF(IF('Relevé prix'!$B$1="SN",VLOOKUP($Q26,'Relevé prix'!$A$4:$N$60,11,FALSE),VLOOKUP($Q26,'Relevé prix'!$A$4:$N$60,7,FALSE))=0,"",IF('Relevé prix'!$B$1="SN",VLOOKUP($Q26,'Relevé prix'!$A$4:$N$60,11,FALSE),VLOOKUP($Q26,'Relevé prix'!$A$4:$N$60,7,FALSE))),"")</f>
        <v/>
      </c>
      <c r="AG26" s="23">
        <f>IFERROR(IF(IF('Relevé prix'!$B$1="SN",VLOOKUP($Q26,'Relevé prix'!$A$4:$N$60,12,FALSE),VLOOKUP($Q26,'Relevé prix'!$A$4:$N$60,8,FALSE))=0,"",IF('Relevé prix'!$B$1="SN",VLOOKUP($Q26,'Relevé prix'!$A$4:$N$60,12,FALSE),VLOOKUP($Q26,'Relevé prix'!$A$4:$N$60,8,FALSE))),"")</f>
        <v/>
      </c>
      <c r="AH26" s="24" t="n"/>
      <c r="AI26" s="25" t="n"/>
      <c r="AJ26" s="25" t="n"/>
      <c r="AK26" s="22">
        <f>IF(OR(AH26="",AF26=""),"",AH26-AF26)</f>
        <v/>
      </c>
      <c r="AL26" s="26">
        <f>IF(OR(AH26="",AF26="",AF26=0),"",(AH26-AF26)/AF26)</f>
        <v/>
      </c>
      <c r="AM26" s="27">
        <f>IF(AL26="","",IF(AL26&lt;-0.05,"Moins cher",IF(AL26&gt;0.05,"Plus cher","Équivalent")))</f>
        <v/>
      </c>
    </row>
    <row r="27">
      <c r="A27" s="41" t="n"/>
      <c r="B27" s="41" t="n"/>
      <c r="C27" s="41" t="n"/>
      <c r="D27" s="41" t="n"/>
      <c r="E27" s="41" t="n"/>
      <c r="F27" s="41" t="n"/>
      <c r="G27" s="41" t="n"/>
      <c r="H27" s="41" t="n"/>
      <c r="I27" s="41" t="n"/>
      <c r="J27" s="41" t="n"/>
      <c r="K27" s="41" t="n"/>
      <c r="L27" s="41" t="n"/>
      <c r="M27" s="41" t="n"/>
      <c r="N27" s="41" t="n"/>
      <c r="O27" s="41" t="n"/>
      <c r="P27" s="41" t="n"/>
      <c r="Q27" s="42" t="n"/>
      <c r="R27" s="42" t="n"/>
      <c r="S27" s="42" t="n"/>
      <c r="T27" s="42" t="n"/>
      <c r="U27" s="42" t="n"/>
      <c r="V27" s="42" t="n"/>
      <c r="W27" s="42" t="n"/>
      <c r="X27" s="42" t="n"/>
      <c r="Y27" s="42" t="n"/>
      <c r="Z27" s="42" t="n"/>
      <c r="AA27" s="42" t="n"/>
      <c r="AB27" s="42" t="n"/>
      <c r="AC27" s="42" t="n"/>
      <c r="AD27" s="42" t="n"/>
      <c r="AE27" s="42" t="n"/>
      <c r="AF27" s="22">
        <f>IFERROR(IF(IF('Relevé prix'!$B$1="SN",VLOOKUP($Q27,'Relevé prix'!$A$4:$N$60,11,FALSE),VLOOKUP($Q27,'Relevé prix'!$A$4:$N$60,7,FALSE))=0,"",IF('Relevé prix'!$B$1="SN",VLOOKUP($Q27,'Relevé prix'!$A$4:$N$60,11,FALSE),VLOOKUP($Q27,'Relevé prix'!$A$4:$N$60,7,FALSE))),"")</f>
        <v/>
      </c>
      <c r="AG27" s="23">
        <f>IFERROR(IF(IF('Relevé prix'!$B$1="SN",VLOOKUP($Q27,'Relevé prix'!$A$4:$N$60,12,FALSE),VLOOKUP($Q27,'Relevé prix'!$A$4:$N$60,8,FALSE))=0,"",IF('Relevé prix'!$B$1="SN",VLOOKUP($Q27,'Relevé prix'!$A$4:$N$60,12,FALSE),VLOOKUP($Q27,'Relevé prix'!$A$4:$N$60,8,FALSE))),"")</f>
        <v/>
      </c>
      <c r="AH27" s="24" t="n"/>
      <c r="AI27" s="25" t="n"/>
      <c r="AJ27" s="25" t="n"/>
      <c r="AK27" s="22">
        <f>IF(OR(AH27="",AF27=""),"",AH27-AF27)</f>
        <v/>
      </c>
      <c r="AL27" s="26">
        <f>IF(OR(AH27="",AF27="",AF27=0),"",(AH27-AF27)/AF27)</f>
        <v/>
      </c>
      <c r="AM27" s="27">
        <f>IF(AL27="","",IF(AL27&lt;-0.05,"Moins cher",IF(AL27&gt;0.05,"Plus cher","Équivalent")))</f>
        <v/>
      </c>
    </row>
    <row r="28">
      <c r="A28" s="41" t="n"/>
      <c r="B28" s="41" t="n"/>
      <c r="C28" s="41" t="n"/>
      <c r="D28" s="41" t="n"/>
      <c r="E28" s="41" t="n"/>
      <c r="F28" s="41" t="n"/>
      <c r="G28" s="41" t="n"/>
      <c r="H28" s="41" t="n"/>
      <c r="I28" s="41" t="n"/>
      <c r="J28" s="41" t="n"/>
      <c r="K28" s="41" t="n"/>
      <c r="L28" s="41" t="n"/>
      <c r="M28" s="41" t="n"/>
      <c r="N28" s="41" t="n"/>
      <c r="O28" s="41" t="n"/>
      <c r="P28" s="41" t="n"/>
      <c r="Q28" s="42" t="n"/>
      <c r="R28" s="42" t="n"/>
      <c r="S28" s="42" t="n"/>
      <c r="T28" s="42" t="n"/>
      <c r="U28" s="42" t="n"/>
      <c r="V28" s="42" t="n"/>
      <c r="W28" s="42" t="n"/>
      <c r="X28" s="42" t="n"/>
      <c r="Y28" s="42" t="n"/>
      <c r="Z28" s="42" t="n"/>
      <c r="AA28" s="42" t="n"/>
      <c r="AB28" s="42" t="n"/>
      <c r="AC28" s="42" t="n"/>
      <c r="AD28" s="42" t="n"/>
      <c r="AE28" s="42" t="n"/>
      <c r="AF28" s="22">
        <f>IFERROR(IF(IF('Relevé prix'!$B$1="SN",VLOOKUP($Q28,'Relevé prix'!$A$4:$N$60,11,FALSE),VLOOKUP($Q28,'Relevé prix'!$A$4:$N$60,7,FALSE))=0,"",IF('Relevé prix'!$B$1="SN",VLOOKUP($Q28,'Relevé prix'!$A$4:$N$60,11,FALSE),VLOOKUP($Q28,'Relevé prix'!$A$4:$N$60,7,FALSE))),"")</f>
        <v/>
      </c>
      <c r="AG28" s="23">
        <f>IFERROR(IF(IF('Relevé prix'!$B$1="SN",VLOOKUP($Q28,'Relevé prix'!$A$4:$N$60,12,FALSE),VLOOKUP($Q28,'Relevé prix'!$A$4:$N$60,8,FALSE))=0,"",IF('Relevé prix'!$B$1="SN",VLOOKUP($Q28,'Relevé prix'!$A$4:$N$60,12,FALSE),VLOOKUP($Q28,'Relevé prix'!$A$4:$N$60,8,FALSE))),"")</f>
        <v/>
      </c>
      <c r="AH28" s="24" t="n"/>
      <c r="AI28" s="25" t="n"/>
      <c r="AJ28" s="25" t="n"/>
      <c r="AK28" s="22">
        <f>IF(OR(AH28="",AF28=""),"",AH28-AF28)</f>
        <v/>
      </c>
      <c r="AL28" s="26">
        <f>IF(OR(AH28="",AF28="",AF28=0),"",(AH28-AF28)/AF28)</f>
        <v/>
      </c>
      <c r="AM28" s="27">
        <f>IF(AL28="","",IF(AL28&lt;-0.05,"Moins cher",IF(AL28&gt;0.05,"Plus cher","Équivalent")))</f>
        <v/>
      </c>
    </row>
    <row r="29">
      <c r="A29" s="41" t="n"/>
      <c r="B29" s="41" t="n"/>
      <c r="C29" s="41" t="n"/>
      <c r="D29" s="41" t="n"/>
      <c r="E29" s="41" t="n"/>
      <c r="F29" s="41" t="n"/>
      <c r="G29" s="41" t="n"/>
      <c r="H29" s="41" t="n"/>
      <c r="I29" s="41" t="n"/>
      <c r="J29" s="41" t="n"/>
      <c r="K29" s="41" t="n"/>
      <c r="L29" s="41" t="n"/>
      <c r="M29" s="41" t="n"/>
      <c r="N29" s="41" t="n"/>
      <c r="O29" s="41" t="n"/>
      <c r="P29" s="41" t="n"/>
      <c r="Q29" s="42" t="n"/>
      <c r="R29" s="42" t="n"/>
      <c r="S29" s="42" t="n"/>
      <c r="T29" s="42" t="n"/>
      <c r="U29" s="42" t="n"/>
      <c r="V29" s="42" t="n"/>
      <c r="W29" s="42" t="n"/>
      <c r="X29" s="42" t="n"/>
      <c r="Y29" s="42" t="n"/>
      <c r="Z29" s="42" t="n"/>
      <c r="AA29" s="42" t="n"/>
      <c r="AB29" s="42" t="n"/>
      <c r="AC29" s="42" t="n"/>
      <c r="AD29" s="42" t="n"/>
      <c r="AE29" s="42" t="n"/>
      <c r="AF29" s="22">
        <f>IFERROR(IF(IF('Relevé prix'!$B$1="SN",VLOOKUP($Q29,'Relevé prix'!$A$4:$N$60,11,FALSE),VLOOKUP($Q29,'Relevé prix'!$A$4:$N$60,7,FALSE))=0,"",IF('Relevé prix'!$B$1="SN",VLOOKUP($Q29,'Relevé prix'!$A$4:$N$60,11,FALSE),VLOOKUP($Q29,'Relevé prix'!$A$4:$N$60,7,FALSE))),"")</f>
        <v/>
      </c>
      <c r="AG29" s="23">
        <f>IFERROR(IF(IF('Relevé prix'!$B$1="SN",VLOOKUP($Q29,'Relevé prix'!$A$4:$N$60,12,FALSE),VLOOKUP($Q29,'Relevé prix'!$A$4:$N$60,8,FALSE))=0,"",IF('Relevé prix'!$B$1="SN",VLOOKUP($Q29,'Relevé prix'!$A$4:$N$60,12,FALSE),VLOOKUP($Q29,'Relevé prix'!$A$4:$N$60,8,FALSE))),"")</f>
        <v/>
      </c>
      <c r="AH29" s="24" t="n"/>
      <c r="AI29" s="25" t="n"/>
      <c r="AJ29" s="25" t="n"/>
      <c r="AK29" s="22">
        <f>IF(OR(AH29="",AF29=""),"",AH29-AF29)</f>
        <v/>
      </c>
      <c r="AL29" s="26">
        <f>IF(OR(AH29="",AF29="",AF29=0),"",(AH29-AF29)/AF29)</f>
        <v/>
      </c>
      <c r="AM29" s="27">
        <f>IF(AL29="","",IF(AL29&lt;-0.05,"Moins cher",IF(AL29&gt;0.05,"Plus cher","Équivalent")))</f>
        <v/>
      </c>
    </row>
    <row r="30">
      <c r="A30" s="41" t="n"/>
      <c r="B30" s="41" t="n"/>
      <c r="C30" s="41" t="n"/>
      <c r="D30" s="41" t="n"/>
      <c r="E30" s="41" t="n"/>
      <c r="F30" s="41" t="n"/>
      <c r="G30" s="41" t="n"/>
      <c r="H30" s="41" t="n"/>
      <c r="I30" s="41" t="n"/>
      <c r="J30" s="41" t="n"/>
      <c r="K30" s="41" t="n"/>
      <c r="L30" s="41" t="n"/>
      <c r="M30" s="41" t="n"/>
      <c r="N30" s="41" t="n"/>
      <c r="O30" s="41" t="n"/>
      <c r="P30" s="41" t="n"/>
      <c r="Q30" s="42" t="n"/>
      <c r="R30" s="42" t="n"/>
      <c r="S30" s="42" t="n"/>
      <c r="T30" s="42" t="n"/>
      <c r="U30" s="42" t="n"/>
      <c r="V30" s="42" t="n"/>
      <c r="W30" s="42" t="n"/>
      <c r="X30" s="42" t="n"/>
      <c r="Y30" s="42" t="n"/>
      <c r="Z30" s="42" t="n"/>
      <c r="AA30" s="42" t="n"/>
      <c r="AB30" s="42" t="n"/>
      <c r="AC30" s="42" t="n"/>
      <c r="AD30" s="42" t="n"/>
      <c r="AE30" s="42" t="n"/>
      <c r="AF30" s="22">
        <f>IFERROR(IF(IF('Relevé prix'!$B$1="SN",VLOOKUP($Q30,'Relevé prix'!$A$4:$N$60,11,FALSE),VLOOKUP($Q30,'Relevé prix'!$A$4:$N$60,7,FALSE))=0,"",IF('Relevé prix'!$B$1="SN",VLOOKUP($Q30,'Relevé prix'!$A$4:$N$60,11,FALSE),VLOOKUP($Q30,'Relevé prix'!$A$4:$N$60,7,FALSE))),"")</f>
        <v/>
      </c>
      <c r="AG30" s="23">
        <f>IFERROR(IF(IF('Relevé prix'!$B$1="SN",VLOOKUP($Q30,'Relevé prix'!$A$4:$N$60,12,FALSE),VLOOKUP($Q30,'Relevé prix'!$A$4:$N$60,8,FALSE))=0,"",IF('Relevé prix'!$B$1="SN",VLOOKUP($Q30,'Relevé prix'!$A$4:$N$60,12,FALSE),VLOOKUP($Q30,'Relevé prix'!$A$4:$N$60,8,FALSE))),"")</f>
        <v/>
      </c>
      <c r="AH30" s="24" t="n"/>
      <c r="AI30" s="25" t="n"/>
      <c r="AJ30" s="25" t="n"/>
      <c r="AK30" s="22">
        <f>IF(OR(AH30="",AF30=""),"",AH30-AF30)</f>
        <v/>
      </c>
      <c r="AL30" s="26">
        <f>IF(OR(AH30="",AF30="",AF30=0),"",(AH30-AF30)/AF30)</f>
        <v/>
      </c>
      <c r="AM30" s="27">
        <f>IF(AL30="","",IF(AL30&lt;-0.05,"Moins cher",IF(AL30&gt;0.05,"Plus cher","Équivalent")))</f>
        <v/>
      </c>
    </row>
    <row r="31">
      <c r="A31" s="41" t="n"/>
      <c r="B31" s="41" t="n"/>
      <c r="C31" s="41" t="n"/>
      <c r="D31" s="41" t="n"/>
      <c r="E31" s="41" t="n"/>
      <c r="F31" s="41" t="n"/>
      <c r="G31" s="41" t="n"/>
      <c r="H31" s="41" t="n"/>
      <c r="I31" s="41" t="n"/>
      <c r="J31" s="41" t="n"/>
      <c r="K31" s="41" t="n"/>
      <c r="L31" s="41" t="n"/>
      <c r="M31" s="41" t="n"/>
      <c r="N31" s="41" t="n"/>
      <c r="O31" s="41" t="n"/>
      <c r="P31" s="41" t="n"/>
      <c r="Q31" s="42" t="n"/>
      <c r="R31" s="42" t="n"/>
      <c r="S31" s="42" t="n"/>
      <c r="T31" s="42" t="n"/>
      <c r="U31" s="42" t="n"/>
      <c r="V31" s="42" t="n"/>
      <c r="W31" s="42" t="n"/>
      <c r="X31" s="42" t="n"/>
      <c r="Y31" s="42" t="n"/>
      <c r="Z31" s="42" t="n"/>
      <c r="AA31" s="42" t="n"/>
      <c r="AB31" s="42" t="n"/>
      <c r="AC31" s="42" t="n"/>
      <c r="AD31" s="42" t="n"/>
      <c r="AE31" s="42" t="n"/>
      <c r="AF31" s="22">
        <f>IFERROR(IF(IF('Relevé prix'!$B$1="SN",VLOOKUP($Q31,'Relevé prix'!$A$4:$N$60,11,FALSE),VLOOKUP($Q31,'Relevé prix'!$A$4:$N$60,7,FALSE))=0,"",IF('Relevé prix'!$B$1="SN",VLOOKUP($Q31,'Relevé prix'!$A$4:$N$60,11,FALSE),VLOOKUP($Q31,'Relevé prix'!$A$4:$N$60,7,FALSE))),"")</f>
        <v/>
      </c>
      <c r="AG31" s="23">
        <f>IFERROR(IF(IF('Relevé prix'!$B$1="SN",VLOOKUP($Q31,'Relevé prix'!$A$4:$N$60,12,FALSE),VLOOKUP($Q31,'Relevé prix'!$A$4:$N$60,8,FALSE))=0,"",IF('Relevé prix'!$B$1="SN",VLOOKUP($Q31,'Relevé prix'!$A$4:$N$60,12,FALSE),VLOOKUP($Q31,'Relevé prix'!$A$4:$N$60,8,FALSE))),"")</f>
        <v/>
      </c>
      <c r="AH31" s="24" t="n"/>
      <c r="AI31" s="25" t="n"/>
      <c r="AJ31" s="25" t="n"/>
      <c r="AK31" s="22">
        <f>IF(OR(AH31="",AF31=""),"",AH31-AF31)</f>
        <v/>
      </c>
      <c r="AL31" s="26">
        <f>IF(OR(AH31="",AF31="",AF31=0),"",(AH31-AF31)/AF31)</f>
        <v/>
      </c>
      <c r="AM31" s="27">
        <f>IF(AL31="","",IF(AL31&lt;-0.05,"Moins cher",IF(AL31&gt;0.05,"Plus cher","Équivalent")))</f>
        <v/>
      </c>
    </row>
    <row r="32">
      <c r="A32" s="41" t="n"/>
      <c r="B32" s="41" t="n"/>
      <c r="C32" s="41" t="n"/>
      <c r="D32" s="41" t="n"/>
      <c r="E32" s="41" t="n"/>
      <c r="F32" s="41" t="n"/>
      <c r="G32" s="41" t="n"/>
      <c r="H32" s="41" t="n"/>
      <c r="I32" s="41" t="n"/>
      <c r="J32" s="41" t="n"/>
      <c r="K32" s="41" t="n"/>
      <c r="L32" s="41" t="n"/>
      <c r="M32" s="41" t="n"/>
      <c r="N32" s="41" t="n"/>
      <c r="O32" s="41" t="n"/>
      <c r="P32" s="41" t="n"/>
      <c r="Q32" s="42" t="n"/>
      <c r="R32" s="42" t="n"/>
      <c r="S32" s="42" t="n"/>
      <c r="T32" s="42" t="n"/>
      <c r="U32" s="42" t="n"/>
      <c r="V32" s="42" t="n"/>
      <c r="W32" s="42" t="n"/>
      <c r="X32" s="42" t="n"/>
      <c r="Y32" s="42" t="n"/>
      <c r="Z32" s="42" t="n"/>
      <c r="AA32" s="42" t="n"/>
      <c r="AB32" s="42" t="n"/>
      <c r="AC32" s="42" t="n"/>
      <c r="AD32" s="42" t="n"/>
      <c r="AE32" s="42" t="n"/>
      <c r="AF32" s="22">
        <f>IFERROR(IF(IF('Relevé prix'!$B$1="SN",VLOOKUP($Q32,'Relevé prix'!$A$4:$N$60,11,FALSE),VLOOKUP($Q32,'Relevé prix'!$A$4:$N$60,7,FALSE))=0,"",IF('Relevé prix'!$B$1="SN",VLOOKUP($Q32,'Relevé prix'!$A$4:$N$60,11,FALSE),VLOOKUP($Q32,'Relevé prix'!$A$4:$N$60,7,FALSE))),"")</f>
        <v/>
      </c>
      <c r="AG32" s="23">
        <f>IFERROR(IF(IF('Relevé prix'!$B$1="SN",VLOOKUP($Q32,'Relevé prix'!$A$4:$N$60,12,FALSE),VLOOKUP($Q32,'Relevé prix'!$A$4:$N$60,8,FALSE))=0,"",IF('Relevé prix'!$B$1="SN",VLOOKUP($Q32,'Relevé prix'!$A$4:$N$60,12,FALSE),VLOOKUP($Q32,'Relevé prix'!$A$4:$N$60,8,FALSE))),"")</f>
        <v/>
      </c>
      <c r="AH32" s="24" t="n"/>
      <c r="AI32" s="25" t="n"/>
      <c r="AJ32" s="25" t="n"/>
      <c r="AK32" s="22">
        <f>IF(OR(AH32="",AF32=""),"",AH32-AF32)</f>
        <v/>
      </c>
      <c r="AL32" s="26">
        <f>IF(OR(AH32="",AF32="",AF32=0),"",(AH32-AF32)/AF32)</f>
        <v/>
      </c>
      <c r="AM32" s="27">
        <f>IF(AL32="","",IF(AL32&lt;-0.05,"Moins cher",IF(AL32&gt;0.05,"Plus cher","Équivalent")))</f>
        <v/>
      </c>
    </row>
    <row r="33">
      <c r="A33" s="41" t="n"/>
      <c r="B33" s="41" t="n"/>
      <c r="C33" s="41" t="n"/>
      <c r="D33" s="41" t="n"/>
      <c r="E33" s="41" t="n"/>
      <c r="F33" s="41" t="n"/>
      <c r="G33" s="41" t="n"/>
      <c r="H33" s="41" t="n"/>
      <c r="I33" s="41" t="n"/>
      <c r="J33" s="41" t="n"/>
      <c r="K33" s="41" t="n"/>
      <c r="L33" s="41" t="n"/>
      <c r="M33" s="41" t="n"/>
      <c r="N33" s="41" t="n"/>
      <c r="O33" s="41" t="n"/>
      <c r="P33" s="41" t="n"/>
      <c r="Q33" s="42" t="n"/>
      <c r="R33" s="42" t="n"/>
      <c r="S33" s="42" t="n"/>
      <c r="T33" s="42" t="n"/>
      <c r="U33" s="42" t="n"/>
      <c r="V33" s="42" t="n"/>
      <c r="W33" s="42" t="n"/>
      <c r="X33" s="42" t="n"/>
      <c r="Y33" s="42" t="n"/>
      <c r="Z33" s="42" t="n"/>
      <c r="AA33" s="42" t="n"/>
      <c r="AB33" s="42" t="n"/>
      <c r="AC33" s="42" t="n"/>
      <c r="AD33" s="42" t="n"/>
      <c r="AE33" s="42" t="n"/>
      <c r="AF33" s="22">
        <f>IFERROR(IF(IF('Relevé prix'!$B$1="SN",VLOOKUP($Q33,'Relevé prix'!$A$4:$N$60,11,FALSE),VLOOKUP($Q33,'Relevé prix'!$A$4:$N$60,7,FALSE))=0,"",IF('Relevé prix'!$B$1="SN",VLOOKUP($Q33,'Relevé prix'!$A$4:$N$60,11,FALSE),VLOOKUP($Q33,'Relevé prix'!$A$4:$N$60,7,FALSE))),"")</f>
        <v/>
      </c>
      <c r="AG33" s="23">
        <f>IFERROR(IF(IF('Relevé prix'!$B$1="SN",VLOOKUP($Q33,'Relevé prix'!$A$4:$N$60,12,FALSE),VLOOKUP($Q33,'Relevé prix'!$A$4:$N$60,8,FALSE))=0,"",IF('Relevé prix'!$B$1="SN",VLOOKUP($Q33,'Relevé prix'!$A$4:$N$60,12,FALSE),VLOOKUP($Q33,'Relevé prix'!$A$4:$N$60,8,FALSE))),"")</f>
        <v/>
      </c>
      <c r="AH33" s="24" t="n"/>
      <c r="AI33" s="25" t="n"/>
      <c r="AJ33" s="25" t="n"/>
      <c r="AK33" s="22">
        <f>IF(OR(AH33="",AF33=""),"",AH33-AF33)</f>
        <v/>
      </c>
      <c r="AL33" s="26">
        <f>IF(OR(AH33="",AF33="",AF33=0),"",(AH33-AF33)/AF33)</f>
        <v/>
      </c>
      <c r="AM33" s="27">
        <f>IF(AL33="","",IF(AL33&lt;-0.05,"Moins cher",IF(AL33&gt;0.05,"Plus cher","Équivalent")))</f>
        <v/>
      </c>
    </row>
    <row r="34">
      <c r="A34" s="41" t="n"/>
      <c r="B34" s="41" t="n"/>
      <c r="C34" s="41" t="n"/>
      <c r="D34" s="41" t="n"/>
      <c r="E34" s="41" t="n"/>
      <c r="F34" s="41" t="n"/>
      <c r="G34" s="41" t="n"/>
      <c r="H34" s="41" t="n"/>
      <c r="I34" s="41" t="n"/>
      <c r="J34" s="41" t="n"/>
      <c r="K34" s="41" t="n"/>
      <c r="L34" s="41" t="n"/>
      <c r="M34" s="41" t="n"/>
      <c r="N34" s="41" t="n"/>
      <c r="O34" s="41" t="n"/>
      <c r="P34" s="41" t="n"/>
      <c r="Q34" s="42" t="n"/>
      <c r="R34" s="42" t="n"/>
      <c r="S34" s="42" t="n"/>
      <c r="T34" s="42" t="n"/>
      <c r="U34" s="42" t="n"/>
      <c r="V34" s="42" t="n"/>
      <c r="W34" s="42" t="n"/>
      <c r="X34" s="42" t="n"/>
      <c r="Y34" s="42" t="n"/>
      <c r="Z34" s="42" t="n"/>
      <c r="AA34" s="42" t="n"/>
      <c r="AB34" s="42" t="n"/>
      <c r="AC34" s="42" t="n"/>
      <c r="AD34" s="42" t="n"/>
      <c r="AE34" s="42" t="n"/>
      <c r="AF34" s="22">
        <f>IFERROR(IF(IF('Relevé prix'!$B$1="SN",VLOOKUP($Q34,'Relevé prix'!$A$4:$N$60,11,FALSE),VLOOKUP($Q34,'Relevé prix'!$A$4:$N$60,7,FALSE))=0,"",IF('Relevé prix'!$B$1="SN",VLOOKUP($Q34,'Relevé prix'!$A$4:$N$60,11,FALSE),VLOOKUP($Q34,'Relevé prix'!$A$4:$N$60,7,FALSE))),"")</f>
        <v/>
      </c>
      <c r="AG34" s="23">
        <f>IFERROR(IF(IF('Relevé prix'!$B$1="SN",VLOOKUP($Q34,'Relevé prix'!$A$4:$N$60,12,FALSE),VLOOKUP($Q34,'Relevé prix'!$A$4:$N$60,8,FALSE))=0,"",IF('Relevé prix'!$B$1="SN",VLOOKUP($Q34,'Relevé prix'!$A$4:$N$60,12,FALSE),VLOOKUP($Q34,'Relevé prix'!$A$4:$N$60,8,FALSE))),"")</f>
        <v/>
      </c>
      <c r="AH34" s="24" t="n"/>
      <c r="AI34" s="25" t="n"/>
      <c r="AJ34" s="25" t="n"/>
      <c r="AK34" s="22">
        <f>IF(OR(AH34="",AF34=""),"",AH34-AF34)</f>
        <v/>
      </c>
      <c r="AL34" s="26">
        <f>IF(OR(AH34="",AF34="",AF34=0),"",(AH34-AF34)/AF34)</f>
        <v/>
      </c>
      <c r="AM34" s="27">
        <f>IF(AL34="","",IF(AL34&lt;-0.05,"Moins cher",IF(AL34&gt;0.05,"Plus cher","Équivalent")))</f>
        <v/>
      </c>
    </row>
    <row r="35">
      <c r="A35" s="41" t="n"/>
      <c r="B35" s="41" t="n"/>
      <c r="C35" s="41" t="n"/>
      <c r="D35" s="41" t="n"/>
      <c r="E35" s="41" t="n"/>
      <c r="F35" s="41" t="n"/>
      <c r="G35" s="41" t="n"/>
      <c r="H35" s="41" t="n"/>
      <c r="I35" s="41" t="n"/>
      <c r="J35" s="41" t="n"/>
      <c r="K35" s="41" t="n"/>
      <c r="L35" s="41" t="n"/>
      <c r="M35" s="41" t="n"/>
      <c r="N35" s="41" t="n"/>
      <c r="O35" s="41" t="n"/>
      <c r="P35" s="41" t="n"/>
      <c r="Q35" s="42" t="n"/>
      <c r="R35" s="42" t="n"/>
      <c r="S35" s="42" t="n"/>
      <c r="T35" s="42" t="n"/>
      <c r="U35" s="42" t="n"/>
      <c r="V35" s="42" t="n"/>
      <c r="W35" s="42" t="n"/>
      <c r="X35" s="42" t="n"/>
      <c r="Y35" s="42" t="n"/>
      <c r="Z35" s="42" t="n"/>
      <c r="AA35" s="42" t="n"/>
      <c r="AB35" s="42" t="n"/>
      <c r="AC35" s="42" t="n"/>
      <c r="AD35" s="42" t="n"/>
      <c r="AE35" s="42" t="n"/>
      <c r="AF35" s="22">
        <f>IFERROR(IF(IF('Relevé prix'!$B$1="SN",VLOOKUP($Q35,'Relevé prix'!$A$4:$N$60,11,FALSE),VLOOKUP($Q35,'Relevé prix'!$A$4:$N$60,7,FALSE))=0,"",IF('Relevé prix'!$B$1="SN",VLOOKUP($Q35,'Relevé prix'!$A$4:$N$60,11,FALSE),VLOOKUP($Q35,'Relevé prix'!$A$4:$N$60,7,FALSE))),"")</f>
        <v/>
      </c>
      <c r="AG35" s="23">
        <f>IFERROR(IF(IF('Relevé prix'!$B$1="SN",VLOOKUP($Q35,'Relevé prix'!$A$4:$N$60,12,FALSE),VLOOKUP($Q35,'Relevé prix'!$A$4:$N$60,8,FALSE))=0,"",IF('Relevé prix'!$B$1="SN",VLOOKUP($Q35,'Relevé prix'!$A$4:$N$60,12,FALSE),VLOOKUP($Q35,'Relevé prix'!$A$4:$N$60,8,FALSE))),"")</f>
        <v/>
      </c>
      <c r="AH35" s="24" t="n"/>
      <c r="AI35" s="25" t="n"/>
      <c r="AJ35" s="25" t="n"/>
      <c r="AK35" s="22">
        <f>IF(OR(AH35="",AF35=""),"",AH35-AF35)</f>
        <v/>
      </c>
      <c r="AL35" s="26">
        <f>IF(OR(AH35="",AF35="",AF35=0),"",(AH35-AF35)/AF35)</f>
        <v/>
      </c>
      <c r="AM35" s="27">
        <f>IF(AL35="","",IF(AL35&lt;-0.05,"Moins cher",IF(AL35&gt;0.05,"Plus cher","Équivalent")))</f>
        <v/>
      </c>
    </row>
    <row r="36">
      <c r="A36" s="41" t="n"/>
      <c r="B36" s="41" t="n"/>
      <c r="C36" s="41" t="n"/>
      <c r="D36" s="41" t="n"/>
      <c r="E36" s="41" t="n"/>
      <c r="F36" s="41" t="n"/>
      <c r="G36" s="41" t="n"/>
      <c r="H36" s="41" t="n"/>
      <c r="I36" s="41" t="n"/>
      <c r="J36" s="41" t="n"/>
      <c r="K36" s="41" t="n"/>
      <c r="L36" s="41" t="n"/>
      <c r="M36" s="41" t="n"/>
      <c r="N36" s="41" t="n"/>
      <c r="O36" s="41" t="n"/>
      <c r="P36" s="41" t="n"/>
      <c r="Q36" s="42" t="n"/>
      <c r="R36" s="42" t="n"/>
      <c r="S36" s="42" t="n"/>
      <c r="T36" s="42" t="n"/>
      <c r="U36" s="42" t="n"/>
      <c r="V36" s="42" t="n"/>
      <c r="W36" s="42" t="n"/>
      <c r="X36" s="42" t="n"/>
      <c r="Y36" s="42" t="n"/>
      <c r="Z36" s="42" t="n"/>
      <c r="AA36" s="42" t="n"/>
      <c r="AB36" s="42" t="n"/>
      <c r="AC36" s="42" t="n"/>
      <c r="AD36" s="42" t="n"/>
      <c r="AE36" s="42" t="n"/>
      <c r="AF36" s="22">
        <f>IFERROR(IF(IF('Relevé prix'!$B$1="SN",VLOOKUP($Q36,'Relevé prix'!$A$4:$N$60,11,FALSE),VLOOKUP($Q36,'Relevé prix'!$A$4:$N$60,7,FALSE))=0,"",IF('Relevé prix'!$B$1="SN",VLOOKUP($Q36,'Relevé prix'!$A$4:$N$60,11,FALSE),VLOOKUP($Q36,'Relevé prix'!$A$4:$N$60,7,FALSE))),"")</f>
        <v/>
      </c>
      <c r="AG36" s="23">
        <f>IFERROR(IF(IF('Relevé prix'!$B$1="SN",VLOOKUP($Q36,'Relevé prix'!$A$4:$N$60,12,FALSE),VLOOKUP($Q36,'Relevé prix'!$A$4:$N$60,8,FALSE))=0,"",IF('Relevé prix'!$B$1="SN",VLOOKUP($Q36,'Relevé prix'!$A$4:$N$60,12,FALSE),VLOOKUP($Q36,'Relevé prix'!$A$4:$N$60,8,FALSE))),"")</f>
        <v/>
      </c>
      <c r="AH36" s="24" t="n"/>
      <c r="AI36" s="25" t="n"/>
      <c r="AJ36" s="25" t="n"/>
      <c r="AK36" s="22">
        <f>IF(OR(AH36="",AF36=""),"",AH36-AF36)</f>
        <v/>
      </c>
      <c r="AL36" s="26">
        <f>IF(OR(AH36="",AF36="",AF36=0),"",(AH36-AF36)/AF36)</f>
        <v/>
      </c>
      <c r="AM36" s="27">
        <f>IF(AL36="","",IF(AL36&lt;-0.05,"Moins cher",IF(AL36&gt;0.05,"Plus cher","Équivalent")))</f>
        <v/>
      </c>
    </row>
    <row r="37">
      <c r="A37" s="41" t="n"/>
      <c r="B37" s="41" t="n"/>
      <c r="C37" s="41" t="n"/>
      <c r="D37" s="41" t="n"/>
      <c r="E37" s="41" t="n"/>
      <c r="F37" s="41" t="n"/>
      <c r="G37" s="41" t="n"/>
      <c r="H37" s="41" t="n"/>
      <c r="I37" s="41" t="n"/>
      <c r="J37" s="41" t="n"/>
      <c r="K37" s="41" t="n"/>
      <c r="L37" s="41" t="n"/>
      <c r="M37" s="41" t="n"/>
      <c r="N37" s="41" t="n"/>
      <c r="O37" s="41" t="n"/>
      <c r="P37" s="41" t="n"/>
      <c r="Q37" s="42" t="n"/>
      <c r="R37" s="42" t="n"/>
      <c r="S37" s="42" t="n"/>
      <c r="T37" s="42" t="n"/>
      <c r="U37" s="42" t="n"/>
      <c r="V37" s="42" t="n"/>
      <c r="W37" s="42" t="n"/>
      <c r="X37" s="42" t="n"/>
      <c r="Y37" s="42" t="n"/>
      <c r="Z37" s="42" t="n"/>
      <c r="AA37" s="42" t="n"/>
      <c r="AB37" s="42" t="n"/>
      <c r="AC37" s="42" t="n"/>
      <c r="AD37" s="42" t="n"/>
      <c r="AE37" s="42" t="n"/>
      <c r="AF37" s="22">
        <f>IFERROR(IF(IF('Relevé prix'!$B$1="SN",VLOOKUP($Q37,'Relevé prix'!$A$4:$N$60,11,FALSE),VLOOKUP($Q37,'Relevé prix'!$A$4:$N$60,7,FALSE))=0,"",IF('Relevé prix'!$B$1="SN",VLOOKUP($Q37,'Relevé prix'!$A$4:$N$60,11,FALSE),VLOOKUP($Q37,'Relevé prix'!$A$4:$N$60,7,FALSE))),"")</f>
        <v/>
      </c>
      <c r="AG37" s="23">
        <f>IFERROR(IF(IF('Relevé prix'!$B$1="SN",VLOOKUP($Q37,'Relevé prix'!$A$4:$N$60,12,FALSE),VLOOKUP($Q37,'Relevé prix'!$A$4:$N$60,8,FALSE))=0,"",IF('Relevé prix'!$B$1="SN",VLOOKUP($Q37,'Relevé prix'!$A$4:$N$60,12,FALSE),VLOOKUP($Q37,'Relevé prix'!$A$4:$N$60,8,FALSE))),"")</f>
        <v/>
      </c>
      <c r="AH37" s="24" t="n"/>
      <c r="AI37" s="25" t="n"/>
      <c r="AJ37" s="25" t="n"/>
      <c r="AK37" s="22">
        <f>IF(OR(AH37="",AF37=""),"",AH37-AF37)</f>
        <v/>
      </c>
      <c r="AL37" s="26">
        <f>IF(OR(AH37="",AF37="",AF37=0),"",(AH37-AF37)/AF37)</f>
        <v/>
      </c>
      <c r="AM37" s="27">
        <f>IF(AL37="","",IF(AL37&lt;-0.05,"Moins cher",IF(AL37&gt;0.05,"Plus cher","Équivalent")))</f>
        <v/>
      </c>
    </row>
    <row r="38">
      <c r="A38" s="41" t="n"/>
      <c r="B38" s="41" t="n"/>
      <c r="C38" s="41" t="n"/>
      <c r="D38" s="41" t="n"/>
      <c r="E38" s="41" t="n"/>
      <c r="F38" s="41" t="n"/>
      <c r="G38" s="41" t="n"/>
      <c r="H38" s="41" t="n"/>
      <c r="I38" s="41" t="n"/>
      <c r="J38" s="41" t="n"/>
      <c r="K38" s="41" t="n"/>
      <c r="L38" s="41" t="n"/>
      <c r="M38" s="41" t="n"/>
      <c r="N38" s="41" t="n"/>
      <c r="O38" s="41" t="n"/>
      <c r="P38" s="41" t="n"/>
      <c r="Q38" s="42" t="n"/>
      <c r="R38" s="42" t="n"/>
      <c r="S38" s="42" t="n"/>
      <c r="T38" s="42" t="n"/>
      <c r="U38" s="42" t="n"/>
      <c r="V38" s="42" t="n"/>
      <c r="W38" s="42" t="n"/>
      <c r="X38" s="42" t="n"/>
      <c r="Y38" s="42" t="n"/>
      <c r="Z38" s="42" t="n"/>
      <c r="AA38" s="42" t="n"/>
      <c r="AB38" s="42" t="n"/>
      <c r="AC38" s="42" t="n"/>
      <c r="AD38" s="42" t="n"/>
      <c r="AE38" s="42" t="n"/>
      <c r="AF38" s="22">
        <f>IFERROR(IF(IF('Relevé prix'!$B$1="SN",VLOOKUP($Q38,'Relevé prix'!$A$4:$N$60,11,FALSE),VLOOKUP($Q38,'Relevé prix'!$A$4:$N$60,7,FALSE))=0,"",IF('Relevé prix'!$B$1="SN",VLOOKUP($Q38,'Relevé prix'!$A$4:$N$60,11,FALSE),VLOOKUP($Q38,'Relevé prix'!$A$4:$N$60,7,FALSE))),"")</f>
        <v/>
      </c>
      <c r="AG38" s="23">
        <f>IFERROR(IF(IF('Relevé prix'!$B$1="SN",VLOOKUP($Q38,'Relevé prix'!$A$4:$N$60,12,FALSE),VLOOKUP($Q38,'Relevé prix'!$A$4:$N$60,8,FALSE))=0,"",IF('Relevé prix'!$B$1="SN",VLOOKUP($Q38,'Relevé prix'!$A$4:$N$60,12,FALSE),VLOOKUP($Q38,'Relevé prix'!$A$4:$N$60,8,FALSE))),"")</f>
        <v/>
      </c>
      <c r="AH38" s="24" t="n"/>
      <c r="AI38" s="25" t="n"/>
      <c r="AJ38" s="25" t="n"/>
      <c r="AK38" s="22">
        <f>IF(OR(AH38="",AF38=""),"",AH38-AF38)</f>
        <v/>
      </c>
      <c r="AL38" s="26">
        <f>IF(OR(AH38="",AF38="",AF38=0),"",(AH38-AF38)/AF38)</f>
        <v/>
      </c>
      <c r="AM38" s="27">
        <f>IF(AL38="","",IF(AL38&lt;-0.05,"Moins cher",IF(AL38&gt;0.05,"Plus cher","Équivalent")))</f>
        <v/>
      </c>
    </row>
    <row r="39">
      <c r="A39" s="41" t="n"/>
      <c r="B39" s="41" t="n"/>
      <c r="C39" s="41" t="n"/>
      <c r="D39" s="41" t="n"/>
      <c r="E39" s="41" t="n"/>
      <c r="F39" s="41" t="n"/>
      <c r="G39" s="41" t="n"/>
      <c r="H39" s="41" t="n"/>
      <c r="I39" s="41" t="n"/>
      <c r="J39" s="41" t="n"/>
      <c r="K39" s="41" t="n"/>
      <c r="L39" s="41" t="n"/>
      <c r="M39" s="41" t="n"/>
      <c r="N39" s="41" t="n"/>
      <c r="O39" s="41" t="n"/>
      <c r="P39" s="41" t="n"/>
      <c r="Q39" s="42" t="n"/>
      <c r="R39" s="42" t="n"/>
      <c r="S39" s="42" t="n"/>
      <c r="T39" s="42" t="n"/>
      <c r="U39" s="42" t="n"/>
      <c r="V39" s="42" t="n"/>
      <c r="W39" s="42" t="n"/>
      <c r="X39" s="42" t="n"/>
      <c r="Y39" s="42" t="n"/>
      <c r="Z39" s="42" t="n"/>
      <c r="AA39" s="42" t="n"/>
      <c r="AB39" s="42" t="n"/>
      <c r="AC39" s="42" t="n"/>
      <c r="AD39" s="42" t="n"/>
      <c r="AE39" s="42" t="n"/>
      <c r="AF39" s="22">
        <f>IFERROR(IF(IF('Relevé prix'!$B$1="SN",VLOOKUP($Q39,'Relevé prix'!$A$4:$N$60,11,FALSE),VLOOKUP($Q39,'Relevé prix'!$A$4:$N$60,7,FALSE))=0,"",IF('Relevé prix'!$B$1="SN",VLOOKUP($Q39,'Relevé prix'!$A$4:$N$60,11,FALSE),VLOOKUP($Q39,'Relevé prix'!$A$4:$N$60,7,FALSE))),"")</f>
        <v/>
      </c>
      <c r="AG39" s="23">
        <f>IFERROR(IF(IF('Relevé prix'!$B$1="SN",VLOOKUP($Q39,'Relevé prix'!$A$4:$N$60,12,FALSE),VLOOKUP($Q39,'Relevé prix'!$A$4:$N$60,8,FALSE))=0,"",IF('Relevé prix'!$B$1="SN",VLOOKUP($Q39,'Relevé prix'!$A$4:$N$60,12,FALSE),VLOOKUP($Q39,'Relevé prix'!$A$4:$N$60,8,FALSE))),"")</f>
        <v/>
      </c>
      <c r="AH39" s="24" t="n"/>
      <c r="AI39" s="25" t="n"/>
      <c r="AJ39" s="25" t="n"/>
      <c r="AK39" s="22">
        <f>IF(OR(AH39="",AF39=""),"",AH39-AF39)</f>
        <v/>
      </c>
      <c r="AL39" s="26">
        <f>IF(OR(AH39="",AF39="",AF39=0),"",(AH39-AF39)/AF39)</f>
        <v/>
      </c>
      <c r="AM39" s="27">
        <f>IF(AL39="","",IF(AL39&lt;-0.05,"Moins cher",IF(AL39&gt;0.05,"Plus cher","Équivalent")))</f>
        <v/>
      </c>
    </row>
    <row r="40">
      <c r="A40" s="41" t="n"/>
      <c r="B40" s="41" t="n"/>
      <c r="C40" s="41" t="n"/>
      <c r="D40" s="41" t="n"/>
      <c r="E40" s="41" t="n"/>
      <c r="F40" s="41" t="n"/>
      <c r="G40" s="41" t="n"/>
      <c r="H40" s="41" t="n"/>
      <c r="I40" s="41" t="n"/>
      <c r="J40" s="41" t="n"/>
      <c r="K40" s="41" t="n"/>
      <c r="L40" s="41" t="n"/>
      <c r="M40" s="41" t="n"/>
      <c r="N40" s="41" t="n"/>
      <c r="O40" s="41" t="n"/>
      <c r="P40" s="41" t="n"/>
      <c r="Q40" s="42" t="n"/>
      <c r="R40" s="42" t="n"/>
      <c r="S40" s="42" t="n"/>
      <c r="T40" s="42" t="n"/>
      <c r="U40" s="42" t="n"/>
      <c r="V40" s="42" t="n"/>
      <c r="W40" s="42" t="n"/>
      <c r="X40" s="42" t="n"/>
      <c r="Y40" s="42" t="n"/>
      <c r="Z40" s="42" t="n"/>
      <c r="AA40" s="42" t="n"/>
      <c r="AB40" s="42" t="n"/>
      <c r="AC40" s="42" t="n"/>
      <c r="AD40" s="42" t="n"/>
      <c r="AE40" s="42" t="n"/>
      <c r="AF40" s="22">
        <f>IFERROR(IF(IF('Relevé prix'!$B$1="SN",VLOOKUP($Q40,'Relevé prix'!$A$4:$N$60,11,FALSE),VLOOKUP($Q40,'Relevé prix'!$A$4:$N$60,7,FALSE))=0,"",IF('Relevé prix'!$B$1="SN",VLOOKUP($Q40,'Relevé prix'!$A$4:$N$60,11,FALSE),VLOOKUP($Q40,'Relevé prix'!$A$4:$N$60,7,FALSE))),"")</f>
        <v/>
      </c>
      <c r="AG40" s="23">
        <f>IFERROR(IF(IF('Relevé prix'!$B$1="SN",VLOOKUP($Q40,'Relevé prix'!$A$4:$N$60,12,FALSE),VLOOKUP($Q40,'Relevé prix'!$A$4:$N$60,8,FALSE))=0,"",IF('Relevé prix'!$B$1="SN",VLOOKUP($Q40,'Relevé prix'!$A$4:$N$60,12,FALSE),VLOOKUP($Q40,'Relevé prix'!$A$4:$N$60,8,FALSE))),"")</f>
        <v/>
      </c>
      <c r="AH40" s="24" t="n"/>
      <c r="AI40" s="25" t="n"/>
      <c r="AJ40" s="25" t="n"/>
      <c r="AK40" s="22">
        <f>IF(OR(AH40="",AF40=""),"",AH40-AF40)</f>
        <v/>
      </c>
      <c r="AL40" s="26">
        <f>IF(OR(AH40="",AF40="",AF40=0),"",(AH40-AF40)/AF40)</f>
        <v/>
      </c>
      <c r="AM40" s="27">
        <f>IF(AL40="","",IF(AL40&lt;-0.05,"Moins cher",IF(AL40&gt;0.05,"Plus cher","Équivalent")))</f>
        <v/>
      </c>
    </row>
    <row r="41">
      <c r="A41" s="41" t="n"/>
      <c r="B41" s="41" t="n"/>
      <c r="C41" s="41" t="n"/>
      <c r="D41" s="41" t="n"/>
      <c r="E41" s="41" t="n"/>
      <c r="F41" s="41" t="n"/>
      <c r="G41" s="41" t="n"/>
      <c r="H41" s="41" t="n"/>
      <c r="I41" s="41" t="n"/>
      <c r="J41" s="41" t="n"/>
      <c r="K41" s="41" t="n"/>
      <c r="L41" s="41" t="n"/>
      <c r="M41" s="41" t="n"/>
      <c r="N41" s="41" t="n"/>
      <c r="O41" s="41" t="n"/>
      <c r="P41" s="41" t="n"/>
      <c r="Q41" s="42" t="n"/>
      <c r="R41" s="42" t="n"/>
      <c r="S41" s="42" t="n"/>
      <c r="T41" s="42" t="n"/>
      <c r="U41" s="42" t="n"/>
      <c r="V41" s="42" t="n"/>
      <c r="W41" s="42" t="n"/>
      <c r="X41" s="42" t="n"/>
      <c r="Y41" s="42" t="n"/>
      <c r="Z41" s="42" t="n"/>
      <c r="AA41" s="42" t="n"/>
      <c r="AB41" s="42" t="n"/>
      <c r="AC41" s="42" t="n"/>
      <c r="AD41" s="42" t="n"/>
      <c r="AE41" s="42" t="n"/>
      <c r="AF41" s="22">
        <f>IFERROR(IF(IF('Relevé prix'!$B$1="SN",VLOOKUP($Q41,'Relevé prix'!$A$4:$N$60,11,FALSE),VLOOKUP($Q41,'Relevé prix'!$A$4:$N$60,7,FALSE))=0,"",IF('Relevé prix'!$B$1="SN",VLOOKUP($Q41,'Relevé prix'!$A$4:$N$60,11,FALSE),VLOOKUP($Q41,'Relevé prix'!$A$4:$N$60,7,FALSE))),"")</f>
        <v/>
      </c>
      <c r="AG41" s="23">
        <f>IFERROR(IF(IF('Relevé prix'!$B$1="SN",VLOOKUP($Q41,'Relevé prix'!$A$4:$N$60,12,FALSE),VLOOKUP($Q41,'Relevé prix'!$A$4:$N$60,8,FALSE))=0,"",IF('Relevé prix'!$B$1="SN",VLOOKUP($Q41,'Relevé prix'!$A$4:$N$60,12,FALSE),VLOOKUP($Q41,'Relevé prix'!$A$4:$N$60,8,FALSE))),"")</f>
        <v/>
      </c>
      <c r="AH41" s="24" t="n"/>
      <c r="AI41" s="25" t="n"/>
      <c r="AJ41" s="25" t="n"/>
      <c r="AK41" s="22">
        <f>IF(OR(AH41="",AF41=""),"",AH41-AF41)</f>
        <v/>
      </c>
      <c r="AL41" s="26">
        <f>IF(OR(AH41="",AF41="",AF41=0),"",(AH41-AF41)/AF41)</f>
        <v/>
      </c>
      <c r="AM41" s="27">
        <f>IF(AL41="","",IF(AL41&lt;-0.05,"Moins cher",IF(AL41&gt;0.05,"Plus cher","Équivalent")))</f>
        <v/>
      </c>
    </row>
    <row r="42">
      <c r="A42" s="41" t="n"/>
      <c r="B42" s="41" t="n"/>
      <c r="C42" s="41" t="n"/>
      <c r="D42" s="41" t="n"/>
      <c r="E42" s="41" t="n"/>
      <c r="F42" s="41" t="n"/>
      <c r="G42" s="41" t="n"/>
      <c r="H42" s="41" t="n"/>
      <c r="I42" s="41" t="n"/>
      <c r="J42" s="41" t="n"/>
      <c r="K42" s="41" t="n"/>
      <c r="L42" s="41" t="n"/>
      <c r="M42" s="41" t="n"/>
      <c r="N42" s="41" t="n"/>
      <c r="O42" s="41" t="n"/>
      <c r="P42" s="41" t="n"/>
      <c r="Q42" s="42" t="n"/>
      <c r="R42" s="42" t="n"/>
      <c r="S42" s="42" t="n"/>
      <c r="T42" s="42" t="n"/>
      <c r="U42" s="42" t="n"/>
      <c r="V42" s="42" t="n"/>
      <c r="W42" s="42" t="n"/>
      <c r="X42" s="42" t="n"/>
      <c r="Y42" s="42" t="n"/>
      <c r="Z42" s="42" t="n"/>
      <c r="AA42" s="42" t="n"/>
      <c r="AB42" s="42" t="n"/>
      <c r="AC42" s="42" t="n"/>
      <c r="AD42" s="42" t="n"/>
      <c r="AE42" s="42" t="n"/>
      <c r="AF42" s="22">
        <f>IFERROR(IF(IF('Relevé prix'!$B$1="SN",VLOOKUP($Q42,'Relevé prix'!$A$4:$N$60,11,FALSE),VLOOKUP($Q42,'Relevé prix'!$A$4:$N$60,7,FALSE))=0,"",IF('Relevé prix'!$B$1="SN",VLOOKUP($Q42,'Relevé prix'!$A$4:$N$60,11,FALSE),VLOOKUP($Q42,'Relevé prix'!$A$4:$N$60,7,FALSE))),"")</f>
        <v/>
      </c>
      <c r="AG42" s="23">
        <f>IFERROR(IF(IF('Relevé prix'!$B$1="SN",VLOOKUP($Q42,'Relevé prix'!$A$4:$N$60,12,FALSE),VLOOKUP($Q42,'Relevé prix'!$A$4:$N$60,8,FALSE))=0,"",IF('Relevé prix'!$B$1="SN",VLOOKUP($Q42,'Relevé prix'!$A$4:$N$60,12,FALSE),VLOOKUP($Q42,'Relevé prix'!$A$4:$N$60,8,FALSE))),"")</f>
        <v/>
      </c>
      <c r="AH42" s="24" t="n"/>
      <c r="AI42" s="25" t="n"/>
      <c r="AJ42" s="25" t="n"/>
      <c r="AK42" s="22">
        <f>IF(OR(AH42="",AF42=""),"",AH42-AF42)</f>
        <v/>
      </c>
      <c r="AL42" s="26">
        <f>IF(OR(AH42="",AF42="",AF42=0),"",(AH42-AF42)/AF42)</f>
        <v/>
      </c>
      <c r="AM42" s="27">
        <f>IF(AL42="","",IF(AL42&lt;-0.05,"Moins cher",IF(AL42&gt;0.05,"Plus cher","Équivalent")))</f>
        <v/>
      </c>
    </row>
  </sheetData>
  <sheetProtection selectLockedCells="0" selectUnlockedCells="0" sheet="1" objects="0" insertRows="0" insertHyperlinks="1" autoFilter="0" scenarios="0" formatColumns="0" deleteColumns="1" insertColumns="1" pivotTables="1" deleteRows="0" formatCells="0" formatRows="0" sort="0"/>
  <autoFilter ref="A1:AM42"/>
  <conditionalFormatting sqref="AL2:AL42">
    <cfRule type="cellIs" priority="1" operator="greaterThan" dxfId="0">
      <formula>0.05</formula>
    </cfRule>
    <cfRule type="cellIs" priority="2" operator="lessThan" dxfId="1">
      <formula>-0.05</formula>
    </cfRule>
    <cfRule type="cellIs" priority="3" operator="between" dxfId="2">
      <formula>-0.05</formula>
      <formula>0.05</formula>
    </cfRule>
  </conditionalFormatting>
  <hyperlinks>
    <hyperlink xmlns:r="http://schemas.openxmlformats.org/officeDocument/2006/relationships" ref="AC2" r:id="rId1"/>
    <hyperlink xmlns:r="http://schemas.openxmlformats.org/officeDocument/2006/relationships" ref="AD2" r:id="rId2"/>
    <hyperlink xmlns:r="http://schemas.openxmlformats.org/officeDocument/2006/relationships" ref="AC3" r:id="rId3"/>
    <hyperlink xmlns:r="http://schemas.openxmlformats.org/officeDocument/2006/relationships" ref="AD3" r:id="rId4"/>
    <hyperlink xmlns:r="http://schemas.openxmlformats.org/officeDocument/2006/relationships" ref="AC4" r:id="rId5"/>
    <hyperlink xmlns:r="http://schemas.openxmlformats.org/officeDocument/2006/relationships" ref="AD4" r:id="rId6"/>
    <hyperlink xmlns:r="http://schemas.openxmlformats.org/officeDocument/2006/relationships" ref="AC5" r:id="rId7"/>
    <hyperlink xmlns:r="http://schemas.openxmlformats.org/officeDocument/2006/relationships" ref="AD5" r:id="rId8"/>
    <hyperlink xmlns:r="http://schemas.openxmlformats.org/officeDocument/2006/relationships" ref="AC6" r:id="rId9"/>
    <hyperlink xmlns:r="http://schemas.openxmlformats.org/officeDocument/2006/relationships" ref="AD6" r:id="rId10"/>
    <hyperlink xmlns:r="http://schemas.openxmlformats.org/officeDocument/2006/relationships" ref="AC7" r:id="rId11"/>
    <hyperlink xmlns:r="http://schemas.openxmlformats.org/officeDocument/2006/relationships" ref="AD7" r:id="rId12"/>
    <hyperlink xmlns:r="http://schemas.openxmlformats.org/officeDocument/2006/relationships" ref="AC8" r:id="rId13"/>
    <hyperlink xmlns:r="http://schemas.openxmlformats.org/officeDocument/2006/relationships" ref="AD8" r:id="rId14"/>
    <hyperlink xmlns:r="http://schemas.openxmlformats.org/officeDocument/2006/relationships" ref="AC9" r:id="rId15"/>
    <hyperlink xmlns:r="http://schemas.openxmlformats.org/officeDocument/2006/relationships" ref="AD9" r:id="rId16"/>
    <hyperlink xmlns:r="http://schemas.openxmlformats.org/officeDocument/2006/relationships" ref="AC10" r:id="rId17"/>
    <hyperlink xmlns:r="http://schemas.openxmlformats.org/officeDocument/2006/relationships" ref="AD10" r:id="rId18"/>
    <hyperlink xmlns:r="http://schemas.openxmlformats.org/officeDocument/2006/relationships" ref="AC11" r:id="rId19"/>
    <hyperlink xmlns:r="http://schemas.openxmlformats.org/officeDocument/2006/relationships" ref="AD11" r:id="rId20"/>
    <hyperlink xmlns:r="http://schemas.openxmlformats.org/officeDocument/2006/relationships" ref="AC12" r:id="rId21"/>
    <hyperlink xmlns:r="http://schemas.openxmlformats.org/officeDocument/2006/relationships" ref="AD12" r:id="rId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9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42" customWidth="1" min="3" max="3"/>
    <col width="18" customWidth="1" min="4" max="4"/>
    <col width="52" customWidth="1" min="5" max="5"/>
    <col width="10" customWidth="1" min="6" max="6"/>
    <col width="16" customWidth="1" min="7" max="7"/>
    <col width="34" customWidth="1" min="8" max="8"/>
    <col width="18" customWidth="1" min="9" max="9"/>
    <col width="26" customWidth="1" min="10" max="10"/>
    <col width="26" customWidth="1" min="11" max="11"/>
    <col width="26" customWidth="1" min="12" max="12"/>
    <col width="14" customWidth="1" min="13" max="13"/>
    <col width="18" customWidth="1" min="14" max="14"/>
    <col width="18" customWidth="1" min="15" max="15"/>
    <col width="24" customWidth="1" min="16" max="16"/>
    <col width="46" customWidth="1" min="17" max="17"/>
    <col width="26" customWidth="1" min="18" max="18"/>
    <col width="52" customWidth="1" min="19" max="19"/>
    <col width="52" customWidth="1" min="20" max="20"/>
    <col width="64" customWidth="1" min="21" max="21"/>
    <col width="20" customWidth="1" min="22" max="22"/>
    <col width="16" customWidth="1" min="23" max="23"/>
    <col width="14" customWidth="1" min="24" max="24"/>
    <col width="10" customWidth="1" min="25" max="25"/>
    <col width="32" customWidth="1" min="26" max="26"/>
    <col width="18" customWidth="1" min="27" max="27"/>
    <col width="16" customWidth="1" min="28" max="28"/>
    <col width="20" customWidth="1" min="29" max="29"/>
  </cols>
  <sheetData>
    <row r="1" ht="46" customHeight="1">
      <c r="A1" s="3" t="inlineStr">
        <is>
          <t>Référence SEAGO</t>
        </is>
      </c>
      <c r="B1" s="3" t="inlineStr">
        <is>
          <t>Famille</t>
        </is>
      </c>
      <c r="C1" s="3" t="inlineStr">
        <is>
          <t>Type de tête</t>
        </is>
      </c>
      <c r="D1" s="3" t="inlineStr">
        <is>
          <t>Système de fixation</t>
        </is>
      </c>
      <c r="E1" s="3" t="inlineStr">
        <is>
          <t>Compatibilité</t>
        </is>
      </c>
      <c r="F1" s="3" t="inlineStr">
        <is>
          <t>Page catalogue</t>
        </is>
      </c>
      <c r="G1" s="10" t="inlineStr">
        <is>
          <t>Clé concurrent</t>
        </is>
      </c>
      <c r="H1" s="10" t="inlineStr">
        <is>
          <t>Produit concurrent</t>
        </is>
      </c>
      <c r="I1" s="10" t="inlineStr">
        <is>
          <t>Marque concurrente</t>
        </is>
      </c>
      <c r="J1" s="10" t="inlineStr">
        <is>
          <t>Technologie concurrent</t>
        </is>
      </c>
      <c r="K1" s="10" t="inlineStr">
        <is>
          <t>Fréquence / débit concurrent</t>
        </is>
      </c>
      <c r="L1" s="10" t="inlineStr">
        <is>
          <t>Modes concurrent</t>
        </is>
      </c>
      <c r="M1" s="10" t="inlineStr">
        <is>
          <t>Autonomie concurrent (jours)</t>
        </is>
      </c>
      <c r="N1" s="10" t="inlineStr">
        <is>
          <t>Étanchéité concurrent</t>
        </is>
      </c>
      <c r="O1" s="10" t="inlineStr">
        <is>
          <t>Capteur de pression concurrent</t>
        </is>
      </c>
      <c r="P1" s="10" t="inlineStr">
        <is>
          <t>Alimentation / charge concurrent</t>
        </is>
      </c>
      <c r="Q1" s="10" t="inlineStr">
        <is>
          <t>Présence sur les marchés Atome Pharma (CI, SN, BF, CM, BJ)</t>
        </is>
      </c>
      <c r="R1" s="10" t="inlineStr">
        <is>
          <t>Canal de distribution</t>
        </is>
      </c>
      <c r="S1" s="10" t="inlineStr">
        <is>
          <t>Lien produit concurrent</t>
        </is>
      </c>
      <c r="T1" s="10" t="inlineStr">
        <is>
          <t>Lien source secondaire</t>
        </is>
      </c>
      <c r="U1" s="10" t="inlineStr">
        <is>
          <t>Base du rapprochement et écart technique</t>
        </is>
      </c>
      <c r="V1" s="11" t="inlineStr">
        <is>
          <t>Prix concurrent (auto, onglet Relevé prix)</t>
        </is>
      </c>
      <c r="W1" s="11" t="inlineStr">
        <is>
          <t>Date du relevé (auto)</t>
        </is>
      </c>
      <c r="X1" s="11" t="inlineStr">
        <is>
          <t>Prix SEAGO</t>
        </is>
      </c>
      <c r="Y1" s="11" t="inlineStr">
        <is>
          <t>Devise</t>
        </is>
      </c>
      <c r="Z1" s="11" t="inlineStr">
        <is>
          <t>Commentaire</t>
        </is>
      </c>
      <c r="AA1" s="12" t="inlineStr">
        <is>
          <t>Écart de prix (valeur)</t>
        </is>
      </c>
      <c r="AB1" s="12" t="inlineStr">
        <is>
          <t>Écart de prix (%)</t>
        </is>
      </c>
      <c r="AC1" s="12" t="inlineStr">
        <is>
          <t>Positionnement prix</t>
        </is>
      </c>
    </row>
    <row r="2">
      <c r="A2" s="13" t="inlineStr">
        <is>
          <t>SG-B027</t>
        </is>
      </c>
      <c r="B2" s="13" t="inlineStr">
        <is>
          <t>Tête de brosse</t>
        </is>
      </c>
      <c r="C2" s="13" t="inlineStr">
        <is>
          <t>Tête sans ancrage (sans métal)</t>
        </is>
      </c>
      <c r="D2" s="40" t="inlineStr">
        <is>
          <t>N/D</t>
        </is>
      </c>
      <c r="E2" s="43" t="inlineStr">
        <is>
          <t>N/D</t>
        </is>
      </c>
      <c r="F2" s="19" t="n">
        <v>23</v>
      </c>
      <c r="G2" s="20" t="inlineStr">
        <is>
          <t>SONICARE_C3</t>
        </is>
      </c>
      <c r="H2" s="20" t="inlineStr">
        <is>
          <t>Sonicare C3 Premium Plaque Control (pack de 4)</t>
        </is>
      </c>
      <c r="I2" s="20" t="inlineStr">
        <is>
          <t>Philips</t>
        </is>
      </c>
      <c r="J2" s="20" t="inlineStr">
        <is>
          <t>Tête sonique standard</t>
        </is>
      </c>
      <c r="K2" s="37" t="inlineStr">
        <is>
          <t>N/D</t>
        </is>
      </c>
      <c r="L2" s="37" t="inlineStr">
        <is>
          <t>N/D</t>
        </is>
      </c>
      <c r="M2" s="37" t="inlineStr">
        <is>
          <t>N/D</t>
        </is>
      </c>
      <c r="N2" s="37" t="inlineStr">
        <is>
          <t>N/D</t>
        </is>
      </c>
      <c r="O2" s="37" t="inlineStr">
        <is>
          <t>N/D</t>
        </is>
      </c>
      <c r="P2" s="37" t="inlineStr">
        <is>
          <t>N/D</t>
        </is>
      </c>
      <c r="Q2" s="20" t="inlineStr">
        <is>
          <t>Non vérifié sur CI, SN, BF, CM, BJ.</t>
        </is>
      </c>
      <c r="R2" s="20" t="inlineStr">
        <is>
          <t>Noon UAE, pharmacies</t>
        </is>
      </c>
      <c r="S2" s="21" t="inlineStr">
        <is>
          <t>https://www.usa.philips.com/c-p/HX6810_50/sonicare-protectiveclean-4100-sonic-electric-toothbrush/partsandaccessories</t>
        </is>
      </c>
      <c r="T2" s="21" t="inlineStr">
        <is>
          <t>https://www.ebay.com/itm/277611730525</t>
        </is>
      </c>
      <c r="U2" s="20" t="inlineStr">
        <is>
          <t>Rapprochement sur le segment des têtes soniques standard. La comparaison porte sur le prix par tête, pas sur la compatibilité mécanique. Tête à puce BrushSync. Benchmark du prix par tête sur le segment sonique premium.</t>
        </is>
      </c>
      <c r="V2" s="22">
        <f>IFERROR(IF(IF('Relevé prix'!$B$1="SN",VLOOKUP($G2,'Relevé prix'!$A$4:$N$60,11,FALSE),VLOOKUP($G2,'Relevé prix'!$A$4:$N$60,7,FALSE))=0,"",IF('Relevé prix'!$B$1="SN",VLOOKUP($G2,'Relevé prix'!$A$4:$N$60,11,FALSE),VLOOKUP($G2,'Relevé prix'!$A$4:$N$60,7,FALSE))),"")</f>
        <v/>
      </c>
      <c r="W2" s="23">
        <f>IFERROR(IF(IF('Relevé prix'!$B$1="SN",VLOOKUP($G2,'Relevé prix'!$A$4:$N$60,12,FALSE),VLOOKUP($G2,'Relevé prix'!$A$4:$N$60,8,FALSE))=0,"",IF('Relevé prix'!$B$1="SN",VLOOKUP($G2,'Relevé prix'!$A$4:$N$60,12,FALSE),VLOOKUP($G2,'Relevé prix'!$A$4:$N$60,8,FALSE))),"")</f>
        <v/>
      </c>
      <c r="X2" s="24" t="n"/>
      <c r="Y2" s="25" t="n"/>
      <c r="Z2" s="25" t="n"/>
      <c r="AA2" s="22">
        <f>IF(OR(X2="",V2=""),"",X2-V2)</f>
        <v/>
      </c>
      <c r="AB2" s="26">
        <f>IF(OR(X2="",V2="",V2=0),"",(X2-V2)/V2)</f>
        <v/>
      </c>
      <c r="AC2" s="27">
        <f>IF(AB2="","",IF(AB2&lt;-0.05,"Moins cher",IF(AB2&gt;0.05,"Plus cher","Équivalent")))</f>
        <v/>
      </c>
    </row>
    <row r="3">
      <c r="A3" s="28" t="inlineStr">
        <is>
          <t>SG-B008</t>
        </is>
      </c>
      <c r="B3" s="28" t="inlineStr">
        <is>
          <t>Tête de brosse</t>
        </is>
      </c>
      <c r="C3" s="28" t="inlineStr">
        <is>
          <t>Tête sans ancrage (sans métal)</t>
        </is>
      </c>
      <c r="D3" s="36" t="inlineStr">
        <is>
          <t>N/D</t>
        </is>
      </c>
      <c r="E3" s="44" t="inlineStr">
        <is>
          <t>N/D</t>
        </is>
      </c>
      <c r="F3" s="33" t="n">
        <v>23</v>
      </c>
      <c r="G3" s="20" t="inlineStr">
        <is>
          <t>SONICARE_C3</t>
        </is>
      </c>
      <c r="H3" s="20" t="inlineStr">
        <is>
          <t>Sonicare C3 Premium Plaque Control (pack de 4)</t>
        </is>
      </c>
      <c r="I3" s="20" t="inlineStr">
        <is>
          <t>Philips</t>
        </is>
      </c>
      <c r="J3" s="20" t="inlineStr">
        <is>
          <t>Tête sonique standard</t>
        </is>
      </c>
      <c r="K3" s="37" t="inlineStr">
        <is>
          <t>N/D</t>
        </is>
      </c>
      <c r="L3" s="37" t="inlineStr">
        <is>
          <t>N/D</t>
        </is>
      </c>
      <c r="M3" s="37" t="inlineStr">
        <is>
          <t>N/D</t>
        </is>
      </c>
      <c r="N3" s="37" t="inlineStr">
        <is>
          <t>N/D</t>
        </is>
      </c>
      <c r="O3" s="37" t="inlineStr">
        <is>
          <t>N/D</t>
        </is>
      </c>
      <c r="P3" s="37" t="inlineStr">
        <is>
          <t>N/D</t>
        </is>
      </c>
      <c r="Q3" s="20" t="inlineStr">
        <is>
          <t>Non vérifié sur CI, SN, BF, CM, BJ.</t>
        </is>
      </c>
      <c r="R3" s="20" t="inlineStr">
        <is>
          <t>Noon UAE, pharmacies</t>
        </is>
      </c>
      <c r="S3" s="21" t="inlineStr">
        <is>
          <t>https://www.usa.philips.com/c-p/HX6810_50/sonicare-protectiveclean-4100-sonic-electric-toothbrush/partsandaccessories</t>
        </is>
      </c>
      <c r="T3" s="21" t="inlineStr">
        <is>
          <t>https://www.ebay.com/itm/277611730525</t>
        </is>
      </c>
      <c r="U3" s="20" t="inlineStr">
        <is>
          <t>Rapprochement sur le segment des têtes soniques standard. La comparaison porte sur le prix par tête, pas sur la compatibilité mécanique. Tête à puce BrushSync. Benchmark du prix par tête sur le segment sonique premium.</t>
        </is>
      </c>
      <c r="V3" s="22">
        <f>IFERROR(IF(IF('Relevé prix'!$B$1="SN",VLOOKUP($G3,'Relevé prix'!$A$4:$N$60,11,FALSE),VLOOKUP($G3,'Relevé prix'!$A$4:$N$60,7,FALSE))=0,"",IF('Relevé prix'!$B$1="SN",VLOOKUP($G3,'Relevé prix'!$A$4:$N$60,11,FALSE),VLOOKUP($G3,'Relevé prix'!$A$4:$N$60,7,FALSE))),"")</f>
        <v/>
      </c>
      <c r="W3" s="23">
        <f>IFERROR(IF(IF('Relevé prix'!$B$1="SN",VLOOKUP($G3,'Relevé prix'!$A$4:$N$60,12,FALSE),VLOOKUP($G3,'Relevé prix'!$A$4:$N$60,8,FALSE))=0,"",IF('Relevé prix'!$B$1="SN",VLOOKUP($G3,'Relevé prix'!$A$4:$N$60,12,FALSE),VLOOKUP($G3,'Relevé prix'!$A$4:$N$60,8,FALSE))),"")</f>
        <v/>
      </c>
      <c r="X3" s="24" t="n"/>
      <c r="Y3" s="25" t="n"/>
      <c r="Z3" s="25" t="n"/>
      <c r="AA3" s="22">
        <f>IF(OR(X3="",V3=""),"",X3-V3)</f>
        <v/>
      </c>
      <c r="AB3" s="26">
        <f>IF(OR(X3="",V3="",V3=0),"",(X3-V3)/V3)</f>
        <v/>
      </c>
      <c r="AC3" s="27">
        <f>IF(AB3="","",IF(AB3&lt;-0.05,"Moins cher",IF(AB3&gt;0.05,"Plus cher","Équivalent")))</f>
        <v/>
      </c>
    </row>
    <row r="4">
      <c r="A4" s="13" t="inlineStr">
        <is>
          <t>SG-C021</t>
        </is>
      </c>
      <c r="B4" s="13" t="inlineStr">
        <is>
          <t>Tête de brosse</t>
        </is>
      </c>
      <c r="C4" s="13" t="inlineStr">
        <is>
          <t>Tête sans ancrage (sans métal)</t>
        </is>
      </c>
      <c r="D4" s="40" t="inlineStr">
        <is>
          <t>N/D</t>
        </is>
      </c>
      <c r="E4" s="43" t="inlineStr">
        <is>
          <t>N/D</t>
        </is>
      </c>
      <c r="F4" s="19" t="n">
        <v>23</v>
      </c>
      <c r="G4" s="20" t="inlineStr">
        <is>
          <t>SONICARE_C3</t>
        </is>
      </c>
      <c r="H4" s="20" t="inlineStr">
        <is>
          <t>Sonicare C3 Premium Plaque Control (pack de 4)</t>
        </is>
      </c>
      <c r="I4" s="20" t="inlineStr">
        <is>
          <t>Philips</t>
        </is>
      </c>
      <c r="J4" s="20" t="inlineStr">
        <is>
          <t>Tête sonique standard</t>
        </is>
      </c>
      <c r="K4" s="37" t="inlineStr">
        <is>
          <t>N/D</t>
        </is>
      </c>
      <c r="L4" s="37" t="inlineStr">
        <is>
          <t>N/D</t>
        </is>
      </c>
      <c r="M4" s="37" t="inlineStr">
        <is>
          <t>N/D</t>
        </is>
      </c>
      <c r="N4" s="37" t="inlineStr">
        <is>
          <t>N/D</t>
        </is>
      </c>
      <c r="O4" s="37" t="inlineStr">
        <is>
          <t>N/D</t>
        </is>
      </c>
      <c r="P4" s="37" t="inlineStr">
        <is>
          <t>N/D</t>
        </is>
      </c>
      <c r="Q4" s="20" t="inlineStr">
        <is>
          <t>Non vérifié sur CI, SN, BF, CM, BJ.</t>
        </is>
      </c>
      <c r="R4" s="20" t="inlineStr">
        <is>
          <t>Noon UAE, pharmacies</t>
        </is>
      </c>
      <c r="S4" s="21" t="inlineStr">
        <is>
          <t>https://www.usa.philips.com/c-p/HX6810_50/sonicare-protectiveclean-4100-sonic-electric-toothbrush/partsandaccessories</t>
        </is>
      </c>
      <c r="T4" s="21" t="inlineStr">
        <is>
          <t>https://www.ebay.com/itm/277611730525</t>
        </is>
      </c>
      <c r="U4" s="20" t="inlineStr">
        <is>
          <t>Rapprochement sur le segment des têtes soniques standard. La comparaison porte sur le prix par tête, pas sur la compatibilité mécanique. Tête à puce BrushSync. Benchmark du prix par tête sur le segment sonique premium.</t>
        </is>
      </c>
      <c r="V4" s="22">
        <f>IFERROR(IF(IF('Relevé prix'!$B$1="SN",VLOOKUP($G4,'Relevé prix'!$A$4:$N$60,11,FALSE),VLOOKUP($G4,'Relevé prix'!$A$4:$N$60,7,FALSE))=0,"",IF('Relevé prix'!$B$1="SN",VLOOKUP($G4,'Relevé prix'!$A$4:$N$60,11,FALSE),VLOOKUP($G4,'Relevé prix'!$A$4:$N$60,7,FALSE))),"")</f>
        <v/>
      </c>
      <c r="W4" s="23">
        <f>IFERROR(IF(IF('Relevé prix'!$B$1="SN",VLOOKUP($G4,'Relevé prix'!$A$4:$N$60,12,FALSE),VLOOKUP($G4,'Relevé prix'!$A$4:$N$60,8,FALSE))=0,"",IF('Relevé prix'!$B$1="SN",VLOOKUP($G4,'Relevé prix'!$A$4:$N$60,12,FALSE),VLOOKUP($G4,'Relevé prix'!$A$4:$N$60,8,FALSE))),"")</f>
        <v/>
      </c>
      <c r="X4" s="24" t="n"/>
      <c r="Y4" s="25" t="n"/>
      <c r="Z4" s="25" t="n"/>
      <c r="AA4" s="22">
        <f>IF(OR(X4="",V4=""),"",X4-V4)</f>
        <v/>
      </c>
      <c r="AB4" s="26">
        <f>IF(OR(X4="",V4="",V4=0),"",(X4-V4)/V4)</f>
        <v/>
      </c>
      <c r="AC4" s="27">
        <f>IF(AB4="","",IF(AB4&lt;-0.05,"Moins cher",IF(AB4&gt;0.05,"Plus cher","Équivalent")))</f>
        <v/>
      </c>
    </row>
    <row r="5">
      <c r="A5" s="28" t="inlineStr">
        <is>
          <t>SG-C107</t>
        </is>
      </c>
      <c r="B5" s="28" t="inlineStr">
        <is>
          <t>Tête de brosse</t>
        </is>
      </c>
      <c r="C5" s="28" t="inlineStr">
        <is>
          <t>Tête sans ancrage (sans métal)</t>
        </is>
      </c>
      <c r="D5" s="36" t="inlineStr">
        <is>
          <t>N/D</t>
        </is>
      </c>
      <c r="E5" s="44" t="inlineStr">
        <is>
          <t>N/D</t>
        </is>
      </c>
      <c r="F5" s="33" t="n">
        <v>23</v>
      </c>
      <c r="G5" s="20" t="inlineStr">
        <is>
          <t>SONICARE_C3</t>
        </is>
      </c>
      <c r="H5" s="20" t="inlineStr">
        <is>
          <t>Sonicare C3 Premium Plaque Control (pack de 4)</t>
        </is>
      </c>
      <c r="I5" s="20" t="inlineStr">
        <is>
          <t>Philips</t>
        </is>
      </c>
      <c r="J5" s="20" t="inlineStr">
        <is>
          <t>Tête sonique standard</t>
        </is>
      </c>
      <c r="K5" s="37" t="inlineStr">
        <is>
          <t>N/D</t>
        </is>
      </c>
      <c r="L5" s="37" t="inlineStr">
        <is>
          <t>N/D</t>
        </is>
      </c>
      <c r="M5" s="37" t="inlineStr">
        <is>
          <t>N/D</t>
        </is>
      </c>
      <c r="N5" s="37" t="inlineStr">
        <is>
          <t>N/D</t>
        </is>
      </c>
      <c r="O5" s="37" t="inlineStr">
        <is>
          <t>N/D</t>
        </is>
      </c>
      <c r="P5" s="37" t="inlineStr">
        <is>
          <t>N/D</t>
        </is>
      </c>
      <c r="Q5" s="20" t="inlineStr">
        <is>
          <t>Non vérifié sur CI, SN, BF, CM, BJ.</t>
        </is>
      </c>
      <c r="R5" s="20" t="inlineStr">
        <is>
          <t>Noon UAE, pharmacies</t>
        </is>
      </c>
      <c r="S5" s="21" t="inlineStr">
        <is>
          <t>https://www.usa.philips.com/c-p/HX6810_50/sonicare-protectiveclean-4100-sonic-electric-toothbrush/partsandaccessories</t>
        </is>
      </c>
      <c r="T5" s="21" t="inlineStr">
        <is>
          <t>https://www.ebay.com/itm/277611730525</t>
        </is>
      </c>
      <c r="U5" s="20" t="inlineStr">
        <is>
          <t>Rapprochement sur le segment des têtes soniques standard. La comparaison porte sur le prix par tête, pas sur la compatibilité mécanique. Tête à puce BrushSync. Benchmark du prix par tête sur le segment sonique premium.</t>
        </is>
      </c>
      <c r="V5" s="22">
        <f>IFERROR(IF(IF('Relevé prix'!$B$1="SN",VLOOKUP($G5,'Relevé prix'!$A$4:$N$60,11,FALSE),VLOOKUP($G5,'Relevé prix'!$A$4:$N$60,7,FALSE))=0,"",IF('Relevé prix'!$B$1="SN",VLOOKUP($G5,'Relevé prix'!$A$4:$N$60,11,FALSE),VLOOKUP($G5,'Relevé prix'!$A$4:$N$60,7,FALSE))),"")</f>
        <v/>
      </c>
      <c r="W5" s="23">
        <f>IFERROR(IF(IF('Relevé prix'!$B$1="SN",VLOOKUP($G5,'Relevé prix'!$A$4:$N$60,12,FALSE),VLOOKUP($G5,'Relevé prix'!$A$4:$N$60,8,FALSE))=0,"",IF('Relevé prix'!$B$1="SN",VLOOKUP($G5,'Relevé prix'!$A$4:$N$60,12,FALSE),VLOOKUP($G5,'Relevé prix'!$A$4:$N$60,8,FALSE))),"")</f>
        <v/>
      </c>
      <c r="X5" s="24" t="n"/>
      <c r="Y5" s="25" t="n"/>
      <c r="Z5" s="25" t="n"/>
      <c r="AA5" s="22">
        <f>IF(OR(X5="",V5=""),"",X5-V5)</f>
        <v/>
      </c>
      <c r="AB5" s="26">
        <f>IF(OR(X5="",V5="",V5=0),"",(X5-V5)/V5)</f>
        <v/>
      </c>
      <c r="AC5" s="27">
        <f>IF(AB5="","",IF(AB5&lt;-0.05,"Moins cher",IF(AB5&gt;0.05,"Plus cher","Équivalent")))</f>
        <v/>
      </c>
    </row>
    <row r="6">
      <c r="A6" s="13" t="inlineStr">
        <is>
          <t>SG-092</t>
        </is>
      </c>
      <c r="B6" s="13" t="inlineStr">
        <is>
          <t>Tête de brosse</t>
        </is>
      </c>
      <c r="C6" s="13" t="inlineStr">
        <is>
          <t>Tête de polissage avec gratte-langue</t>
        </is>
      </c>
      <c r="D6" s="40" t="inlineStr">
        <is>
          <t>N/D</t>
        </is>
      </c>
      <c r="E6" s="43" t="inlineStr">
        <is>
          <t>N/D</t>
        </is>
      </c>
      <c r="F6" s="19" t="n">
        <v>23</v>
      </c>
      <c r="G6" s="20" t="inlineStr">
        <is>
          <t>USMILE_HEADS</t>
        </is>
      </c>
      <c r="H6" s="20" t="inlineStr">
        <is>
          <t>Têtes de rechange P1 / Y1S / U3 / P4</t>
        </is>
      </c>
      <c r="I6" s="20" t="inlineStr">
        <is>
          <t>usmile</t>
        </is>
      </c>
      <c r="J6" s="20" t="inlineStr">
        <is>
          <t>Tête sonique avec brins témoins d'usure</t>
        </is>
      </c>
      <c r="K6" s="37" t="inlineStr">
        <is>
          <t>N/D</t>
        </is>
      </c>
      <c r="L6" s="37" t="inlineStr">
        <is>
          <t>N/D</t>
        </is>
      </c>
      <c r="M6" s="37" t="inlineStr">
        <is>
          <t>N/D</t>
        </is>
      </c>
      <c r="N6" s="37" t="inlineStr">
        <is>
          <t>N/D</t>
        </is>
      </c>
      <c r="O6" s="37" t="inlineStr">
        <is>
          <t>N/D</t>
        </is>
      </c>
      <c r="P6" s="37" t="inlineStr">
        <is>
          <t>N/D</t>
        </is>
      </c>
      <c r="Q6" s="20" t="inlineStr">
        <is>
          <t>Non vérifié sur CI, SN, BF, CM, BJ.</t>
        </is>
      </c>
      <c r="R6" s="20" t="inlineStr">
        <is>
          <t>Marketplaces</t>
        </is>
      </c>
      <c r="S6" s="21" t="inlineStr">
        <is>
          <t>https://www.amazon.com/usmile-Replacement-Toothbrush-Electric-Reminder/dp/B09D3SHP7K</t>
        </is>
      </c>
      <c r="T6" s="21" t="inlineStr">
        <is>
          <t>https://usmile.us/products/usmile-whitening-brush-head-2-packs</t>
        </is>
      </c>
      <c r="U6" s="20" t="inlineStr">
        <is>
          <t>Rapprochement sur les têtes soniques à fonction additionnelle et le prix par tête. Brins témoins qui décolorent à l'usure, argument de renouvellement récurrent.</t>
        </is>
      </c>
      <c r="V6" s="22">
        <f>IFERROR(IF(IF('Relevé prix'!$B$1="SN",VLOOKUP($G6,'Relevé prix'!$A$4:$N$60,11,FALSE),VLOOKUP($G6,'Relevé prix'!$A$4:$N$60,7,FALSE))=0,"",IF('Relevé prix'!$B$1="SN",VLOOKUP($G6,'Relevé prix'!$A$4:$N$60,11,FALSE),VLOOKUP($G6,'Relevé prix'!$A$4:$N$60,7,FALSE))),"")</f>
        <v/>
      </c>
      <c r="W6" s="23">
        <f>IFERROR(IF(IF('Relevé prix'!$B$1="SN",VLOOKUP($G6,'Relevé prix'!$A$4:$N$60,12,FALSE),VLOOKUP($G6,'Relevé prix'!$A$4:$N$60,8,FALSE))=0,"",IF('Relevé prix'!$B$1="SN",VLOOKUP($G6,'Relevé prix'!$A$4:$N$60,12,FALSE),VLOOKUP($G6,'Relevé prix'!$A$4:$N$60,8,FALSE))),"")</f>
        <v/>
      </c>
      <c r="X6" s="24" t="n"/>
      <c r="Y6" s="25" t="n"/>
      <c r="Z6" s="25" t="n"/>
      <c r="AA6" s="22">
        <f>IF(OR(X6="",V6=""),"",X6-V6)</f>
        <v/>
      </c>
      <c r="AB6" s="26">
        <f>IF(OR(X6="",V6="",V6=0),"",(X6-V6)/V6)</f>
        <v/>
      </c>
      <c r="AC6" s="27">
        <f>IF(AB6="","",IF(AB6&lt;-0.05,"Moins cher",IF(AB6&gt;0.05,"Plus cher","Équivalent")))</f>
        <v/>
      </c>
    </row>
    <row r="7">
      <c r="A7" s="28" t="inlineStr">
        <is>
          <t>SG-B002</t>
        </is>
      </c>
      <c r="B7" s="28" t="inlineStr">
        <is>
          <t>Tête de brosse</t>
        </is>
      </c>
      <c r="C7" s="28" t="inlineStr">
        <is>
          <t>Tête standard</t>
        </is>
      </c>
      <c r="D7" s="36" t="inlineStr">
        <is>
          <t>N/D</t>
        </is>
      </c>
      <c r="E7" s="44" t="inlineStr">
        <is>
          <t>N/D</t>
        </is>
      </c>
      <c r="F7" s="33" t="n">
        <v>23</v>
      </c>
      <c r="G7" s="20" t="inlineStr">
        <is>
          <t>SONICARE_C3</t>
        </is>
      </c>
      <c r="H7" s="20" t="inlineStr">
        <is>
          <t>Sonicare C3 Premium Plaque Control (pack de 4)</t>
        </is>
      </c>
      <c r="I7" s="20" t="inlineStr">
        <is>
          <t>Philips</t>
        </is>
      </c>
      <c r="J7" s="20" t="inlineStr">
        <is>
          <t>Tête sonique standard</t>
        </is>
      </c>
      <c r="K7" s="37" t="inlineStr">
        <is>
          <t>N/D</t>
        </is>
      </c>
      <c r="L7" s="37" t="inlineStr">
        <is>
          <t>N/D</t>
        </is>
      </c>
      <c r="M7" s="37" t="inlineStr">
        <is>
          <t>N/D</t>
        </is>
      </c>
      <c r="N7" s="37" t="inlineStr">
        <is>
          <t>N/D</t>
        </is>
      </c>
      <c r="O7" s="37" t="inlineStr">
        <is>
          <t>N/D</t>
        </is>
      </c>
      <c r="P7" s="37" t="inlineStr">
        <is>
          <t>N/D</t>
        </is>
      </c>
      <c r="Q7" s="20" t="inlineStr">
        <is>
          <t>Non vérifié sur CI, SN, BF, CM, BJ.</t>
        </is>
      </c>
      <c r="R7" s="20" t="inlineStr">
        <is>
          <t>Noon UAE, pharmacies</t>
        </is>
      </c>
      <c r="S7" s="21" t="inlineStr">
        <is>
          <t>https://www.usa.philips.com/c-p/HX6810_50/sonicare-protectiveclean-4100-sonic-electric-toothbrush/partsandaccessories</t>
        </is>
      </c>
      <c r="T7" s="21" t="inlineStr">
        <is>
          <t>https://www.ebay.com/itm/277611730525</t>
        </is>
      </c>
      <c r="U7" s="20" t="inlineStr">
        <is>
          <t>Rapprochement sur le segment des têtes soniques standard. La comparaison porte sur le prix par tête, pas sur la compatibilité mécanique. Tête à puce BrushSync. Benchmark du prix par tête sur le segment sonique premium.</t>
        </is>
      </c>
      <c r="V7" s="22">
        <f>IFERROR(IF(IF('Relevé prix'!$B$1="SN",VLOOKUP($G7,'Relevé prix'!$A$4:$N$60,11,FALSE),VLOOKUP($G7,'Relevé prix'!$A$4:$N$60,7,FALSE))=0,"",IF('Relevé prix'!$B$1="SN",VLOOKUP($G7,'Relevé prix'!$A$4:$N$60,11,FALSE),VLOOKUP($G7,'Relevé prix'!$A$4:$N$60,7,FALSE))),"")</f>
        <v/>
      </c>
      <c r="W7" s="23">
        <f>IFERROR(IF(IF('Relevé prix'!$B$1="SN",VLOOKUP($G7,'Relevé prix'!$A$4:$N$60,12,FALSE),VLOOKUP($G7,'Relevé prix'!$A$4:$N$60,8,FALSE))=0,"",IF('Relevé prix'!$B$1="SN",VLOOKUP($G7,'Relevé prix'!$A$4:$N$60,12,FALSE),VLOOKUP($G7,'Relevé prix'!$A$4:$N$60,8,FALSE))),"")</f>
        <v/>
      </c>
      <c r="X7" s="24" t="n"/>
      <c r="Y7" s="25" t="n"/>
      <c r="Z7" s="25" t="n"/>
      <c r="AA7" s="22">
        <f>IF(OR(X7="",V7=""),"",X7-V7)</f>
        <v/>
      </c>
      <c r="AB7" s="26">
        <f>IF(OR(X7="",V7="",V7=0),"",(X7-V7)/V7)</f>
        <v/>
      </c>
      <c r="AC7" s="27">
        <f>IF(AB7="","",IF(AB7&lt;-0.05,"Moins cher",IF(AB7&gt;0.05,"Plus cher","Équivalent")))</f>
        <v/>
      </c>
    </row>
    <row r="8">
      <c r="A8" s="13" t="inlineStr">
        <is>
          <t>SG-095</t>
        </is>
      </c>
      <c r="B8" s="13" t="inlineStr">
        <is>
          <t>Tête de brosse</t>
        </is>
      </c>
      <c r="C8" s="13" t="inlineStr">
        <is>
          <t>Tête standard</t>
        </is>
      </c>
      <c r="D8" s="40" t="inlineStr">
        <is>
          <t>N/D</t>
        </is>
      </c>
      <c r="E8" s="43" t="inlineStr">
        <is>
          <t>N/D</t>
        </is>
      </c>
      <c r="F8" s="19" t="n">
        <v>23</v>
      </c>
      <c r="G8" s="20" t="inlineStr">
        <is>
          <t>SONICARE_C3</t>
        </is>
      </c>
      <c r="H8" s="20" t="inlineStr">
        <is>
          <t>Sonicare C3 Premium Plaque Control (pack de 4)</t>
        </is>
      </c>
      <c r="I8" s="20" t="inlineStr">
        <is>
          <t>Philips</t>
        </is>
      </c>
      <c r="J8" s="20" t="inlineStr">
        <is>
          <t>Tête sonique standard</t>
        </is>
      </c>
      <c r="K8" s="37" t="inlineStr">
        <is>
          <t>N/D</t>
        </is>
      </c>
      <c r="L8" s="37" t="inlineStr">
        <is>
          <t>N/D</t>
        </is>
      </c>
      <c r="M8" s="37" t="inlineStr">
        <is>
          <t>N/D</t>
        </is>
      </c>
      <c r="N8" s="37" t="inlineStr">
        <is>
          <t>N/D</t>
        </is>
      </c>
      <c r="O8" s="37" t="inlineStr">
        <is>
          <t>N/D</t>
        </is>
      </c>
      <c r="P8" s="37" t="inlineStr">
        <is>
          <t>N/D</t>
        </is>
      </c>
      <c r="Q8" s="20" t="inlineStr">
        <is>
          <t>Non vérifié sur CI, SN, BF, CM, BJ.</t>
        </is>
      </c>
      <c r="R8" s="20" t="inlineStr">
        <is>
          <t>Noon UAE, pharmacies</t>
        </is>
      </c>
      <c r="S8" s="21" t="inlineStr">
        <is>
          <t>https://www.usa.philips.com/c-p/HX6810_50/sonicare-protectiveclean-4100-sonic-electric-toothbrush/partsandaccessories</t>
        </is>
      </c>
      <c r="T8" s="21" t="inlineStr">
        <is>
          <t>https://www.ebay.com/itm/277611730525</t>
        </is>
      </c>
      <c r="U8" s="20" t="inlineStr">
        <is>
          <t>Rapprochement sur le segment des têtes soniques standard. La comparaison porte sur le prix par tête, pas sur la compatibilité mécanique. Tête à puce BrushSync. Benchmark du prix par tête sur le segment sonique premium.</t>
        </is>
      </c>
      <c r="V8" s="22">
        <f>IFERROR(IF(IF('Relevé prix'!$B$1="SN",VLOOKUP($G8,'Relevé prix'!$A$4:$N$60,11,FALSE),VLOOKUP($G8,'Relevé prix'!$A$4:$N$60,7,FALSE))=0,"",IF('Relevé prix'!$B$1="SN",VLOOKUP($G8,'Relevé prix'!$A$4:$N$60,11,FALSE),VLOOKUP($G8,'Relevé prix'!$A$4:$N$60,7,FALSE))),"")</f>
        <v/>
      </c>
      <c r="W8" s="23">
        <f>IFERROR(IF(IF('Relevé prix'!$B$1="SN",VLOOKUP($G8,'Relevé prix'!$A$4:$N$60,12,FALSE),VLOOKUP($G8,'Relevé prix'!$A$4:$N$60,8,FALSE))=0,"",IF('Relevé prix'!$B$1="SN",VLOOKUP($G8,'Relevé prix'!$A$4:$N$60,12,FALSE),VLOOKUP($G8,'Relevé prix'!$A$4:$N$60,8,FALSE))),"")</f>
        <v/>
      </c>
      <c r="X8" s="24" t="n"/>
      <c r="Y8" s="25" t="n"/>
      <c r="Z8" s="25" t="n"/>
      <c r="AA8" s="22">
        <f>IF(OR(X8="",V8=""),"",X8-V8)</f>
        <v/>
      </c>
      <c r="AB8" s="26">
        <f>IF(OR(X8="",V8="",V8=0),"",(X8-V8)/V8)</f>
        <v/>
      </c>
      <c r="AC8" s="27">
        <f>IF(AB8="","",IF(AB8&lt;-0.05,"Moins cher",IF(AB8&gt;0.05,"Plus cher","Équivalent")))</f>
        <v/>
      </c>
    </row>
    <row r="9">
      <c r="A9" s="28" t="inlineStr">
        <is>
          <t>SG-090</t>
        </is>
      </c>
      <c r="B9" s="28" t="inlineStr">
        <is>
          <t>Tête de brosse</t>
        </is>
      </c>
      <c r="C9" s="28" t="inlineStr">
        <is>
          <t>Tête standard</t>
        </is>
      </c>
      <c r="D9" s="36" t="inlineStr">
        <is>
          <t>N/D</t>
        </is>
      </c>
      <c r="E9" s="44" t="inlineStr">
        <is>
          <t>N/D</t>
        </is>
      </c>
      <c r="F9" s="33" t="n">
        <v>23</v>
      </c>
      <c r="G9" s="20" t="inlineStr">
        <is>
          <t>SONICARE_C3</t>
        </is>
      </c>
      <c r="H9" s="20" t="inlineStr">
        <is>
          <t>Sonicare C3 Premium Plaque Control (pack de 4)</t>
        </is>
      </c>
      <c r="I9" s="20" t="inlineStr">
        <is>
          <t>Philips</t>
        </is>
      </c>
      <c r="J9" s="20" t="inlineStr">
        <is>
          <t>Tête sonique standard</t>
        </is>
      </c>
      <c r="K9" s="37" t="inlineStr">
        <is>
          <t>N/D</t>
        </is>
      </c>
      <c r="L9" s="37" t="inlineStr">
        <is>
          <t>N/D</t>
        </is>
      </c>
      <c r="M9" s="37" t="inlineStr">
        <is>
          <t>N/D</t>
        </is>
      </c>
      <c r="N9" s="37" t="inlineStr">
        <is>
          <t>N/D</t>
        </is>
      </c>
      <c r="O9" s="37" t="inlineStr">
        <is>
          <t>N/D</t>
        </is>
      </c>
      <c r="P9" s="37" t="inlineStr">
        <is>
          <t>N/D</t>
        </is>
      </c>
      <c r="Q9" s="20" t="inlineStr">
        <is>
          <t>Non vérifié sur CI, SN, BF, CM, BJ.</t>
        </is>
      </c>
      <c r="R9" s="20" t="inlineStr">
        <is>
          <t>Noon UAE, pharmacies</t>
        </is>
      </c>
      <c r="S9" s="21" t="inlineStr">
        <is>
          <t>https://www.usa.philips.com/c-p/HX6810_50/sonicare-protectiveclean-4100-sonic-electric-toothbrush/partsandaccessories</t>
        </is>
      </c>
      <c r="T9" s="21" t="inlineStr">
        <is>
          <t>https://www.ebay.com/itm/277611730525</t>
        </is>
      </c>
      <c r="U9" s="20" t="inlineStr">
        <is>
          <t>Rapprochement sur le segment des têtes soniques standard. La comparaison porte sur le prix par tête, pas sur la compatibilité mécanique. Tête à puce BrushSync. Benchmark du prix par tête sur le segment sonique premium.</t>
        </is>
      </c>
      <c r="V9" s="22">
        <f>IFERROR(IF(IF('Relevé prix'!$B$1="SN",VLOOKUP($G9,'Relevé prix'!$A$4:$N$60,11,FALSE),VLOOKUP($G9,'Relevé prix'!$A$4:$N$60,7,FALSE))=0,"",IF('Relevé prix'!$B$1="SN",VLOOKUP($G9,'Relevé prix'!$A$4:$N$60,11,FALSE),VLOOKUP($G9,'Relevé prix'!$A$4:$N$60,7,FALSE))),"")</f>
        <v/>
      </c>
      <c r="W9" s="23">
        <f>IFERROR(IF(IF('Relevé prix'!$B$1="SN",VLOOKUP($G9,'Relevé prix'!$A$4:$N$60,12,FALSE),VLOOKUP($G9,'Relevé prix'!$A$4:$N$60,8,FALSE))=0,"",IF('Relevé prix'!$B$1="SN",VLOOKUP($G9,'Relevé prix'!$A$4:$N$60,12,FALSE),VLOOKUP($G9,'Relevé prix'!$A$4:$N$60,8,FALSE))),"")</f>
        <v/>
      </c>
      <c r="X9" s="24" t="n"/>
      <c r="Y9" s="25" t="n"/>
      <c r="Z9" s="25" t="n"/>
      <c r="AA9" s="22">
        <f>IF(OR(X9="",V9=""),"",X9-V9)</f>
        <v/>
      </c>
      <c r="AB9" s="26">
        <f>IF(OR(X9="",V9="",V9=0),"",(X9-V9)/V9)</f>
        <v/>
      </c>
      <c r="AC9" s="27">
        <f>IF(AB9="","",IF(AB9&lt;-0.05,"Moins cher",IF(AB9&gt;0.05,"Plus cher","Équivalent")))</f>
        <v/>
      </c>
    </row>
    <row r="10">
      <c r="A10" s="13" t="inlineStr">
        <is>
          <t>SG-093</t>
        </is>
      </c>
      <c r="B10" s="13" t="inlineStr">
        <is>
          <t>Tête de brosse</t>
        </is>
      </c>
      <c r="C10" s="13" t="inlineStr">
        <is>
          <t>Tête avec gratte-langue</t>
        </is>
      </c>
      <c r="D10" s="40" t="inlineStr">
        <is>
          <t>N/D</t>
        </is>
      </c>
      <c r="E10" s="43" t="inlineStr">
        <is>
          <t>N/D</t>
        </is>
      </c>
      <c r="F10" s="19" t="n">
        <v>23</v>
      </c>
      <c r="G10" s="20" t="inlineStr">
        <is>
          <t>USMILE_HEADS</t>
        </is>
      </c>
      <c r="H10" s="20" t="inlineStr">
        <is>
          <t>Têtes de rechange P1 / Y1S / U3 / P4</t>
        </is>
      </c>
      <c r="I10" s="20" t="inlineStr">
        <is>
          <t>usmile</t>
        </is>
      </c>
      <c r="J10" s="20" t="inlineStr">
        <is>
          <t>Tête sonique avec brins témoins d'usure</t>
        </is>
      </c>
      <c r="K10" s="37" t="inlineStr">
        <is>
          <t>N/D</t>
        </is>
      </c>
      <c r="L10" s="37" t="inlineStr">
        <is>
          <t>N/D</t>
        </is>
      </c>
      <c r="M10" s="37" t="inlineStr">
        <is>
          <t>N/D</t>
        </is>
      </c>
      <c r="N10" s="37" t="inlineStr">
        <is>
          <t>N/D</t>
        </is>
      </c>
      <c r="O10" s="37" t="inlineStr">
        <is>
          <t>N/D</t>
        </is>
      </c>
      <c r="P10" s="37" t="inlineStr">
        <is>
          <t>N/D</t>
        </is>
      </c>
      <c r="Q10" s="20" t="inlineStr">
        <is>
          <t>Non vérifié sur CI, SN, BF, CM, BJ.</t>
        </is>
      </c>
      <c r="R10" s="20" t="inlineStr">
        <is>
          <t>Marketplaces</t>
        </is>
      </c>
      <c r="S10" s="21" t="inlineStr">
        <is>
          <t>https://www.amazon.com/usmile-Replacement-Toothbrush-Electric-Reminder/dp/B09D3SHP7K</t>
        </is>
      </c>
      <c r="T10" s="21" t="inlineStr">
        <is>
          <t>https://usmile.us/products/usmile-whitening-brush-head-2-packs</t>
        </is>
      </c>
      <c r="U10" s="20" t="inlineStr">
        <is>
          <t>Rapprochement sur les têtes soniques à fonction additionnelle et le prix par tête. Brins témoins qui décolorent à l'usure, argument de renouvellement récurrent.</t>
        </is>
      </c>
      <c r="V10" s="22">
        <f>IFERROR(IF(IF('Relevé prix'!$B$1="SN",VLOOKUP($G10,'Relevé prix'!$A$4:$N$60,11,FALSE),VLOOKUP($G10,'Relevé prix'!$A$4:$N$60,7,FALSE))=0,"",IF('Relevé prix'!$B$1="SN",VLOOKUP($G10,'Relevé prix'!$A$4:$N$60,11,FALSE),VLOOKUP($G10,'Relevé prix'!$A$4:$N$60,7,FALSE))),"")</f>
        <v/>
      </c>
      <c r="W10" s="23">
        <f>IFERROR(IF(IF('Relevé prix'!$B$1="SN",VLOOKUP($G10,'Relevé prix'!$A$4:$N$60,12,FALSE),VLOOKUP($G10,'Relevé prix'!$A$4:$N$60,8,FALSE))=0,"",IF('Relevé prix'!$B$1="SN",VLOOKUP($G10,'Relevé prix'!$A$4:$N$60,12,FALSE),VLOOKUP($G10,'Relevé prix'!$A$4:$N$60,8,FALSE))),"")</f>
        <v/>
      </c>
      <c r="X10" s="24" t="n"/>
      <c r="Y10" s="25" t="n"/>
      <c r="Z10" s="25" t="n"/>
      <c r="AA10" s="22">
        <f>IF(OR(X10="",V10=""),"",X10-V10)</f>
        <v/>
      </c>
      <c r="AB10" s="26">
        <f>IF(OR(X10="",V10="",V10=0),"",(X10-V10)/V10)</f>
        <v/>
      </c>
      <c r="AC10" s="27">
        <f>IF(AB10="","",IF(AB10&lt;-0.05,"Moins cher",IF(AB10&gt;0.05,"Plus cher","Équivalent")))</f>
        <v/>
      </c>
    </row>
    <row r="11">
      <c r="A11" s="28" t="inlineStr">
        <is>
          <t>SG-C108</t>
        </is>
      </c>
      <c r="B11" s="28" t="inlineStr">
        <is>
          <t>Tête de brosse</t>
        </is>
      </c>
      <c r="C11" s="28" t="inlineStr">
        <is>
          <t>Tête avec gratte-langue</t>
        </is>
      </c>
      <c r="D11" s="36" t="inlineStr">
        <is>
          <t>N/D</t>
        </is>
      </c>
      <c r="E11" s="32" t="inlineStr">
        <is>
          <t>SG-567, SG-2711 (version small hétérotype hole)</t>
        </is>
      </c>
      <c r="F11" s="33" t="n">
        <v>23</v>
      </c>
      <c r="G11" s="20" t="inlineStr">
        <is>
          <t>USMILE_HEADS</t>
        </is>
      </c>
      <c r="H11" s="20" t="inlineStr">
        <is>
          <t>Têtes de rechange P1 / Y1S / U3 / P4</t>
        </is>
      </c>
      <c r="I11" s="20" t="inlineStr">
        <is>
          <t>usmile</t>
        </is>
      </c>
      <c r="J11" s="20" t="inlineStr">
        <is>
          <t>Tête sonique avec brins témoins d'usure</t>
        </is>
      </c>
      <c r="K11" s="37" t="inlineStr">
        <is>
          <t>N/D</t>
        </is>
      </c>
      <c r="L11" s="37" t="inlineStr">
        <is>
          <t>N/D</t>
        </is>
      </c>
      <c r="M11" s="37" t="inlineStr">
        <is>
          <t>N/D</t>
        </is>
      </c>
      <c r="N11" s="37" t="inlineStr">
        <is>
          <t>N/D</t>
        </is>
      </c>
      <c r="O11" s="37" t="inlineStr">
        <is>
          <t>N/D</t>
        </is>
      </c>
      <c r="P11" s="37" t="inlineStr">
        <is>
          <t>N/D</t>
        </is>
      </c>
      <c r="Q11" s="20" t="inlineStr">
        <is>
          <t>Non vérifié sur CI, SN, BF, CM, BJ.</t>
        </is>
      </c>
      <c r="R11" s="20" t="inlineStr">
        <is>
          <t>Marketplaces</t>
        </is>
      </c>
      <c r="S11" s="21" t="inlineStr">
        <is>
          <t>https://www.amazon.com/usmile-Replacement-Toothbrush-Electric-Reminder/dp/B09D3SHP7K</t>
        </is>
      </c>
      <c r="T11" s="21" t="inlineStr">
        <is>
          <t>https://usmile.us/products/usmile-whitening-brush-head-2-packs</t>
        </is>
      </c>
      <c r="U11" s="20" t="inlineStr">
        <is>
          <t>Rapprochement sur les têtes soniques à fonction additionnelle et le prix par tête. Brins témoins qui décolorent à l'usure, argument de renouvellement récurrent.</t>
        </is>
      </c>
      <c r="V11" s="22">
        <f>IFERROR(IF(IF('Relevé prix'!$B$1="SN",VLOOKUP($G11,'Relevé prix'!$A$4:$N$60,11,FALSE),VLOOKUP($G11,'Relevé prix'!$A$4:$N$60,7,FALSE))=0,"",IF('Relevé prix'!$B$1="SN",VLOOKUP($G11,'Relevé prix'!$A$4:$N$60,11,FALSE),VLOOKUP($G11,'Relevé prix'!$A$4:$N$60,7,FALSE))),"")</f>
        <v/>
      </c>
      <c r="W11" s="23">
        <f>IFERROR(IF(IF('Relevé prix'!$B$1="SN",VLOOKUP($G11,'Relevé prix'!$A$4:$N$60,12,FALSE),VLOOKUP($G11,'Relevé prix'!$A$4:$N$60,8,FALSE))=0,"",IF('Relevé prix'!$B$1="SN",VLOOKUP($G11,'Relevé prix'!$A$4:$N$60,12,FALSE),VLOOKUP($G11,'Relevé prix'!$A$4:$N$60,8,FALSE))),"")</f>
        <v/>
      </c>
      <c r="X11" s="24" t="n"/>
      <c r="Y11" s="25" t="n"/>
      <c r="Z11" s="25" t="n"/>
      <c r="AA11" s="22">
        <f>IF(OR(X11="",V11=""),"",X11-V11)</f>
        <v/>
      </c>
      <c r="AB11" s="26">
        <f>IF(OR(X11="",V11="",V11=0),"",(X11-V11)/V11)</f>
        <v/>
      </c>
      <c r="AC11" s="27">
        <f>IF(AB11="","",IF(AB11&lt;-0.05,"Moins cher",IF(AB11&gt;0.05,"Plus cher","Équivalent")))</f>
        <v/>
      </c>
    </row>
    <row r="12">
      <c r="A12" s="13" t="inlineStr">
        <is>
          <t>SG-C110</t>
        </is>
      </c>
      <c r="B12" s="13" t="inlineStr">
        <is>
          <t>Tête de brosse</t>
        </is>
      </c>
      <c r="C12" s="13" t="inlineStr">
        <is>
          <t>Tête avec gratte-langue</t>
        </is>
      </c>
      <c r="D12" s="40" t="inlineStr">
        <is>
          <t>N/D</t>
        </is>
      </c>
      <c r="E12" s="18" t="inlineStr">
        <is>
          <t>SG-567, SG-2711 (version medium hétérotype hole)</t>
        </is>
      </c>
      <c r="F12" s="19" t="n">
        <v>23</v>
      </c>
      <c r="G12" s="20" t="inlineStr">
        <is>
          <t>USMILE_HEADS</t>
        </is>
      </c>
      <c r="H12" s="20" t="inlineStr">
        <is>
          <t>Têtes de rechange P1 / Y1S / U3 / P4</t>
        </is>
      </c>
      <c r="I12" s="20" t="inlineStr">
        <is>
          <t>usmile</t>
        </is>
      </c>
      <c r="J12" s="20" t="inlineStr">
        <is>
          <t>Tête sonique avec brins témoins d'usure</t>
        </is>
      </c>
      <c r="K12" s="37" t="inlineStr">
        <is>
          <t>N/D</t>
        </is>
      </c>
      <c r="L12" s="37" t="inlineStr">
        <is>
          <t>N/D</t>
        </is>
      </c>
      <c r="M12" s="37" t="inlineStr">
        <is>
          <t>N/D</t>
        </is>
      </c>
      <c r="N12" s="37" t="inlineStr">
        <is>
          <t>N/D</t>
        </is>
      </c>
      <c r="O12" s="37" t="inlineStr">
        <is>
          <t>N/D</t>
        </is>
      </c>
      <c r="P12" s="37" t="inlineStr">
        <is>
          <t>N/D</t>
        </is>
      </c>
      <c r="Q12" s="20" t="inlineStr">
        <is>
          <t>Non vérifié sur CI, SN, BF, CM, BJ.</t>
        </is>
      </c>
      <c r="R12" s="20" t="inlineStr">
        <is>
          <t>Marketplaces</t>
        </is>
      </c>
      <c r="S12" s="21" t="inlineStr">
        <is>
          <t>https://www.amazon.com/usmile-Replacement-Toothbrush-Electric-Reminder/dp/B09D3SHP7K</t>
        </is>
      </c>
      <c r="T12" s="21" t="inlineStr">
        <is>
          <t>https://usmile.us/products/usmile-whitening-brush-head-2-packs</t>
        </is>
      </c>
      <c r="U12" s="20" t="inlineStr">
        <is>
          <t>Rapprochement sur les têtes soniques à fonction additionnelle et le prix par tête. Brins témoins qui décolorent à l'usure, argument de renouvellement récurrent.</t>
        </is>
      </c>
      <c r="V12" s="22">
        <f>IFERROR(IF(IF('Relevé prix'!$B$1="SN",VLOOKUP($G12,'Relevé prix'!$A$4:$N$60,11,FALSE),VLOOKUP($G12,'Relevé prix'!$A$4:$N$60,7,FALSE))=0,"",IF('Relevé prix'!$B$1="SN",VLOOKUP($G12,'Relevé prix'!$A$4:$N$60,11,FALSE),VLOOKUP($G12,'Relevé prix'!$A$4:$N$60,7,FALSE))),"")</f>
        <v/>
      </c>
      <c r="W12" s="23">
        <f>IFERROR(IF(IF('Relevé prix'!$B$1="SN",VLOOKUP($G12,'Relevé prix'!$A$4:$N$60,12,FALSE),VLOOKUP($G12,'Relevé prix'!$A$4:$N$60,8,FALSE))=0,"",IF('Relevé prix'!$B$1="SN",VLOOKUP($G12,'Relevé prix'!$A$4:$N$60,12,FALSE),VLOOKUP($G12,'Relevé prix'!$A$4:$N$60,8,FALSE))),"")</f>
        <v/>
      </c>
      <c r="X12" s="24" t="n"/>
      <c r="Y12" s="25" t="n"/>
      <c r="Z12" s="25" t="n"/>
      <c r="AA12" s="22">
        <f>IF(OR(X12="",V12=""),"",X12-V12)</f>
        <v/>
      </c>
      <c r="AB12" s="26">
        <f>IF(OR(X12="",V12="",V12=0),"",(X12-V12)/V12)</f>
        <v/>
      </c>
      <c r="AC12" s="27">
        <f>IF(AB12="","",IF(AB12&lt;-0.05,"Moins cher",IF(AB12&gt;0.05,"Plus cher","Équivalent")))</f>
        <v/>
      </c>
    </row>
    <row r="13">
      <c r="A13" s="28" t="inlineStr">
        <is>
          <t>SG-C020</t>
        </is>
      </c>
      <c r="B13" s="28" t="inlineStr">
        <is>
          <t>Tête de brosse</t>
        </is>
      </c>
      <c r="C13" s="28" t="inlineStr">
        <is>
          <t>Tête interdentaire</t>
        </is>
      </c>
      <c r="D13" s="36" t="inlineStr">
        <is>
          <t>N/D</t>
        </is>
      </c>
      <c r="E13" s="44" t="inlineStr">
        <is>
          <t>N/D</t>
        </is>
      </c>
      <c r="F13" s="33" t="n">
        <v>23</v>
      </c>
      <c r="G13" s="20" t="inlineStr">
        <is>
          <t>SONICARE_C3</t>
        </is>
      </c>
      <c r="H13" s="20" t="inlineStr">
        <is>
          <t>Sonicare C3 Premium Plaque Control (pack de 4)</t>
        </is>
      </c>
      <c r="I13" s="20" t="inlineStr">
        <is>
          <t>Philips</t>
        </is>
      </c>
      <c r="J13" s="20" t="inlineStr">
        <is>
          <t>Tête sonique standard</t>
        </is>
      </c>
      <c r="K13" s="37" t="inlineStr">
        <is>
          <t>N/D</t>
        </is>
      </c>
      <c r="L13" s="37" t="inlineStr">
        <is>
          <t>N/D</t>
        </is>
      </c>
      <c r="M13" s="37" t="inlineStr">
        <is>
          <t>N/D</t>
        </is>
      </c>
      <c r="N13" s="37" t="inlineStr">
        <is>
          <t>N/D</t>
        </is>
      </c>
      <c r="O13" s="37" t="inlineStr">
        <is>
          <t>N/D</t>
        </is>
      </c>
      <c r="P13" s="37" t="inlineStr">
        <is>
          <t>N/D</t>
        </is>
      </c>
      <c r="Q13" s="20" t="inlineStr">
        <is>
          <t>Non vérifié sur CI, SN, BF, CM, BJ.</t>
        </is>
      </c>
      <c r="R13" s="20" t="inlineStr">
        <is>
          <t>Noon UAE, pharmacies</t>
        </is>
      </c>
      <c r="S13" s="21" t="inlineStr">
        <is>
          <t>https://www.usa.philips.com/c-p/HX6810_50/sonicare-protectiveclean-4100-sonic-electric-toothbrush/partsandaccessories</t>
        </is>
      </c>
      <c r="T13" s="21" t="inlineStr">
        <is>
          <t>https://www.ebay.com/itm/277611730525</t>
        </is>
      </c>
      <c r="U13" s="20" t="inlineStr">
        <is>
          <t>Rapprochement sur le segment des têtes soniques standard. La comparaison porte sur le prix par tête, pas sur la compatibilité mécanique. Tête à puce BrushSync. Benchmark du prix par tête sur le segment sonique premium.</t>
        </is>
      </c>
      <c r="V13" s="22">
        <f>IFERROR(IF(IF('Relevé prix'!$B$1="SN",VLOOKUP($G13,'Relevé prix'!$A$4:$N$60,11,FALSE),VLOOKUP($G13,'Relevé prix'!$A$4:$N$60,7,FALSE))=0,"",IF('Relevé prix'!$B$1="SN",VLOOKUP($G13,'Relevé prix'!$A$4:$N$60,11,FALSE),VLOOKUP($G13,'Relevé prix'!$A$4:$N$60,7,FALSE))),"")</f>
        <v/>
      </c>
      <c r="W13" s="23">
        <f>IFERROR(IF(IF('Relevé prix'!$B$1="SN",VLOOKUP($G13,'Relevé prix'!$A$4:$N$60,12,FALSE),VLOOKUP($G13,'Relevé prix'!$A$4:$N$60,8,FALSE))=0,"",IF('Relevé prix'!$B$1="SN",VLOOKUP($G13,'Relevé prix'!$A$4:$N$60,12,FALSE),VLOOKUP($G13,'Relevé prix'!$A$4:$N$60,8,FALSE))),"")</f>
        <v/>
      </c>
      <c r="X13" s="24" t="n"/>
      <c r="Y13" s="25" t="n"/>
      <c r="Z13" s="25" t="n"/>
      <c r="AA13" s="22">
        <f>IF(OR(X13="",V13=""),"",X13-V13)</f>
        <v/>
      </c>
      <c r="AB13" s="26">
        <f>IF(OR(X13="",V13="",V13=0),"",(X13-V13)/V13)</f>
        <v/>
      </c>
      <c r="AC13" s="27">
        <f>IF(AB13="","",IF(AB13&lt;-0.05,"Moins cher",IF(AB13&gt;0.05,"Plus cher","Équivalent")))</f>
        <v/>
      </c>
    </row>
    <row r="14">
      <c r="A14" s="13" t="inlineStr">
        <is>
          <t>SG-C019</t>
        </is>
      </c>
      <c r="B14" s="13" t="inlineStr">
        <is>
          <t>Tête de brosse</t>
        </is>
      </c>
      <c r="C14" s="13" t="inlineStr">
        <is>
          <t>Tête avec gratte-langue et massage des gencives</t>
        </is>
      </c>
      <c r="D14" s="40" t="inlineStr">
        <is>
          <t>N/D</t>
        </is>
      </c>
      <c r="E14" s="43" t="inlineStr">
        <is>
          <t>N/D</t>
        </is>
      </c>
      <c r="F14" s="19" t="n">
        <v>23</v>
      </c>
      <c r="G14" s="20" t="inlineStr">
        <is>
          <t>USMILE_HEADS</t>
        </is>
      </c>
      <c r="H14" s="20" t="inlineStr">
        <is>
          <t>Têtes de rechange P1 / Y1S / U3 / P4</t>
        </is>
      </c>
      <c r="I14" s="20" t="inlineStr">
        <is>
          <t>usmile</t>
        </is>
      </c>
      <c r="J14" s="20" t="inlineStr">
        <is>
          <t>Tête sonique avec brins témoins d'usure</t>
        </is>
      </c>
      <c r="K14" s="37" t="inlineStr">
        <is>
          <t>N/D</t>
        </is>
      </c>
      <c r="L14" s="37" t="inlineStr">
        <is>
          <t>N/D</t>
        </is>
      </c>
      <c r="M14" s="37" t="inlineStr">
        <is>
          <t>N/D</t>
        </is>
      </c>
      <c r="N14" s="37" t="inlineStr">
        <is>
          <t>N/D</t>
        </is>
      </c>
      <c r="O14" s="37" t="inlineStr">
        <is>
          <t>N/D</t>
        </is>
      </c>
      <c r="P14" s="37" t="inlineStr">
        <is>
          <t>N/D</t>
        </is>
      </c>
      <c r="Q14" s="20" t="inlineStr">
        <is>
          <t>Non vérifié sur CI, SN, BF, CM, BJ.</t>
        </is>
      </c>
      <c r="R14" s="20" t="inlineStr">
        <is>
          <t>Marketplaces</t>
        </is>
      </c>
      <c r="S14" s="21" t="inlineStr">
        <is>
          <t>https://www.amazon.com/usmile-Replacement-Toothbrush-Electric-Reminder/dp/B09D3SHP7K</t>
        </is>
      </c>
      <c r="T14" s="21" t="inlineStr">
        <is>
          <t>https://usmile.us/products/usmile-whitening-brush-head-2-packs</t>
        </is>
      </c>
      <c r="U14" s="20" t="inlineStr">
        <is>
          <t>Rapprochement sur les têtes soniques à fonction additionnelle et le prix par tête. Brins témoins qui décolorent à l'usure, argument de renouvellement récurrent.</t>
        </is>
      </c>
      <c r="V14" s="22">
        <f>IFERROR(IF(IF('Relevé prix'!$B$1="SN",VLOOKUP($G14,'Relevé prix'!$A$4:$N$60,11,FALSE),VLOOKUP($G14,'Relevé prix'!$A$4:$N$60,7,FALSE))=0,"",IF('Relevé prix'!$B$1="SN",VLOOKUP($G14,'Relevé prix'!$A$4:$N$60,11,FALSE),VLOOKUP($G14,'Relevé prix'!$A$4:$N$60,7,FALSE))),"")</f>
        <v/>
      </c>
      <c r="W14" s="23">
        <f>IFERROR(IF(IF('Relevé prix'!$B$1="SN",VLOOKUP($G14,'Relevé prix'!$A$4:$N$60,12,FALSE),VLOOKUP($G14,'Relevé prix'!$A$4:$N$60,8,FALSE))=0,"",IF('Relevé prix'!$B$1="SN",VLOOKUP($G14,'Relevé prix'!$A$4:$N$60,12,FALSE),VLOOKUP($G14,'Relevé prix'!$A$4:$N$60,8,FALSE))),"")</f>
        <v/>
      </c>
      <c r="X14" s="24" t="n"/>
      <c r="Y14" s="25" t="n"/>
      <c r="Z14" s="25" t="n"/>
      <c r="AA14" s="22">
        <f>IF(OR(X14="",V14=""),"",X14-V14)</f>
        <v/>
      </c>
      <c r="AB14" s="26">
        <f>IF(OR(X14="",V14="",V14=0),"",(X14-V14)/V14)</f>
        <v/>
      </c>
      <c r="AC14" s="27">
        <f>IF(AB14="","",IF(AB14&lt;-0.05,"Moins cher",IF(AB14&gt;0.05,"Plus cher","Équivalent")))</f>
        <v/>
      </c>
    </row>
    <row r="15">
      <c r="A15" s="28" t="inlineStr">
        <is>
          <t>SG-C099</t>
        </is>
      </c>
      <c r="B15" s="28" t="inlineStr">
        <is>
          <t>Tête de brosse</t>
        </is>
      </c>
      <c r="C15" s="28" t="inlineStr">
        <is>
          <t>Tête avec gratte-langue et massage des gencives</t>
        </is>
      </c>
      <c r="D15" s="36" t="inlineStr">
        <is>
          <t>N/D</t>
        </is>
      </c>
      <c r="E15" s="44" t="inlineStr">
        <is>
          <t>N/D</t>
        </is>
      </c>
      <c r="F15" s="33" t="n">
        <v>23</v>
      </c>
      <c r="G15" s="20" t="inlineStr">
        <is>
          <t>USMILE_HEADS</t>
        </is>
      </c>
      <c r="H15" s="20" t="inlineStr">
        <is>
          <t>Têtes de rechange P1 / Y1S / U3 / P4</t>
        </is>
      </c>
      <c r="I15" s="20" t="inlineStr">
        <is>
          <t>usmile</t>
        </is>
      </c>
      <c r="J15" s="20" t="inlineStr">
        <is>
          <t>Tête sonique avec brins témoins d'usure</t>
        </is>
      </c>
      <c r="K15" s="37" t="inlineStr">
        <is>
          <t>N/D</t>
        </is>
      </c>
      <c r="L15" s="37" t="inlineStr">
        <is>
          <t>N/D</t>
        </is>
      </c>
      <c r="M15" s="37" t="inlineStr">
        <is>
          <t>N/D</t>
        </is>
      </c>
      <c r="N15" s="37" t="inlineStr">
        <is>
          <t>N/D</t>
        </is>
      </c>
      <c r="O15" s="37" t="inlineStr">
        <is>
          <t>N/D</t>
        </is>
      </c>
      <c r="P15" s="37" t="inlineStr">
        <is>
          <t>N/D</t>
        </is>
      </c>
      <c r="Q15" s="20" t="inlineStr">
        <is>
          <t>Non vérifié sur CI, SN, BF, CM, BJ.</t>
        </is>
      </c>
      <c r="R15" s="20" t="inlineStr">
        <is>
          <t>Marketplaces</t>
        </is>
      </c>
      <c r="S15" s="21" t="inlineStr">
        <is>
          <t>https://www.amazon.com/usmile-Replacement-Toothbrush-Electric-Reminder/dp/B09D3SHP7K</t>
        </is>
      </c>
      <c r="T15" s="21" t="inlineStr">
        <is>
          <t>https://usmile.us/products/usmile-whitening-brush-head-2-packs</t>
        </is>
      </c>
      <c r="U15" s="20" t="inlineStr">
        <is>
          <t>Rapprochement sur les têtes soniques à fonction additionnelle et le prix par tête. Brins témoins qui décolorent à l'usure, argument de renouvellement récurrent.</t>
        </is>
      </c>
      <c r="V15" s="22">
        <f>IFERROR(IF(IF('Relevé prix'!$B$1="SN",VLOOKUP($G15,'Relevé prix'!$A$4:$N$60,11,FALSE),VLOOKUP($G15,'Relevé prix'!$A$4:$N$60,7,FALSE))=0,"",IF('Relevé prix'!$B$1="SN",VLOOKUP($G15,'Relevé prix'!$A$4:$N$60,11,FALSE),VLOOKUP($G15,'Relevé prix'!$A$4:$N$60,7,FALSE))),"")</f>
        <v/>
      </c>
      <c r="W15" s="23">
        <f>IFERROR(IF(IF('Relevé prix'!$B$1="SN",VLOOKUP($G15,'Relevé prix'!$A$4:$N$60,12,FALSE),VLOOKUP($G15,'Relevé prix'!$A$4:$N$60,8,FALSE))=0,"",IF('Relevé prix'!$B$1="SN",VLOOKUP($G15,'Relevé prix'!$A$4:$N$60,12,FALSE),VLOOKUP($G15,'Relevé prix'!$A$4:$N$60,8,FALSE))),"")</f>
        <v/>
      </c>
      <c r="X15" s="24" t="n"/>
      <c r="Y15" s="25" t="n"/>
      <c r="Z15" s="25" t="n"/>
      <c r="AA15" s="22">
        <f>IF(OR(X15="",V15=""),"",X15-V15)</f>
        <v/>
      </c>
      <c r="AB15" s="26">
        <f>IF(OR(X15="",V15="",V15=0),"",(X15-V15)/V15)</f>
        <v/>
      </c>
      <c r="AC15" s="27">
        <f>IF(AB15="","",IF(AB15&lt;-0.05,"Moins cher",IF(AB15&gt;0.05,"Plus cher","Équivalent")))</f>
        <v/>
      </c>
    </row>
    <row r="16">
      <c r="A16" s="13" t="inlineStr">
        <is>
          <t>SG-112</t>
        </is>
      </c>
      <c r="B16" s="13" t="inlineStr">
        <is>
          <t>Tête de brosse</t>
        </is>
      </c>
      <c r="C16" s="13" t="inlineStr">
        <is>
          <t>Tête sans ancrage</t>
        </is>
      </c>
      <c r="D16" s="40" t="inlineStr">
        <is>
          <t>N/D</t>
        </is>
      </c>
      <c r="E16" s="43" t="inlineStr">
        <is>
          <t>N/D</t>
        </is>
      </c>
      <c r="F16" s="19" t="n">
        <v>37</v>
      </c>
      <c r="G16" s="20" t="inlineStr">
        <is>
          <t>SONICARE_C3</t>
        </is>
      </c>
      <c r="H16" s="20" t="inlineStr">
        <is>
          <t>Sonicare C3 Premium Plaque Control (pack de 4)</t>
        </is>
      </c>
      <c r="I16" s="20" t="inlineStr">
        <is>
          <t>Philips</t>
        </is>
      </c>
      <c r="J16" s="20" t="inlineStr">
        <is>
          <t>Tête sonique standard</t>
        </is>
      </c>
      <c r="K16" s="37" t="inlineStr">
        <is>
          <t>N/D</t>
        </is>
      </c>
      <c r="L16" s="37" t="inlineStr">
        <is>
          <t>N/D</t>
        </is>
      </c>
      <c r="M16" s="37" t="inlineStr">
        <is>
          <t>N/D</t>
        </is>
      </c>
      <c r="N16" s="37" t="inlineStr">
        <is>
          <t>N/D</t>
        </is>
      </c>
      <c r="O16" s="37" t="inlineStr">
        <is>
          <t>N/D</t>
        </is>
      </c>
      <c r="P16" s="37" t="inlineStr">
        <is>
          <t>N/D</t>
        </is>
      </c>
      <c r="Q16" s="20" t="inlineStr">
        <is>
          <t>Non vérifié sur CI, SN, BF, CM, BJ.</t>
        </is>
      </c>
      <c r="R16" s="20" t="inlineStr">
        <is>
          <t>Noon UAE, pharmacies</t>
        </is>
      </c>
      <c r="S16" s="21" t="inlineStr">
        <is>
          <t>https://www.usa.philips.com/c-p/HX6810_50/sonicare-protectiveclean-4100-sonic-electric-toothbrush/partsandaccessories</t>
        </is>
      </c>
      <c r="T16" s="21" t="inlineStr">
        <is>
          <t>https://www.ebay.com/itm/277611730525</t>
        </is>
      </c>
      <c r="U16" s="20" t="inlineStr">
        <is>
          <t>Rapprochement sur le segment des têtes soniques standard. La comparaison porte sur le prix par tête, pas sur la compatibilité mécanique. Tête à puce BrushSync. Benchmark du prix par tête sur le segment sonique premium.</t>
        </is>
      </c>
      <c r="V16" s="22">
        <f>IFERROR(IF(IF('Relevé prix'!$B$1="SN",VLOOKUP($G16,'Relevé prix'!$A$4:$N$60,11,FALSE),VLOOKUP($G16,'Relevé prix'!$A$4:$N$60,7,FALSE))=0,"",IF('Relevé prix'!$B$1="SN",VLOOKUP($G16,'Relevé prix'!$A$4:$N$60,11,FALSE),VLOOKUP($G16,'Relevé prix'!$A$4:$N$60,7,FALSE))),"")</f>
        <v/>
      </c>
      <c r="W16" s="23">
        <f>IFERROR(IF(IF('Relevé prix'!$B$1="SN",VLOOKUP($G16,'Relevé prix'!$A$4:$N$60,12,FALSE),VLOOKUP($G16,'Relevé prix'!$A$4:$N$60,8,FALSE))=0,"",IF('Relevé prix'!$B$1="SN",VLOOKUP($G16,'Relevé prix'!$A$4:$N$60,12,FALSE),VLOOKUP($G16,'Relevé prix'!$A$4:$N$60,8,FALSE))),"")</f>
        <v/>
      </c>
      <c r="X16" s="24" t="n"/>
      <c r="Y16" s="25" t="n"/>
      <c r="Z16" s="25" t="n"/>
      <c r="AA16" s="22">
        <f>IF(OR(X16="",V16=""),"",X16-V16)</f>
        <v/>
      </c>
      <c r="AB16" s="26">
        <f>IF(OR(X16="",V16="",V16=0),"",(X16-V16)/V16)</f>
        <v/>
      </c>
      <c r="AC16" s="27">
        <f>IF(AB16="","",IF(AB16&lt;-0.05,"Moins cher",IF(AB16&gt;0.05,"Plus cher","Équivalent")))</f>
        <v/>
      </c>
    </row>
    <row r="17">
      <c r="A17" s="28" t="inlineStr">
        <is>
          <t>SG-011</t>
        </is>
      </c>
      <c r="B17" s="28" t="inlineStr">
        <is>
          <t>Tête de brosse</t>
        </is>
      </c>
      <c r="C17" s="28" t="inlineStr">
        <is>
          <t>Tête avec gratte-langue</t>
        </is>
      </c>
      <c r="D17" s="36" t="inlineStr">
        <is>
          <t>N/D</t>
        </is>
      </c>
      <c r="E17" s="44" t="inlineStr">
        <is>
          <t>N/D</t>
        </is>
      </c>
      <c r="F17" s="33" t="n">
        <v>37</v>
      </c>
      <c r="G17" s="20" t="inlineStr">
        <is>
          <t>USMILE_HEADS</t>
        </is>
      </c>
      <c r="H17" s="20" t="inlineStr">
        <is>
          <t>Têtes de rechange P1 / Y1S / U3 / P4</t>
        </is>
      </c>
      <c r="I17" s="20" t="inlineStr">
        <is>
          <t>usmile</t>
        </is>
      </c>
      <c r="J17" s="20" t="inlineStr">
        <is>
          <t>Tête sonique avec brins témoins d'usure</t>
        </is>
      </c>
      <c r="K17" s="37" t="inlineStr">
        <is>
          <t>N/D</t>
        </is>
      </c>
      <c r="L17" s="37" t="inlineStr">
        <is>
          <t>N/D</t>
        </is>
      </c>
      <c r="M17" s="37" t="inlineStr">
        <is>
          <t>N/D</t>
        </is>
      </c>
      <c r="N17" s="37" t="inlineStr">
        <is>
          <t>N/D</t>
        </is>
      </c>
      <c r="O17" s="37" t="inlineStr">
        <is>
          <t>N/D</t>
        </is>
      </c>
      <c r="P17" s="37" t="inlineStr">
        <is>
          <t>N/D</t>
        </is>
      </c>
      <c r="Q17" s="20" t="inlineStr">
        <is>
          <t>Non vérifié sur CI, SN, BF, CM, BJ.</t>
        </is>
      </c>
      <c r="R17" s="20" t="inlineStr">
        <is>
          <t>Marketplaces</t>
        </is>
      </c>
      <c r="S17" s="21" t="inlineStr">
        <is>
          <t>https://www.amazon.com/usmile-Replacement-Toothbrush-Electric-Reminder/dp/B09D3SHP7K</t>
        </is>
      </c>
      <c r="T17" s="21" t="inlineStr">
        <is>
          <t>https://usmile.us/products/usmile-whitening-brush-head-2-packs</t>
        </is>
      </c>
      <c r="U17" s="20" t="inlineStr">
        <is>
          <t>Rapprochement sur les têtes soniques à fonction additionnelle et le prix par tête. Brins témoins qui décolorent à l'usure, argument de renouvellement récurrent.</t>
        </is>
      </c>
      <c r="V17" s="22">
        <f>IFERROR(IF(IF('Relevé prix'!$B$1="SN",VLOOKUP($G17,'Relevé prix'!$A$4:$N$60,11,FALSE),VLOOKUP($G17,'Relevé prix'!$A$4:$N$60,7,FALSE))=0,"",IF('Relevé prix'!$B$1="SN",VLOOKUP($G17,'Relevé prix'!$A$4:$N$60,11,FALSE),VLOOKUP($G17,'Relevé prix'!$A$4:$N$60,7,FALSE))),"")</f>
        <v/>
      </c>
      <c r="W17" s="23">
        <f>IFERROR(IF(IF('Relevé prix'!$B$1="SN",VLOOKUP($G17,'Relevé prix'!$A$4:$N$60,12,FALSE),VLOOKUP($G17,'Relevé prix'!$A$4:$N$60,8,FALSE))=0,"",IF('Relevé prix'!$B$1="SN",VLOOKUP($G17,'Relevé prix'!$A$4:$N$60,12,FALSE),VLOOKUP($G17,'Relevé prix'!$A$4:$N$60,8,FALSE))),"")</f>
        <v/>
      </c>
      <c r="X17" s="24" t="n"/>
      <c r="Y17" s="25" t="n"/>
      <c r="Z17" s="25" t="n"/>
      <c r="AA17" s="22">
        <f>IF(OR(X17="",V17=""),"",X17-V17)</f>
        <v/>
      </c>
      <c r="AB17" s="26">
        <f>IF(OR(X17="",V17="",V17=0),"",(X17-V17)/V17)</f>
        <v/>
      </c>
      <c r="AC17" s="27">
        <f>IF(AB17="","",IF(AB17&lt;-0.05,"Moins cher",IF(AB17&gt;0.05,"Plus cher","Équivalent")))</f>
        <v/>
      </c>
    </row>
    <row r="18">
      <c r="A18" s="13" t="inlineStr">
        <is>
          <t>SG-108</t>
        </is>
      </c>
      <c r="B18" s="13" t="inlineStr">
        <is>
          <t>Tête de brosse</t>
        </is>
      </c>
      <c r="C18" s="13" t="inlineStr">
        <is>
          <t>Tête standard</t>
        </is>
      </c>
      <c r="D18" s="40" t="inlineStr">
        <is>
          <t>N/D</t>
        </is>
      </c>
      <c r="E18" s="43" t="inlineStr">
        <is>
          <t>N/D</t>
        </is>
      </c>
      <c r="F18" s="19" t="n">
        <v>37</v>
      </c>
      <c r="G18" s="20" t="inlineStr">
        <is>
          <t>SONICARE_C3</t>
        </is>
      </c>
      <c r="H18" s="20" t="inlineStr">
        <is>
          <t>Sonicare C3 Premium Plaque Control (pack de 4)</t>
        </is>
      </c>
      <c r="I18" s="20" t="inlineStr">
        <is>
          <t>Philips</t>
        </is>
      </c>
      <c r="J18" s="20" t="inlineStr">
        <is>
          <t>Tête sonique standard</t>
        </is>
      </c>
      <c r="K18" s="37" t="inlineStr">
        <is>
          <t>N/D</t>
        </is>
      </c>
      <c r="L18" s="37" t="inlineStr">
        <is>
          <t>N/D</t>
        </is>
      </c>
      <c r="M18" s="37" t="inlineStr">
        <is>
          <t>N/D</t>
        </is>
      </c>
      <c r="N18" s="37" t="inlineStr">
        <is>
          <t>N/D</t>
        </is>
      </c>
      <c r="O18" s="37" t="inlineStr">
        <is>
          <t>N/D</t>
        </is>
      </c>
      <c r="P18" s="37" t="inlineStr">
        <is>
          <t>N/D</t>
        </is>
      </c>
      <c r="Q18" s="20" t="inlineStr">
        <is>
          <t>Non vérifié sur CI, SN, BF, CM, BJ.</t>
        </is>
      </c>
      <c r="R18" s="20" t="inlineStr">
        <is>
          <t>Noon UAE, pharmacies</t>
        </is>
      </c>
      <c r="S18" s="21" t="inlineStr">
        <is>
          <t>https://www.usa.philips.com/c-p/HX6810_50/sonicare-protectiveclean-4100-sonic-electric-toothbrush/partsandaccessories</t>
        </is>
      </c>
      <c r="T18" s="21" t="inlineStr">
        <is>
          <t>https://www.ebay.com/itm/277611730525</t>
        </is>
      </c>
      <c r="U18" s="20" t="inlineStr">
        <is>
          <t>Rapprochement sur le segment des têtes soniques standard. La comparaison porte sur le prix par tête, pas sur la compatibilité mécanique. Tête à puce BrushSync. Benchmark du prix par tête sur le segment sonique premium.</t>
        </is>
      </c>
      <c r="V18" s="22">
        <f>IFERROR(IF(IF('Relevé prix'!$B$1="SN",VLOOKUP($G18,'Relevé prix'!$A$4:$N$60,11,FALSE),VLOOKUP($G18,'Relevé prix'!$A$4:$N$60,7,FALSE))=0,"",IF('Relevé prix'!$B$1="SN",VLOOKUP($G18,'Relevé prix'!$A$4:$N$60,11,FALSE),VLOOKUP($G18,'Relevé prix'!$A$4:$N$60,7,FALSE))),"")</f>
        <v/>
      </c>
      <c r="W18" s="23">
        <f>IFERROR(IF(IF('Relevé prix'!$B$1="SN",VLOOKUP($G18,'Relevé prix'!$A$4:$N$60,12,FALSE),VLOOKUP($G18,'Relevé prix'!$A$4:$N$60,8,FALSE))=0,"",IF('Relevé prix'!$B$1="SN",VLOOKUP($G18,'Relevé prix'!$A$4:$N$60,12,FALSE),VLOOKUP($G18,'Relevé prix'!$A$4:$N$60,8,FALSE))),"")</f>
        <v/>
      </c>
      <c r="X18" s="24" t="n"/>
      <c r="Y18" s="25" t="n"/>
      <c r="Z18" s="25" t="n"/>
      <c r="AA18" s="22">
        <f>IF(OR(X18="",V18=""),"",X18-V18)</f>
        <v/>
      </c>
      <c r="AB18" s="26">
        <f>IF(OR(X18="",V18="",V18=0),"",(X18-V18)/V18)</f>
        <v/>
      </c>
      <c r="AC18" s="27">
        <f>IF(AB18="","",IF(AB18&lt;-0.05,"Moins cher",IF(AB18&gt;0.05,"Plus cher","Équivalent")))</f>
        <v/>
      </c>
    </row>
    <row r="19">
      <c r="A19" s="28" t="inlineStr">
        <is>
          <t>SG-010</t>
        </is>
      </c>
      <c r="B19" s="28" t="inlineStr">
        <is>
          <t>Tête de brosse</t>
        </is>
      </c>
      <c r="C19" s="28" t="inlineStr">
        <is>
          <t>Tête standard</t>
        </is>
      </c>
      <c r="D19" s="36" t="inlineStr">
        <is>
          <t>N/D</t>
        </is>
      </c>
      <c r="E19" s="44" t="inlineStr">
        <is>
          <t>N/D</t>
        </is>
      </c>
      <c r="F19" s="33" t="n">
        <v>37</v>
      </c>
      <c r="G19" s="20" t="inlineStr">
        <is>
          <t>SONICARE_C3</t>
        </is>
      </c>
      <c r="H19" s="20" t="inlineStr">
        <is>
          <t>Sonicare C3 Premium Plaque Control (pack de 4)</t>
        </is>
      </c>
      <c r="I19" s="20" t="inlineStr">
        <is>
          <t>Philips</t>
        </is>
      </c>
      <c r="J19" s="20" t="inlineStr">
        <is>
          <t>Tête sonique standard</t>
        </is>
      </c>
      <c r="K19" s="37" t="inlineStr">
        <is>
          <t>N/D</t>
        </is>
      </c>
      <c r="L19" s="37" t="inlineStr">
        <is>
          <t>N/D</t>
        </is>
      </c>
      <c r="M19" s="37" t="inlineStr">
        <is>
          <t>N/D</t>
        </is>
      </c>
      <c r="N19" s="37" t="inlineStr">
        <is>
          <t>N/D</t>
        </is>
      </c>
      <c r="O19" s="37" t="inlineStr">
        <is>
          <t>N/D</t>
        </is>
      </c>
      <c r="P19" s="37" t="inlineStr">
        <is>
          <t>N/D</t>
        </is>
      </c>
      <c r="Q19" s="20" t="inlineStr">
        <is>
          <t>Non vérifié sur CI, SN, BF, CM, BJ.</t>
        </is>
      </c>
      <c r="R19" s="20" t="inlineStr">
        <is>
          <t>Noon UAE, pharmacies</t>
        </is>
      </c>
      <c r="S19" s="21" t="inlineStr">
        <is>
          <t>https://www.usa.philips.com/c-p/HX6810_50/sonicare-protectiveclean-4100-sonic-electric-toothbrush/partsandaccessories</t>
        </is>
      </c>
      <c r="T19" s="21" t="inlineStr">
        <is>
          <t>https://www.ebay.com/itm/277611730525</t>
        </is>
      </c>
      <c r="U19" s="20" t="inlineStr">
        <is>
          <t>Rapprochement sur le segment des têtes soniques standard. La comparaison porte sur le prix par tête, pas sur la compatibilité mécanique. Tête à puce BrushSync. Benchmark du prix par tête sur le segment sonique premium.</t>
        </is>
      </c>
      <c r="V19" s="22">
        <f>IFERROR(IF(IF('Relevé prix'!$B$1="SN",VLOOKUP($G19,'Relevé prix'!$A$4:$N$60,11,FALSE),VLOOKUP($G19,'Relevé prix'!$A$4:$N$60,7,FALSE))=0,"",IF('Relevé prix'!$B$1="SN",VLOOKUP($G19,'Relevé prix'!$A$4:$N$60,11,FALSE),VLOOKUP($G19,'Relevé prix'!$A$4:$N$60,7,FALSE))),"")</f>
        <v/>
      </c>
      <c r="W19" s="23">
        <f>IFERROR(IF(IF('Relevé prix'!$B$1="SN",VLOOKUP($G19,'Relevé prix'!$A$4:$N$60,12,FALSE),VLOOKUP($G19,'Relevé prix'!$A$4:$N$60,8,FALSE))=0,"",IF('Relevé prix'!$B$1="SN",VLOOKUP($G19,'Relevé prix'!$A$4:$N$60,12,FALSE),VLOOKUP($G19,'Relevé prix'!$A$4:$N$60,8,FALSE))),"")</f>
        <v/>
      </c>
      <c r="X19" s="24" t="n"/>
      <c r="Y19" s="25" t="n"/>
      <c r="Z19" s="25" t="n"/>
      <c r="AA19" s="22">
        <f>IF(OR(X19="",V19=""),"",X19-V19)</f>
        <v/>
      </c>
      <c r="AB19" s="26">
        <f>IF(OR(X19="",V19="",V19=0),"",(X19-V19)/V19)</f>
        <v/>
      </c>
      <c r="AC19" s="27">
        <f>IF(AB19="","",IF(AB19&lt;-0.05,"Moins cher",IF(AB19&gt;0.05,"Plus cher","Équivalent")))</f>
        <v/>
      </c>
    </row>
    <row r="20">
      <c r="A20" s="13" t="inlineStr">
        <is>
          <t>SG-917</t>
        </is>
      </c>
      <c r="B20" s="13" t="inlineStr">
        <is>
          <t>Tête de brosse</t>
        </is>
      </c>
      <c r="C20" s="13" t="inlineStr">
        <is>
          <t>Tête standard</t>
        </is>
      </c>
      <c r="D20" s="40" t="inlineStr">
        <is>
          <t>N/D</t>
        </is>
      </c>
      <c r="E20" s="18" t="inlineStr">
        <is>
          <t>ND (référence identique à la brosse SG-917, à confirmer auprès du fournisseur)</t>
        </is>
      </c>
      <c r="F20" s="19" t="n">
        <v>37</v>
      </c>
      <c r="G20" s="20" t="inlineStr">
        <is>
          <t>SONICARE_C3</t>
        </is>
      </c>
      <c r="H20" s="20" t="inlineStr">
        <is>
          <t>Sonicare C3 Premium Plaque Control (pack de 4)</t>
        </is>
      </c>
      <c r="I20" s="20" t="inlineStr">
        <is>
          <t>Philips</t>
        </is>
      </c>
      <c r="J20" s="20" t="inlineStr">
        <is>
          <t>Tête sonique standard</t>
        </is>
      </c>
      <c r="K20" s="37" t="inlineStr">
        <is>
          <t>N/D</t>
        </is>
      </c>
      <c r="L20" s="37" t="inlineStr">
        <is>
          <t>N/D</t>
        </is>
      </c>
      <c r="M20" s="37" t="inlineStr">
        <is>
          <t>N/D</t>
        </is>
      </c>
      <c r="N20" s="37" t="inlineStr">
        <is>
          <t>N/D</t>
        </is>
      </c>
      <c r="O20" s="37" t="inlineStr">
        <is>
          <t>N/D</t>
        </is>
      </c>
      <c r="P20" s="37" t="inlineStr">
        <is>
          <t>N/D</t>
        </is>
      </c>
      <c r="Q20" s="20" t="inlineStr">
        <is>
          <t>Non vérifié sur CI, SN, BF, CM, BJ.</t>
        </is>
      </c>
      <c r="R20" s="20" t="inlineStr">
        <is>
          <t>Noon UAE, pharmacies</t>
        </is>
      </c>
      <c r="S20" s="21" t="inlineStr">
        <is>
          <t>https://www.usa.philips.com/c-p/HX6810_50/sonicare-protectiveclean-4100-sonic-electric-toothbrush/partsandaccessories</t>
        </is>
      </c>
      <c r="T20" s="21" t="inlineStr">
        <is>
          <t>https://www.ebay.com/itm/277611730525</t>
        </is>
      </c>
      <c r="U20" s="20" t="inlineStr">
        <is>
          <t>Rapprochement sur le segment des têtes soniques standard. La comparaison porte sur le prix par tête, pas sur la compatibilité mécanique. Tête à puce BrushSync. Benchmark du prix par tête sur le segment sonique premium.</t>
        </is>
      </c>
      <c r="V20" s="22">
        <f>IFERROR(IF(IF('Relevé prix'!$B$1="SN",VLOOKUP($G20,'Relevé prix'!$A$4:$N$60,11,FALSE),VLOOKUP($G20,'Relevé prix'!$A$4:$N$60,7,FALSE))=0,"",IF('Relevé prix'!$B$1="SN",VLOOKUP($G20,'Relevé prix'!$A$4:$N$60,11,FALSE),VLOOKUP($G20,'Relevé prix'!$A$4:$N$60,7,FALSE))),"")</f>
        <v/>
      </c>
      <c r="W20" s="23">
        <f>IFERROR(IF(IF('Relevé prix'!$B$1="SN",VLOOKUP($G20,'Relevé prix'!$A$4:$N$60,12,FALSE),VLOOKUP($G20,'Relevé prix'!$A$4:$N$60,8,FALSE))=0,"",IF('Relevé prix'!$B$1="SN",VLOOKUP($G20,'Relevé prix'!$A$4:$N$60,12,FALSE),VLOOKUP($G20,'Relevé prix'!$A$4:$N$60,8,FALSE))),"")</f>
        <v/>
      </c>
      <c r="X20" s="24" t="n"/>
      <c r="Y20" s="25" t="n"/>
      <c r="Z20" s="25" t="n"/>
      <c r="AA20" s="22">
        <f>IF(OR(X20="",V20=""),"",X20-V20)</f>
        <v/>
      </c>
      <c r="AB20" s="26">
        <f>IF(OR(X20="",V20="",V20=0),"",(X20-V20)/V20)</f>
        <v/>
      </c>
      <c r="AC20" s="27">
        <f>IF(AB20="","",IF(AB20&lt;-0.05,"Moins cher",IF(AB20&gt;0.05,"Plus cher","Équivalent")))</f>
        <v/>
      </c>
    </row>
    <row r="21">
      <c r="A21" s="28" t="inlineStr">
        <is>
          <t>SG-017</t>
        </is>
      </c>
      <c r="B21" s="28" t="inlineStr">
        <is>
          <t>Tête de brosse</t>
        </is>
      </c>
      <c r="C21" s="28" t="inlineStr">
        <is>
          <t>Tête standard</t>
        </is>
      </c>
      <c r="D21" s="36" t="inlineStr">
        <is>
          <t>N/D</t>
        </is>
      </c>
      <c r="E21" s="44" t="inlineStr">
        <is>
          <t>N/D</t>
        </is>
      </c>
      <c r="F21" s="33" t="n">
        <v>37</v>
      </c>
      <c r="G21" s="20" t="inlineStr">
        <is>
          <t>SONICARE_C3</t>
        </is>
      </c>
      <c r="H21" s="20" t="inlineStr">
        <is>
          <t>Sonicare C3 Premium Plaque Control (pack de 4)</t>
        </is>
      </c>
      <c r="I21" s="20" t="inlineStr">
        <is>
          <t>Philips</t>
        </is>
      </c>
      <c r="J21" s="20" t="inlineStr">
        <is>
          <t>Tête sonique standard</t>
        </is>
      </c>
      <c r="K21" s="37" t="inlineStr">
        <is>
          <t>N/D</t>
        </is>
      </c>
      <c r="L21" s="37" t="inlineStr">
        <is>
          <t>N/D</t>
        </is>
      </c>
      <c r="M21" s="37" t="inlineStr">
        <is>
          <t>N/D</t>
        </is>
      </c>
      <c r="N21" s="37" t="inlineStr">
        <is>
          <t>N/D</t>
        </is>
      </c>
      <c r="O21" s="37" t="inlineStr">
        <is>
          <t>N/D</t>
        </is>
      </c>
      <c r="P21" s="37" t="inlineStr">
        <is>
          <t>N/D</t>
        </is>
      </c>
      <c r="Q21" s="20" t="inlineStr">
        <is>
          <t>Non vérifié sur CI, SN, BF, CM, BJ.</t>
        </is>
      </c>
      <c r="R21" s="20" t="inlineStr">
        <is>
          <t>Noon UAE, pharmacies</t>
        </is>
      </c>
      <c r="S21" s="21" t="inlineStr">
        <is>
          <t>https://www.usa.philips.com/c-p/HX6810_50/sonicare-protectiveclean-4100-sonic-electric-toothbrush/partsandaccessories</t>
        </is>
      </c>
      <c r="T21" s="21" t="inlineStr">
        <is>
          <t>https://www.ebay.com/itm/277611730525</t>
        </is>
      </c>
      <c r="U21" s="20" t="inlineStr">
        <is>
          <t>Rapprochement sur le segment des têtes soniques standard. La comparaison porte sur le prix par tête, pas sur la compatibilité mécanique. Tête à puce BrushSync. Benchmark du prix par tête sur le segment sonique premium.</t>
        </is>
      </c>
      <c r="V21" s="22">
        <f>IFERROR(IF(IF('Relevé prix'!$B$1="SN",VLOOKUP($G21,'Relevé prix'!$A$4:$N$60,11,FALSE),VLOOKUP($G21,'Relevé prix'!$A$4:$N$60,7,FALSE))=0,"",IF('Relevé prix'!$B$1="SN",VLOOKUP($G21,'Relevé prix'!$A$4:$N$60,11,FALSE),VLOOKUP($G21,'Relevé prix'!$A$4:$N$60,7,FALSE))),"")</f>
        <v/>
      </c>
      <c r="W21" s="23">
        <f>IFERROR(IF(IF('Relevé prix'!$B$1="SN",VLOOKUP($G21,'Relevé prix'!$A$4:$N$60,12,FALSE),VLOOKUP($G21,'Relevé prix'!$A$4:$N$60,8,FALSE))=0,"",IF('Relevé prix'!$B$1="SN",VLOOKUP($G21,'Relevé prix'!$A$4:$N$60,12,FALSE),VLOOKUP($G21,'Relevé prix'!$A$4:$N$60,8,FALSE))),"")</f>
        <v/>
      </c>
      <c r="X21" s="24" t="n"/>
      <c r="Y21" s="25" t="n"/>
      <c r="Z21" s="25" t="n"/>
      <c r="AA21" s="22">
        <f>IF(OR(X21="",V21=""),"",X21-V21)</f>
        <v/>
      </c>
      <c r="AB21" s="26">
        <f>IF(OR(X21="",V21="",V21=0),"",(X21-V21)/V21)</f>
        <v/>
      </c>
      <c r="AC21" s="27">
        <f>IF(AB21="","",IF(AB21&lt;-0.05,"Moins cher",IF(AB21&gt;0.05,"Plus cher","Équivalent")))</f>
        <v/>
      </c>
    </row>
    <row r="22">
      <c r="A22" s="13" t="inlineStr">
        <is>
          <t>SG-002</t>
        </is>
      </c>
      <c r="B22" s="13" t="inlineStr">
        <is>
          <t>Tête de brosse</t>
        </is>
      </c>
      <c r="C22" s="13" t="inlineStr">
        <is>
          <t>Tête standard</t>
        </is>
      </c>
      <c r="D22" s="40" t="inlineStr">
        <is>
          <t>N/D</t>
        </is>
      </c>
      <c r="E22" s="43" t="inlineStr">
        <is>
          <t>N/D</t>
        </is>
      </c>
      <c r="F22" s="19" t="n">
        <v>37</v>
      </c>
      <c r="G22" s="20" t="inlineStr">
        <is>
          <t>SONICARE_C3</t>
        </is>
      </c>
      <c r="H22" s="20" t="inlineStr">
        <is>
          <t>Sonicare C3 Premium Plaque Control (pack de 4)</t>
        </is>
      </c>
      <c r="I22" s="20" t="inlineStr">
        <is>
          <t>Philips</t>
        </is>
      </c>
      <c r="J22" s="20" t="inlineStr">
        <is>
          <t>Tête sonique standard</t>
        </is>
      </c>
      <c r="K22" s="37" t="inlineStr">
        <is>
          <t>N/D</t>
        </is>
      </c>
      <c r="L22" s="37" t="inlineStr">
        <is>
          <t>N/D</t>
        </is>
      </c>
      <c r="M22" s="37" t="inlineStr">
        <is>
          <t>N/D</t>
        </is>
      </c>
      <c r="N22" s="37" t="inlineStr">
        <is>
          <t>N/D</t>
        </is>
      </c>
      <c r="O22" s="37" t="inlineStr">
        <is>
          <t>N/D</t>
        </is>
      </c>
      <c r="P22" s="37" t="inlineStr">
        <is>
          <t>N/D</t>
        </is>
      </c>
      <c r="Q22" s="20" t="inlineStr">
        <is>
          <t>Non vérifié sur CI, SN, BF, CM, BJ.</t>
        </is>
      </c>
      <c r="R22" s="20" t="inlineStr">
        <is>
          <t>Noon UAE, pharmacies</t>
        </is>
      </c>
      <c r="S22" s="21" t="inlineStr">
        <is>
          <t>https://www.usa.philips.com/c-p/HX6810_50/sonicare-protectiveclean-4100-sonic-electric-toothbrush/partsandaccessories</t>
        </is>
      </c>
      <c r="T22" s="21" t="inlineStr">
        <is>
          <t>https://www.ebay.com/itm/277611730525</t>
        </is>
      </c>
      <c r="U22" s="20" t="inlineStr">
        <is>
          <t>Rapprochement sur le segment des têtes soniques standard. La comparaison porte sur le prix par tête, pas sur la compatibilité mécanique. Tête à puce BrushSync. Benchmark du prix par tête sur le segment sonique premium.</t>
        </is>
      </c>
      <c r="V22" s="22">
        <f>IFERROR(IF(IF('Relevé prix'!$B$1="SN",VLOOKUP($G22,'Relevé prix'!$A$4:$N$60,11,FALSE),VLOOKUP($G22,'Relevé prix'!$A$4:$N$60,7,FALSE))=0,"",IF('Relevé prix'!$B$1="SN",VLOOKUP($G22,'Relevé prix'!$A$4:$N$60,11,FALSE),VLOOKUP($G22,'Relevé prix'!$A$4:$N$60,7,FALSE))),"")</f>
        <v/>
      </c>
      <c r="W22" s="23">
        <f>IFERROR(IF(IF('Relevé prix'!$B$1="SN",VLOOKUP($G22,'Relevé prix'!$A$4:$N$60,12,FALSE),VLOOKUP($G22,'Relevé prix'!$A$4:$N$60,8,FALSE))=0,"",IF('Relevé prix'!$B$1="SN",VLOOKUP($G22,'Relevé prix'!$A$4:$N$60,12,FALSE),VLOOKUP($G22,'Relevé prix'!$A$4:$N$60,8,FALSE))),"")</f>
        <v/>
      </c>
      <c r="X22" s="24" t="n"/>
      <c r="Y22" s="25" t="n"/>
      <c r="Z22" s="25" t="n"/>
      <c r="AA22" s="22">
        <f>IF(OR(X22="",V22=""),"",X22-V22)</f>
        <v/>
      </c>
      <c r="AB22" s="26">
        <f>IF(OR(X22="",V22="",V22=0),"",(X22-V22)/V22)</f>
        <v/>
      </c>
      <c r="AC22" s="27">
        <f>IF(AB22="","",IF(AB22&lt;-0.05,"Moins cher",IF(AB22&gt;0.05,"Plus cher","Équivalent")))</f>
        <v/>
      </c>
    </row>
    <row r="23">
      <c r="A23" s="28" t="inlineStr">
        <is>
          <t>SG-012</t>
        </is>
      </c>
      <c r="B23" s="28" t="inlineStr">
        <is>
          <t>Tête de brosse</t>
        </is>
      </c>
      <c r="C23" s="28" t="inlineStr">
        <is>
          <t>Tête interdentaire</t>
        </is>
      </c>
      <c r="D23" s="36" t="inlineStr">
        <is>
          <t>N/D</t>
        </is>
      </c>
      <c r="E23" s="44" t="inlineStr">
        <is>
          <t>N/D</t>
        </is>
      </c>
      <c r="F23" s="33" t="n">
        <v>37</v>
      </c>
      <c r="G23" s="20" t="inlineStr">
        <is>
          <t>SONICARE_C3</t>
        </is>
      </c>
      <c r="H23" s="20" t="inlineStr">
        <is>
          <t>Sonicare C3 Premium Plaque Control (pack de 4)</t>
        </is>
      </c>
      <c r="I23" s="20" t="inlineStr">
        <is>
          <t>Philips</t>
        </is>
      </c>
      <c r="J23" s="20" t="inlineStr">
        <is>
          <t>Tête sonique standard</t>
        </is>
      </c>
      <c r="K23" s="37" t="inlineStr">
        <is>
          <t>N/D</t>
        </is>
      </c>
      <c r="L23" s="37" t="inlineStr">
        <is>
          <t>N/D</t>
        </is>
      </c>
      <c r="M23" s="37" t="inlineStr">
        <is>
          <t>N/D</t>
        </is>
      </c>
      <c r="N23" s="37" t="inlineStr">
        <is>
          <t>N/D</t>
        </is>
      </c>
      <c r="O23" s="37" t="inlineStr">
        <is>
          <t>N/D</t>
        </is>
      </c>
      <c r="P23" s="37" t="inlineStr">
        <is>
          <t>N/D</t>
        </is>
      </c>
      <c r="Q23" s="20" t="inlineStr">
        <is>
          <t>Non vérifié sur CI, SN, BF, CM, BJ.</t>
        </is>
      </c>
      <c r="R23" s="20" t="inlineStr">
        <is>
          <t>Noon UAE, pharmacies</t>
        </is>
      </c>
      <c r="S23" s="21" t="inlineStr">
        <is>
          <t>https://www.usa.philips.com/c-p/HX6810_50/sonicare-protectiveclean-4100-sonic-electric-toothbrush/partsandaccessories</t>
        </is>
      </c>
      <c r="T23" s="21" t="inlineStr">
        <is>
          <t>https://www.ebay.com/itm/277611730525</t>
        </is>
      </c>
      <c r="U23" s="20" t="inlineStr">
        <is>
          <t>Rapprochement sur le segment des têtes soniques standard. La comparaison porte sur le prix par tête, pas sur la compatibilité mécanique. Tête à puce BrushSync. Benchmark du prix par tête sur le segment sonique premium.</t>
        </is>
      </c>
      <c r="V23" s="22">
        <f>IFERROR(IF(IF('Relevé prix'!$B$1="SN",VLOOKUP($G23,'Relevé prix'!$A$4:$N$60,11,FALSE),VLOOKUP($G23,'Relevé prix'!$A$4:$N$60,7,FALSE))=0,"",IF('Relevé prix'!$B$1="SN",VLOOKUP($G23,'Relevé prix'!$A$4:$N$60,11,FALSE),VLOOKUP($G23,'Relevé prix'!$A$4:$N$60,7,FALSE))),"")</f>
        <v/>
      </c>
      <c r="W23" s="23">
        <f>IFERROR(IF(IF('Relevé prix'!$B$1="SN",VLOOKUP($G23,'Relevé prix'!$A$4:$N$60,12,FALSE),VLOOKUP($G23,'Relevé prix'!$A$4:$N$60,8,FALSE))=0,"",IF('Relevé prix'!$B$1="SN",VLOOKUP($G23,'Relevé prix'!$A$4:$N$60,12,FALSE),VLOOKUP($G23,'Relevé prix'!$A$4:$N$60,8,FALSE))),"")</f>
        <v/>
      </c>
      <c r="X23" s="24" t="n"/>
      <c r="Y23" s="25" t="n"/>
      <c r="Z23" s="25" t="n"/>
      <c r="AA23" s="22">
        <f>IF(OR(X23="",V23=""),"",X23-V23)</f>
        <v/>
      </c>
      <c r="AB23" s="26">
        <f>IF(OR(X23="",V23="",V23=0),"",(X23-V23)/V23)</f>
        <v/>
      </c>
      <c r="AC23" s="27">
        <f>IF(AB23="","",IF(AB23&lt;-0.05,"Moins cher",IF(AB23&gt;0.05,"Plus cher","Équivalent")))</f>
        <v/>
      </c>
    </row>
    <row r="24">
      <c r="A24" s="13" t="inlineStr">
        <is>
          <t>SG-A923</t>
        </is>
      </c>
      <c r="B24" s="13" t="inlineStr">
        <is>
          <t>Tête de brosse</t>
        </is>
      </c>
      <c r="C24" s="13" t="inlineStr">
        <is>
          <t>Tête standard</t>
        </is>
      </c>
      <c r="D24" s="13" t="inlineStr">
        <is>
          <t>Tenon plastique</t>
        </is>
      </c>
      <c r="E24" s="18" t="inlineStr">
        <is>
          <t>Séries à tenon plastique</t>
        </is>
      </c>
      <c r="F24" s="19" t="n">
        <v>50</v>
      </c>
      <c r="G24" s="20" t="inlineStr">
        <is>
          <t>COLGATE_HEADS</t>
        </is>
      </c>
      <c r="H24" s="20" t="inlineStr">
        <is>
          <t>360 Deep Clean, têtes de rechange</t>
        </is>
      </c>
      <c r="I24" s="20" t="inlineStr">
        <is>
          <t>Colgate</t>
        </is>
      </c>
      <c r="J24" s="20" t="inlineStr">
        <is>
          <t>Tête sonique pour brosse à piles</t>
        </is>
      </c>
      <c r="K24" s="37" t="inlineStr">
        <is>
          <t>N/D</t>
        </is>
      </c>
      <c r="L24" s="37" t="inlineStr">
        <is>
          <t>N/D</t>
        </is>
      </c>
      <c r="M24" s="37" t="inlineStr">
        <is>
          <t>N/D</t>
        </is>
      </c>
      <c r="N24" s="37" t="inlineStr">
        <is>
          <t>N/D</t>
        </is>
      </c>
      <c r="O24" s="37" t="inlineStr">
        <is>
          <t>N/D</t>
        </is>
      </c>
      <c r="P24" s="37" t="inlineStr">
        <is>
          <t>N/D</t>
        </is>
      </c>
      <c r="Q24" s="20" t="inlineStr">
        <is>
          <t>Non vérifié sur CI, SN, BF, CM, BJ. Marque Colgate largement distribuée en GMS et pharmacie.</t>
        </is>
      </c>
      <c r="R24" s="20" t="inlineStr">
        <is>
          <t>GMS, pharmacies</t>
        </is>
      </c>
      <c r="S24" s="21" t="inlineStr">
        <is>
          <t>https://www.colgate.com/en-my/products/toothbrush/colgate-proclinical-150-deepclean-battery-powered-toothbrush</t>
        </is>
      </c>
      <c r="T24" s="21" t="inlineStr">
        <is>
          <t>https://www.colgate.com/en-my/products/toothbrush/colgate-proclinical-150-charcoal-battery-powered-toothbrush</t>
        </is>
      </c>
      <c r="U24" s="20" t="inlineStr">
        <is>
          <t>Rapprochement sur le segment des têtes pour brosses à piles et le prix par tête. Tête de rechange du segment brosses à piles, benchmark du prix par tête en entrée de gamme.</t>
        </is>
      </c>
      <c r="V24" s="22">
        <f>IFERROR(IF(IF('Relevé prix'!$B$1="SN",VLOOKUP($G24,'Relevé prix'!$A$4:$N$60,11,FALSE),VLOOKUP($G24,'Relevé prix'!$A$4:$N$60,7,FALSE))=0,"",IF('Relevé prix'!$B$1="SN",VLOOKUP($G24,'Relevé prix'!$A$4:$N$60,11,FALSE),VLOOKUP($G24,'Relevé prix'!$A$4:$N$60,7,FALSE))),"")</f>
        <v/>
      </c>
      <c r="W24" s="23">
        <f>IFERROR(IF(IF('Relevé prix'!$B$1="SN",VLOOKUP($G24,'Relevé prix'!$A$4:$N$60,12,FALSE),VLOOKUP($G24,'Relevé prix'!$A$4:$N$60,8,FALSE))=0,"",IF('Relevé prix'!$B$1="SN",VLOOKUP($G24,'Relevé prix'!$A$4:$N$60,12,FALSE),VLOOKUP($G24,'Relevé prix'!$A$4:$N$60,8,FALSE))),"")</f>
        <v/>
      </c>
      <c r="X24" s="24" t="n"/>
      <c r="Y24" s="25" t="n"/>
      <c r="Z24" s="25" t="n"/>
      <c r="AA24" s="22">
        <f>IF(OR(X24="",V24=""),"",X24-V24)</f>
        <v/>
      </c>
      <c r="AB24" s="26">
        <f>IF(OR(X24="",V24="",V24=0),"",(X24-V24)/V24)</f>
        <v/>
      </c>
      <c r="AC24" s="27">
        <f>IF(AB24="","",IF(AB24&lt;-0.05,"Moins cher",IF(AB24&gt;0.05,"Plus cher","Équivalent")))</f>
        <v/>
      </c>
    </row>
    <row r="25">
      <c r="A25" s="28" t="inlineStr">
        <is>
          <t>SG-A021</t>
        </is>
      </c>
      <c r="B25" s="28" t="inlineStr">
        <is>
          <t>Tête de brosse</t>
        </is>
      </c>
      <c r="C25" s="28" t="inlineStr">
        <is>
          <t>Tête standard</t>
        </is>
      </c>
      <c r="D25" s="28" t="inlineStr">
        <is>
          <t>Tenon plastique</t>
        </is>
      </c>
      <c r="E25" s="32" t="inlineStr">
        <is>
          <t>Séries à tenon plastique</t>
        </is>
      </c>
      <c r="F25" s="33" t="n">
        <v>50</v>
      </c>
      <c r="G25" s="20" t="inlineStr">
        <is>
          <t>COLGATE_HEADS</t>
        </is>
      </c>
      <c r="H25" s="20" t="inlineStr">
        <is>
          <t>360 Deep Clean, têtes de rechange</t>
        </is>
      </c>
      <c r="I25" s="20" t="inlineStr">
        <is>
          <t>Colgate</t>
        </is>
      </c>
      <c r="J25" s="20" t="inlineStr">
        <is>
          <t>Tête sonique pour brosse à piles</t>
        </is>
      </c>
      <c r="K25" s="37" t="inlineStr">
        <is>
          <t>N/D</t>
        </is>
      </c>
      <c r="L25" s="37" t="inlineStr">
        <is>
          <t>N/D</t>
        </is>
      </c>
      <c r="M25" s="37" t="inlineStr">
        <is>
          <t>N/D</t>
        </is>
      </c>
      <c r="N25" s="37" t="inlineStr">
        <is>
          <t>N/D</t>
        </is>
      </c>
      <c r="O25" s="37" t="inlineStr">
        <is>
          <t>N/D</t>
        </is>
      </c>
      <c r="P25" s="37" t="inlineStr">
        <is>
          <t>N/D</t>
        </is>
      </c>
      <c r="Q25" s="20" t="inlineStr">
        <is>
          <t>Non vérifié sur CI, SN, BF, CM, BJ. Marque Colgate largement distribuée en GMS et pharmacie.</t>
        </is>
      </c>
      <c r="R25" s="20" t="inlineStr">
        <is>
          <t>GMS, pharmacies</t>
        </is>
      </c>
      <c r="S25" s="21" t="inlineStr">
        <is>
          <t>https://www.colgate.com/en-my/products/toothbrush/colgate-proclinical-150-deepclean-battery-powered-toothbrush</t>
        </is>
      </c>
      <c r="T25" s="21" t="inlineStr">
        <is>
          <t>https://www.colgate.com/en-my/products/toothbrush/colgate-proclinical-150-charcoal-battery-powered-toothbrush</t>
        </is>
      </c>
      <c r="U25" s="20" t="inlineStr">
        <is>
          <t>Rapprochement sur le segment des têtes pour brosses à piles et le prix par tête. Tête de rechange du segment brosses à piles, benchmark du prix par tête en entrée de gamme.</t>
        </is>
      </c>
      <c r="V25" s="22">
        <f>IFERROR(IF(IF('Relevé prix'!$B$1="SN",VLOOKUP($G25,'Relevé prix'!$A$4:$N$60,11,FALSE),VLOOKUP($G25,'Relevé prix'!$A$4:$N$60,7,FALSE))=0,"",IF('Relevé prix'!$B$1="SN",VLOOKUP($G25,'Relevé prix'!$A$4:$N$60,11,FALSE),VLOOKUP($G25,'Relevé prix'!$A$4:$N$60,7,FALSE))),"")</f>
        <v/>
      </c>
      <c r="W25" s="23">
        <f>IFERROR(IF(IF('Relevé prix'!$B$1="SN",VLOOKUP($G25,'Relevé prix'!$A$4:$N$60,12,FALSE),VLOOKUP($G25,'Relevé prix'!$A$4:$N$60,8,FALSE))=0,"",IF('Relevé prix'!$B$1="SN",VLOOKUP($G25,'Relevé prix'!$A$4:$N$60,12,FALSE),VLOOKUP($G25,'Relevé prix'!$A$4:$N$60,8,FALSE))),"")</f>
        <v/>
      </c>
      <c r="X25" s="24" t="n"/>
      <c r="Y25" s="25" t="n"/>
      <c r="Z25" s="25" t="n"/>
      <c r="AA25" s="22">
        <f>IF(OR(X25="",V25=""),"",X25-V25)</f>
        <v/>
      </c>
      <c r="AB25" s="26">
        <f>IF(OR(X25="",V25="",V25=0),"",(X25-V25)/V25)</f>
        <v/>
      </c>
      <c r="AC25" s="27">
        <f>IF(AB25="","",IF(AB25&lt;-0.05,"Moins cher",IF(AB25&gt;0.05,"Plus cher","Équivalent")))</f>
        <v/>
      </c>
    </row>
    <row r="26">
      <c r="A26" s="13" t="inlineStr">
        <is>
          <t>SG-A022</t>
        </is>
      </c>
      <c r="B26" s="13" t="inlineStr">
        <is>
          <t>Tête de brosse</t>
        </is>
      </c>
      <c r="C26" s="13" t="inlineStr">
        <is>
          <t>Tête à brins obliques</t>
        </is>
      </c>
      <c r="D26" s="13" t="inlineStr">
        <is>
          <t>Tenon plastique</t>
        </is>
      </c>
      <c r="E26" s="18" t="inlineStr">
        <is>
          <t>Séries à tenon plastique</t>
        </is>
      </c>
      <c r="F26" s="19" t="n">
        <v>50</v>
      </c>
      <c r="G26" s="20" t="inlineStr">
        <is>
          <t>COLGATE_HEADS</t>
        </is>
      </c>
      <c r="H26" s="20" t="inlineStr">
        <is>
          <t>360 Deep Clean, têtes de rechange</t>
        </is>
      </c>
      <c r="I26" s="20" t="inlineStr">
        <is>
          <t>Colgate</t>
        </is>
      </c>
      <c r="J26" s="20" t="inlineStr">
        <is>
          <t>Tête sonique pour brosse à piles</t>
        </is>
      </c>
      <c r="K26" s="37" t="inlineStr">
        <is>
          <t>N/D</t>
        </is>
      </c>
      <c r="L26" s="37" t="inlineStr">
        <is>
          <t>N/D</t>
        </is>
      </c>
      <c r="M26" s="37" t="inlineStr">
        <is>
          <t>N/D</t>
        </is>
      </c>
      <c r="N26" s="37" t="inlineStr">
        <is>
          <t>N/D</t>
        </is>
      </c>
      <c r="O26" s="37" t="inlineStr">
        <is>
          <t>N/D</t>
        </is>
      </c>
      <c r="P26" s="37" t="inlineStr">
        <is>
          <t>N/D</t>
        </is>
      </c>
      <c r="Q26" s="20" t="inlineStr">
        <is>
          <t>Non vérifié sur CI, SN, BF, CM, BJ. Marque Colgate largement distribuée en GMS et pharmacie.</t>
        </is>
      </c>
      <c r="R26" s="20" t="inlineStr">
        <is>
          <t>GMS, pharmacies</t>
        </is>
      </c>
      <c r="S26" s="21" t="inlineStr">
        <is>
          <t>https://www.colgate.com/en-my/products/toothbrush/colgate-proclinical-150-deepclean-battery-powered-toothbrush</t>
        </is>
      </c>
      <c r="T26" s="21" t="inlineStr">
        <is>
          <t>https://www.colgate.com/en-my/products/toothbrush/colgate-proclinical-150-charcoal-battery-powered-toothbrush</t>
        </is>
      </c>
      <c r="U26" s="20" t="inlineStr">
        <is>
          <t>Rapprochement sur le segment des têtes pour brosses à piles et le prix par tête. Tête de rechange du segment brosses à piles, benchmark du prix par tête en entrée de gamme.</t>
        </is>
      </c>
      <c r="V26" s="22">
        <f>IFERROR(IF(IF('Relevé prix'!$B$1="SN",VLOOKUP($G26,'Relevé prix'!$A$4:$N$60,11,FALSE),VLOOKUP($G26,'Relevé prix'!$A$4:$N$60,7,FALSE))=0,"",IF('Relevé prix'!$B$1="SN",VLOOKUP($G26,'Relevé prix'!$A$4:$N$60,11,FALSE),VLOOKUP($G26,'Relevé prix'!$A$4:$N$60,7,FALSE))),"")</f>
        <v/>
      </c>
      <c r="W26" s="23">
        <f>IFERROR(IF(IF('Relevé prix'!$B$1="SN",VLOOKUP($G26,'Relevé prix'!$A$4:$N$60,12,FALSE),VLOOKUP($G26,'Relevé prix'!$A$4:$N$60,8,FALSE))=0,"",IF('Relevé prix'!$B$1="SN",VLOOKUP($G26,'Relevé prix'!$A$4:$N$60,12,FALSE),VLOOKUP($G26,'Relevé prix'!$A$4:$N$60,8,FALSE))),"")</f>
        <v/>
      </c>
      <c r="X26" s="24" t="n"/>
      <c r="Y26" s="25" t="n"/>
      <c r="Z26" s="25" t="n"/>
      <c r="AA26" s="22">
        <f>IF(OR(X26="",V26=""),"",X26-V26)</f>
        <v/>
      </c>
      <c r="AB26" s="26">
        <f>IF(OR(X26="",V26="",V26=0),"",(X26-V26)/V26)</f>
        <v/>
      </c>
      <c r="AC26" s="27">
        <f>IF(AB26="","",IF(AB26&lt;-0.05,"Moins cher",IF(AB26&gt;0.05,"Plus cher","Équivalent")))</f>
        <v/>
      </c>
    </row>
    <row r="27">
      <c r="A27" s="28" t="inlineStr">
        <is>
          <t>SG-A023</t>
        </is>
      </c>
      <c r="B27" s="28" t="inlineStr">
        <is>
          <t>Tête de brosse</t>
        </is>
      </c>
      <c r="C27" s="28" t="inlineStr">
        <is>
          <t>Tête avec gratte-langue</t>
        </is>
      </c>
      <c r="D27" s="28" t="inlineStr">
        <is>
          <t>Tenon plastique</t>
        </is>
      </c>
      <c r="E27" s="32" t="inlineStr">
        <is>
          <t>Séries à tenon plastique</t>
        </is>
      </c>
      <c r="F27" s="33" t="n">
        <v>50</v>
      </c>
      <c r="G27" s="20" t="inlineStr">
        <is>
          <t>COLGATE_HEADS</t>
        </is>
      </c>
      <c r="H27" s="20" t="inlineStr">
        <is>
          <t>360 Deep Clean, têtes de rechange</t>
        </is>
      </c>
      <c r="I27" s="20" t="inlineStr">
        <is>
          <t>Colgate</t>
        </is>
      </c>
      <c r="J27" s="20" t="inlineStr">
        <is>
          <t>Tête sonique pour brosse à piles</t>
        </is>
      </c>
      <c r="K27" s="37" t="inlineStr">
        <is>
          <t>N/D</t>
        </is>
      </c>
      <c r="L27" s="37" t="inlineStr">
        <is>
          <t>N/D</t>
        </is>
      </c>
      <c r="M27" s="37" t="inlineStr">
        <is>
          <t>N/D</t>
        </is>
      </c>
      <c r="N27" s="37" t="inlineStr">
        <is>
          <t>N/D</t>
        </is>
      </c>
      <c r="O27" s="37" t="inlineStr">
        <is>
          <t>N/D</t>
        </is>
      </c>
      <c r="P27" s="37" t="inlineStr">
        <is>
          <t>N/D</t>
        </is>
      </c>
      <c r="Q27" s="20" t="inlineStr">
        <is>
          <t>Non vérifié sur CI, SN, BF, CM, BJ. Marque Colgate largement distribuée en GMS et pharmacie.</t>
        </is>
      </c>
      <c r="R27" s="20" t="inlineStr">
        <is>
          <t>GMS, pharmacies</t>
        </is>
      </c>
      <c r="S27" s="21" t="inlineStr">
        <is>
          <t>https://www.colgate.com/en-my/products/toothbrush/colgate-proclinical-150-deepclean-battery-powered-toothbrush</t>
        </is>
      </c>
      <c r="T27" s="21" t="inlineStr">
        <is>
          <t>https://www.colgate.com/en-my/products/toothbrush/colgate-proclinical-150-charcoal-battery-powered-toothbrush</t>
        </is>
      </c>
      <c r="U27" s="20" t="inlineStr">
        <is>
          <t>Rapprochement sur le segment des têtes pour brosses à piles et le prix par tête. Tête de rechange du segment brosses à piles, benchmark du prix par tête en entrée de gamme.</t>
        </is>
      </c>
      <c r="V27" s="22">
        <f>IFERROR(IF(IF('Relevé prix'!$B$1="SN",VLOOKUP($G27,'Relevé prix'!$A$4:$N$60,11,FALSE),VLOOKUP($G27,'Relevé prix'!$A$4:$N$60,7,FALSE))=0,"",IF('Relevé prix'!$B$1="SN",VLOOKUP($G27,'Relevé prix'!$A$4:$N$60,11,FALSE),VLOOKUP($G27,'Relevé prix'!$A$4:$N$60,7,FALSE))),"")</f>
        <v/>
      </c>
      <c r="W27" s="23">
        <f>IFERROR(IF(IF('Relevé prix'!$B$1="SN",VLOOKUP($G27,'Relevé prix'!$A$4:$N$60,12,FALSE),VLOOKUP($G27,'Relevé prix'!$A$4:$N$60,8,FALSE))=0,"",IF('Relevé prix'!$B$1="SN",VLOOKUP($G27,'Relevé prix'!$A$4:$N$60,12,FALSE),VLOOKUP($G27,'Relevé prix'!$A$4:$N$60,8,FALSE))),"")</f>
        <v/>
      </c>
      <c r="X27" s="24" t="n"/>
      <c r="Y27" s="25" t="n"/>
      <c r="Z27" s="25" t="n"/>
      <c r="AA27" s="22">
        <f>IF(OR(X27="",V27=""),"",X27-V27)</f>
        <v/>
      </c>
      <c r="AB27" s="26">
        <f>IF(OR(X27="",V27="",V27=0),"",(X27-V27)/V27)</f>
        <v/>
      </c>
      <c r="AC27" s="27">
        <f>IF(AB27="","",IF(AB27&lt;-0.05,"Moins cher",IF(AB27&gt;0.05,"Plus cher","Équivalent")))</f>
        <v/>
      </c>
    </row>
    <row r="28">
      <c r="A28" s="13" t="inlineStr">
        <is>
          <t>SG-A032</t>
        </is>
      </c>
      <c r="B28" s="13" t="inlineStr">
        <is>
          <t>Tête de brosse</t>
        </is>
      </c>
      <c r="C28" s="13" t="inlineStr">
        <is>
          <t>Tête interdentaire</t>
        </is>
      </c>
      <c r="D28" s="13" t="inlineStr">
        <is>
          <t>Tenon plastique</t>
        </is>
      </c>
      <c r="E28" s="18" t="inlineStr">
        <is>
          <t>Séries à tenon plastique</t>
        </is>
      </c>
      <c r="F28" s="19" t="n">
        <v>50</v>
      </c>
      <c r="G28" s="20" t="inlineStr">
        <is>
          <t>COLGATE_HEADS</t>
        </is>
      </c>
      <c r="H28" s="20" t="inlineStr">
        <is>
          <t>360 Deep Clean, têtes de rechange</t>
        </is>
      </c>
      <c r="I28" s="20" t="inlineStr">
        <is>
          <t>Colgate</t>
        </is>
      </c>
      <c r="J28" s="20" t="inlineStr">
        <is>
          <t>Tête sonique pour brosse à piles</t>
        </is>
      </c>
      <c r="K28" s="37" t="inlineStr">
        <is>
          <t>N/D</t>
        </is>
      </c>
      <c r="L28" s="37" t="inlineStr">
        <is>
          <t>N/D</t>
        </is>
      </c>
      <c r="M28" s="37" t="inlineStr">
        <is>
          <t>N/D</t>
        </is>
      </c>
      <c r="N28" s="37" t="inlineStr">
        <is>
          <t>N/D</t>
        </is>
      </c>
      <c r="O28" s="37" t="inlineStr">
        <is>
          <t>N/D</t>
        </is>
      </c>
      <c r="P28" s="37" t="inlineStr">
        <is>
          <t>N/D</t>
        </is>
      </c>
      <c r="Q28" s="20" t="inlineStr">
        <is>
          <t>Non vérifié sur CI, SN, BF, CM, BJ. Marque Colgate largement distribuée en GMS et pharmacie.</t>
        </is>
      </c>
      <c r="R28" s="20" t="inlineStr">
        <is>
          <t>GMS, pharmacies</t>
        </is>
      </c>
      <c r="S28" s="21" t="inlineStr">
        <is>
          <t>https://www.colgate.com/en-my/products/toothbrush/colgate-proclinical-150-deepclean-battery-powered-toothbrush</t>
        </is>
      </c>
      <c r="T28" s="21" t="inlineStr">
        <is>
          <t>https://www.colgate.com/en-my/products/toothbrush/colgate-proclinical-150-charcoal-battery-powered-toothbrush</t>
        </is>
      </c>
      <c r="U28" s="20" t="inlineStr">
        <is>
          <t>Rapprochement sur le segment des têtes pour brosses à piles et le prix par tête. Tête de rechange du segment brosses à piles, benchmark du prix par tête en entrée de gamme.</t>
        </is>
      </c>
      <c r="V28" s="22">
        <f>IFERROR(IF(IF('Relevé prix'!$B$1="SN",VLOOKUP($G28,'Relevé prix'!$A$4:$N$60,11,FALSE),VLOOKUP($G28,'Relevé prix'!$A$4:$N$60,7,FALSE))=0,"",IF('Relevé prix'!$B$1="SN",VLOOKUP($G28,'Relevé prix'!$A$4:$N$60,11,FALSE),VLOOKUP($G28,'Relevé prix'!$A$4:$N$60,7,FALSE))),"")</f>
        <v/>
      </c>
      <c r="W28" s="23">
        <f>IFERROR(IF(IF('Relevé prix'!$B$1="SN",VLOOKUP($G28,'Relevé prix'!$A$4:$N$60,12,FALSE),VLOOKUP($G28,'Relevé prix'!$A$4:$N$60,8,FALSE))=0,"",IF('Relevé prix'!$B$1="SN",VLOOKUP($G28,'Relevé prix'!$A$4:$N$60,12,FALSE),VLOOKUP($G28,'Relevé prix'!$A$4:$N$60,8,FALSE))),"")</f>
        <v/>
      </c>
      <c r="X28" s="24" t="n"/>
      <c r="Y28" s="25" t="n"/>
      <c r="Z28" s="25" t="n"/>
      <c r="AA28" s="22">
        <f>IF(OR(X28="",V28=""),"",X28-V28)</f>
        <v/>
      </c>
      <c r="AB28" s="26">
        <f>IF(OR(X28="",V28="",V28=0),"",(X28-V28)/V28)</f>
        <v/>
      </c>
      <c r="AC28" s="27">
        <f>IF(AB28="","",IF(AB28&lt;-0.05,"Moins cher",IF(AB28&gt;0.05,"Plus cher","Équivalent")))</f>
        <v/>
      </c>
    </row>
    <row r="29">
      <c r="A29" s="28" t="inlineStr">
        <is>
          <t>SG-A036</t>
        </is>
      </c>
      <c r="B29" s="28" t="inlineStr">
        <is>
          <t>Tête de brosse</t>
        </is>
      </c>
      <c r="C29" s="28" t="inlineStr">
        <is>
          <t>Tête interdentaire</t>
        </is>
      </c>
      <c r="D29" s="28" t="inlineStr">
        <is>
          <t>Tenon plastique</t>
        </is>
      </c>
      <c r="E29" s="32" t="inlineStr">
        <is>
          <t>Séries à tenon plastique</t>
        </is>
      </c>
      <c r="F29" s="33" t="n">
        <v>50</v>
      </c>
      <c r="G29" s="20" t="inlineStr">
        <is>
          <t>COLGATE_HEADS</t>
        </is>
      </c>
      <c r="H29" s="20" t="inlineStr">
        <is>
          <t>360 Deep Clean, têtes de rechange</t>
        </is>
      </c>
      <c r="I29" s="20" t="inlineStr">
        <is>
          <t>Colgate</t>
        </is>
      </c>
      <c r="J29" s="20" t="inlineStr">
        <is>
          <t>Tête sonique pour brosse à piles</t>
        </is>
      </c>
      <c r="K29" s="37" t="inlineStr">
        <is>
          <t>N/D</t>
        </is>
      </c>
      <c r="L29" s="37" t="inlineStr">
        <is>
          <t>N/D</t>
        </is>
      </c>
      <c r="M29" s="37" t="inlineStr">
        <is>
          <t>N/D</t>
        </is>
      </c>
      <c r="N29" s="37" t="inlineStr">
        <is>
          <t>N/D</t>
        </is>
      </c>
      <c r="O29" s="37" t="inlineStr">
        <is>
          <t>N/D</t>
        </is>
      </c>
      <c r="P29" s="37" t="inlineStr">
        <is>
          <t>N/D</t>
        </is>
      </c>
      <c r="Q29" s="20" t="inlineStr">
        <is>
          <t>Non vérifié sur CI, SN, BF, CM, BJ. Marque Colgate largement distribuée en GMS et pharmacie.</t>
        </is>
      </c>
      <c r="R29" s="20" t="inlineStr">
        <is>
          <t>GMS, pharmacies</t>
        </is>
      </c>
      <c r="S29" s="21" t="inlineStr">
        <is>
          <t>https://www.colgate.com/en-my/products/toothbrush/colgate-proclinical-150-deepclean-battery-powered-toothbrush</t>
        </is>
      </c>
      <c r="T29" s="21" t="inlineStr">
        <is>
          <t>https://www.colgate.com/en-my/products/toothbrush/colgate-proclinical-150-charcoal-battery-powered-toothbrush</t>
        </is>
      </c>
      <c r="U29" s="20" t="inlineStr">
        <is>
          <t>Rapprochement sur le segment des têtes pour brosses à piles et le prix par tête. Tête de rechange du segment brosses à piles, benchmark du prix par tête en entrée de gamme.</t>
        </is>
      </c>
      <c r="V29" s="22">
        <f>IFERROR(IF(IF('Relevé prix'!$B$1="SN",VLOOKUP($G29,'Relevé prix'!$A$4:$N$60,11,FALSE),VLOOKUP($G29,'Relevé prix'!$A$4:$N$60,7,FALSE))=0,"",IF('Relevé prix'!$B$1="SN",VLOOKUP($G29,'Relevé prix'!$A$4:$N$60,11,FALSE),VLOOKUP($G29,'Relevé prix'!$A$4:$N$60,7,FALSE))),"")</f>
        <v/>
      </c>
      <c r="W29" s="23">
        <f>IFERROR(IF(IF('Relevé prix'!$B$1="SN",VLOOKUP($G29,'Relevé prix'!$A$4:$N$60,12,FALSE),VLOOKUP($G29,'Relevé prix'!$A$4:$N$60,8,FALSE))=0,"",IF('Relevé prix'!$B$1="SN",VLOOKUP($G29,'Relevé prix'!$A$4:$N$60,12,FALSE),VLOOKUP($G29,'Relevé prix'!$A$4:$N$60,8,FALSE))),"")</f>
        <v/>
      </c>
      <c r="X29" s="24" t="n"/>
      <c r="Y29" s="25" t="n"/>
      <c r="Z29" s="25" t="n"/>
      <c r="AA29" s="22">
        <f>IF(OR(X29="",V29=""),"",X29-V29)</f>
        <v/>
      </c>
      <c r="AB29" s="26">
        <f>IF(OR(X29="",V29="",V29=0),"",(X29-V29)/V29)</f>
        <v/>
      </c>
      <c r="AC29" s="27">
        <f>IF(AB29="","",IF(AB29&lt;-0.05,"Moins cher",IF(AB29&gt;0.05,"Plus cher","Équivalent")))</f>
        <v/>
      </c>
    </row>
    <row r="30">
      <c r="A30" s="13" t="inlineStr">
        <is>
          <t>SG-A100</t>
        </is>
      </c>
      <c r="B30" s="13" t="inlineStr">
        <is>
          <t>Tête de brosse</t>
        </is>
      </c>
      <c r="C30" s="13" t="inlineStr">
        <is>
          <t>Tête à implantation hétérotype</t>
        </is>
      </c>
      <c r="D30" s="13" t="inlineStr">
        <is>
          <t>Tenon plastique</t>
        </is>
      </c>
      <c r="E30" s="18" t="inlineStr">
        <is>
          <t>Séries à tenon plastique</t>
        </is>
      </c>
      <c r="F30" s="19" t="n">
        <v>50</v>
      </c>
      <c r="G30" s="20" t="inlineStr">
        <is>
          <t>COLGATE_HEADS</t>
        </is>
      </c>
      <c r="H30" s="20" t="inlineStr">
        <is>
          <t>360 Deep Clean, têtes de rechange</t>
        </is>
      </c>
      <c r="I30" s="20" t="inlineStr">
        <is>
          <t>Colgate</t>
        </is>
      </c>
      <c r="J30" s="20" t="inlineStr">
        <is>
          <t>Tête sonique pour brosse à piles</t>
        </is>
      </c>
      <c r="K30" s="37" t="inlineStr">
        <is>
          <t>N/D</t>
        </is>
      </c>
      <c r="L30" s="37" t="inlineStr">
        <is>
          <t>N/D</t>
        </is>
      </c>
      <c r="M30" s="37" t="inlineStr">
        <is>
          <t>N/D</t>
        </is>
      </c>
      <c r="N30" s="37" t="inlineStr">
        <is>
          <t>N/D</t>
        </is>
      </c>
      <c r="O30" s="37" t="inlineStr">
        <is>
          <t>N/D</t>
        </is>
      </c>
      <c r="P30" s="37" t="inlineStr">
        <is>
          <t>N/D</t>
        </is>
      </c>
      <c r="Q30" s="20" t="inlineStr">
        <is>
          <t>Non vérifié sur CI, SN, BF, CM, BJ. Marque Colgate largement distribuée en GMS et pharmacie.</t>
        </is>
      </c>
      <c r="R30" s="20" t="inlineStr">
        <is>
          <t>GMS, pharmacies</t>
        </is>
      </c>
      <c r="S30" s="21" t="inlineStr">
        <is>
          <t>https://www.colgate.com/en-my/products/toothbrush/colgate-proclinical-150-deepclean-battery-powered-toothbrush</t>
        </is>
      </c>
      <c r="T30" s="21" t="inlineStr">
        <is>
          <t>https://www.colgate.com/en-my/products/toothbrush/colgate-proclinical-150-charcoal-battery-powered-toothbrush</t>
        </is>
      </c>
      <c r="U30" s="20" t="inlineStr">
        <is>
          <t>Rapprochement sur le segment des têtes pour brosses à piles et le prix par tête. Tête de rechange du segment brosses à piles, benchmark du prix par tête en entrée de gamme.</t>
        </is>
      </c>
      <c r="V30" s="22">
        <f>IFERROR(IF(IF('Relevé prix'!$B$1="SN",VLOOKUP($G30,'Relevé prix'!$A$4:$N$60,11,FALSE),VLOOKUP($G30,'Relevé prix'!$A$4:$N$60,7,FALSE))=0,"",IF('Relevé prix'!$B$1="SN",VLOOKUP($G30,'Relevé prix'!$A$4:$N$60,11,FALSE),VLOOKUP($G30,'Relevé prix'!$A$4:$N$60,7,FALSE))),"")</f>
        <v/>
      </c>
      <c r="W30" s="23">
        <f>IFERROR(IF(IF('Relevé prix'!$B$1="SN",VLOOKUP($G30,'Relevé prix'!$A$4:$N$60,12,FALSE),VLOOKUP($G30,'Relevé prix'!$A$4:$N$60,8,FALSE))=0,"",IF('Relevé prix'!$B$1="SN",VLOOKUP($G30,'Relevé prix'!$A$4:$N$60,12,FALSE),VLOOKUP($G30,'Relevé prix'!$A$4:$N$60,8,FALSE))),"")</f>
        <v/>
      </c>
      <c r="X30" s="24" t="n"/>
      <c r="Y30" s="25" t="n"/>
      <c r="Z30" s="25" t="n"/>
      <c r="AA30" s="22">
        <f>IF(OR(X30="",V30=""),"",X30-V30)</f>
        <v/>
      </c>
      <c r="AB30" s="26">
        <f>IF(OR(X30="",V30="",V30=0),"",(X30-V30)/V30)</f>
        <v/>
      </c>
      <c r="AC30" s="27">
        <f>IF(AB30="","",IF(AB30&lt;-0.05,"Moins cher",IF(AB30&gt;0.05,"Plus cher","Équivalent")))</f>
        <v/>
      </c>
    </row>
    <row r="31">
      <c r="A31" s="28" t="inlineStr">
        <is>
          <t>SG-A928</t>
        </is>
      </c>
      <c r="B31" s="28" t="inlineStr">
        <is>
          <t>Tête de brosse</t>
        </is>
      </c>
      <c r="C31" s="28" t="inlineStr">
        <is>
          <t>Tête standard</t>
        </is>
      </c>
      <c r="D31" s="28" t="inlineStr">
        <is>
          <t>Tenon plastique</t>
        </is>
      </c>
      <c r="E31" s="32" t="inlineStr">
        <is>
          <t>Séries à tenon plastique</t>
        </is>
      </c>
      <c r="F31" s="33" t="n">
        <v>50</v>
      </c>
      <c r="G31" s="20" t="inlineStr">
        <is>
          <t>COLGATE_HEADS</t>
        </is>
      </c>
      <c r="H31" s="20" t="inlineStr">
        <is>
          <t>360 Deep Clean, têtes de rechange</t>
        </is>
      </c>
      <c r="I31" s="20" t="inlineStr">
        <is>
          <t>Colgate</t>
        </is>
      </c>
      <c r="J31" s="20" t="inlineStr">
        <is>
          <t>Tête sonique pour brosse à piles</t>
        </is>
      </c>
      <c r="K31" s="37" t="inlineStr">
        <is>
          <t>N/D</t>
        </is>
      </c>
      <c r="L31" s="37" t="inlineStr">
        <is>
          <t>N/D</t>
        </is>
      </c>
      <c r="M31" s="37" t="inlineStr">
        <is>
          <t>N/D</t>
        </is>
      </c>
      <c r="N31" s="37" t="inlineStr">
        <is>
          <t>N/D</t>
        </is>
      </c>
      <c r="O31" s="37" t="inlineStr">
        <is>
          <t>N/D</t>
        </is>
      </c>
      <c r="P31" s="37" t="inlineStr">
        <is>
          <t>N/D</t>
        </is>
      </c>
      <c r="Q31" s="20" t="inlineStr">
        <is>
          <t>Non vérifié sur CI, SN, BF, CM, BJ. Marque Colgate largement distribuée en GMS et pharmacie.</t>
        </is>
      </c>
      <c r="R31" s="20" t="inlineStr">
        <is>
          <t>GMS, pharmacies</t>
        </is>
      </c>
      <c r="S31" s="21" t="inlineStr">
        <is>
          <t>https://www.colgate.com/en-my/products/toothbrush/colgate-proclinical-150-deepclean-battery-powered-toothbrush</t>
        </is>
      </c>
      <c r="T31" s="21" t="inlineStr">
        <is>
          <t>https://www.colgate.com/en-my/products/toothbrush/colgate-proclinical-150-charcoal-battery-powered-toothbrush</t>
        </is>
      </c>
      <c r="U31" s="20" t="inlineStr">
        <is>
          <t>Rapprochement sur le segment des têtes pour brosses à piles et le prix par tête. Tête de rechange du segment brosses à piles, benchmark du prix par tête en entrée de gamme.</t>
        </is>
      </c>
      <c r="V31" s="22">
        <f>IFERROR(IF(IF('Relevé prix'!$B$1="SN",VLOOKUP($G31,'Relevé prix'!$A$4:$N$60,11,FALSE),VLOOKUP($G31,'Relevé prix'!$A$4:$N$60,7,FALSE))=0,"",IF('Relevé prix'!$B$1="SN",VLOOKUP($G31,'Relevé prix'!$A$4:$N$60,11,FALSE),VLOOKUP($G31,'Relevé prix'!$A$4:$N$60,7,FALSE))),"")</f>
        <v/>
      </c>
      <c r="W31" s="23">
        <f>IFERROR(IF(IF('Relevé prix'!$B$1="SN",VLOOKUP($G31,'Relevé prix'!$A$4:$N$60,12,FALSE),VLOOKUP($G31,'Relevé prix'!$A$4:$N$60,8,FALSE))=0,"",IF('Relevé prix'!$B$1="SN",VLOOKUP($G31,'Relevé prix'!$A$4:$N$60,12,FALSE),VLOOKUP($G31,'Relevé prix'!$A$4:$N$60,8,FALSE))),"")</f>
        <v/>
      </c>
      <c r="X31" s="24" t="n"/>
      <c r="Y31" s="25" t="n"/>
      <c r="Z31" s="25" t="n"/>
      <c r="AA31" s="22">
        <f>IF(OR(X31="",V31=""),"",X31-V31)</f>
        <v/>
      </c>
      <c r="AB31" s="26">
        <f>IF(OR(X31="",V31="",V31=0),"",(X31-V31)/V31)</f>
        <v/>
      </c>
      <c r="AC31" s="27">
        <f>IF(AB31="","",IF(AB31&lt;-0.05,"Moins cher",IF(AB31&gt;0.05,"Plus cher","Équivalent")))</f>
        <v/>
      </c>
    </row>
    <row r="32">
      <c r="A32" s="13" t="inlineStr">
        <is>
          <t>SG-G001</t>
        </is>
      </c>
      <c r="B32" s="13" t="inlineStr">
        <is>
          <t>Tête de brosse</t>
        </is>
      </c>
      <c r="C32" s="13" t="inlineStr">
        <is>
          <t>Tête standard</t>
        </is>
      </c>
      <c r="D32" s="13" t="inlineStr">
        <is>
          <t>Tenon métal</t>
        </is>
      </c>
      <c r="E32" s="18" t="inlineStr">
        <is>
          <t>Séries à tenon métal</t>
        </is>
      </c>
      <c r="F32" s="19" t="n">
        <v>50</v>
      </c>
      <c r="G32" s="20" t="inlineStr">
        <is>
          <t>COLGATE_HEADS</t>
        </is>
      </c>
      <c r="H32" s="20" t="inlineStr">
        <is>
          <t>360 Deep Clean, têtes de rechange</t>
        </is>
      </c>
      <c r="I32" s="20" t="inlineStr">
        <is>
          <t>Colgate</t>
        </is>
      </c>
      <c r="J32" s="20" t="inlineStr">
        <is>
          <t>Tête sonique pour brosse à piles</t>
        </is>
      </c>
      <c r="K32" s="37" t="inlineStr">
        <is>
          <t>N/D</t>
        </is>
      </c>
      <c r="L32" s="37" t="inlineStr">
        <is>
          <t>N/D</t>
        </is>
      </c>
      <c r="M32" s="37" t="inlineStr">
        <is>
          <t>N/D</t>
        </is>
      </c>
      <c r="N32" s="37" t="inlineStr">
        <is>
          <t>N/D</t>
        </is>
      </c>
      <c r="O32" s="37" t="inlineStr">
        <is>
          <t>N/D</t>
        </is>
      </c>
      <c r="P32" s="37" t="inlineStr">
        <is>
          <t>N/D</t>
        </is>
      </c>
      <c r="Q32" s="20" t="inlineStr">
        <is>
          <t>Non vérifié sur CI, SN, BF, CM, BJ. Marque Colgate largement distribuée en GMS et pharmacie.</t>
        </is>
      </c>
      <c r="R32" s="20" t="inlineStr">
        <is>
          <t>GMS, pharmacies</t>
        </is>
      </c>
      <c r="S32" s="21" t="inlineStr">
        <is>
          <t>https://www.colgate.com/en-my/products/toothbrush/colgate-proclinical-150-deepclean-battery-powered-toothbrush</t>
        </is>
      </c>
      <c r="T32" s="21" t="inlineStr">
        <is>
          <t>https://www.colgate.com/en-my/products/toothbrush/colgate-proclinical-150-charcoal-battery-powered-toothbrush</t>
        </is>
      </c>
      <c r="U32" s="20" t="inlineStr">
        <is>
          <t>Rapprochement sur le segment des têtes pour brosses à piles et le prix par tête. Tête de rechange du segment brosses à piles, benchmark du prix par tête en entrée de gamme.</t>
        </is>
      </c>
      <c r="V32" s="22">
        <f>IFERROR(IF(IF('Relevé prix'!$B$1="SN",VLOOKUP($G32,'Relevé prix'!$A$4:$N$60,11,FALSE),VLOOKUP($G32,'Relevé prix'!$A$4:$N$60,7,FALSE))=0,"",IF('Relevé prix'!$B$1="SN",VLOOKUP($G32,'Relevé prix'!$A$4:$N$60,11,FALSE),VLOOKUP($G32,'Relevé prix'!$A$4:$N$60,7,FALSE))),"")</f>
        <v/>
      </c>
      <c r="W32" s="23">
        <f>IFERROR(IF(IF('Relevé prix'!$B$1="SN",VLOOKUP($G32,'Relevé prix'!$A$4:$N$60,12,FALSE),VLOOKUP($G32,'Relevé prix'!$A$4:$N$60,8,FALSE))=0,"",IF('Relevé prix'!$B$1="SN",VLOOKUP($G32,'Relevé prix'!$A$4:$N$60,12,FALSE),VLOOKUP($G32,'Relevé prix'!$A$4:$N$60,8,FALSE))),"")</f>
        <v/>
      </c>
      <c r="X32" s="24" t="n"/>
      <c r="Y32" s="25" t="n"/>
      <c r="Z32" s="25" t="n"/>
      <c r="AA32" s="22">
        <f>IF(OR(X32="",V32=""),"",X32-V32)</f>
        <v/>
      </c>
      <c r="AB32" s="26">
        <f>IF(OR(X32="",V32="",V32=0),"",(X32-V32)/V32)</f>
        <v/>
      </c>
      <c r="AC32" s="27">
        <f>IF(AB32="","",IF(AB32&lt;-0.05,"Moins cher",IF(AB32&gt;0.05,"Plus cher","Équivalent")))</f>
        <v/>
      </c>
    </row>
    <row r="33">
      <c r="A33" s="28" t="inlineStr">
        <is>
          <t>SG-G002</t>
        </is>
      </c>
      <c r="B33" s="28" t="inlineStr">
        <is>
          <t>Tête de brosse</t>
        </is>
      </c>
      <c r="C33" s="28" t="inlineStr">
        <is>
          <t>Tête à implantation hétérotype</t>
        </is>
      </c>
      <c r="D33" s="28" t="inlineStr">
        <is>
          <t>Tenon métal</t>
        </is>
      </c>
      <c r="E33" s="32" t="inlineStr">
        <is>
          <t>Séries à tenon métal</t>
        </is>
      </c>
      <c r="F33" s="33" t="n">
        <v>50</v>
      </c>
      <c r="G33" s="20" t="inlineStr">
        <is>
          <t>COLGATE_HEADS</t>
        </is>
      </c>
      <c r="H33" s="20" t="inlineStr">
        <is>
          <t>360 Deep Clean, têtes de rechange</t>
        </is>
      </c>
      <c r="I33" s="20" t="inlineStr">
        <is>
          <t>Colgate</t>
        </is>
      </c>
      <c r="J33" s="20" t="inlineStr">
        <is>
          <t>Tête sonique pour brosse à piles</t>
        </is>
      </c>
      <c r="K33" s="37" t="inlineStr">
        <is>
          <t>N/D</t>
        </is>
      </c>
      <c r="L33" s="37" t="inlineStr">
        <is>
          <t>N/D</t>
        </is>
      </c>
      <c r="M33" s="37" t="inlineStr">
        <is>
          <t>N/D</t>
        </is>
      </c>
      <c r="N33" s="37" t="inlineStr">
        <is>
          <t>N/D</t>
        </is>
      </c>
      <c r="O33" s="37" t="inlineStr">
        <is>
          <t>N/D</t>
        </is>
      </c>
      <c r="P33" s="37" t="inlineStr">
        <is>
          <t>N/D</t>
        </is>
      </c>
      <c r="Q33" s="20" t="inlineStr">
        <is>
          <t>Non vérifié sur CI, SN, BF, CM, BJ. Marque Colgate largement distribuée en GMS et pharmacie.</t>
        </is>
      </c>
      <c r="R33" s="20" t="inlineStr">
        <is>
          <t>GMS, pharmacies</t>
        </is>
      </c>
      <c r="S33" s="21" t="inlineStr">
        <is>
          <t>https://www.colgate.com/en-my/products/toothbrush/colgate-proclinical-150-deepclean-battery-powered-toothbrush</t>
        </is>
      </c>
      <c r="T33" s="21" t="inlineStr">
        <is>
          <t>https://www.colgate.com/en-my/products/toothbrush/colgate-proclinical-150-charcoal-battery-powered-toothbrush</t>
        </is>
      </c>
      <c r="U33" s="20" t="inlineStr">
        <is>
          <t>Rapprochement sur le segment des têtes pour brosses à piles et le prix par tête. Tête de rechange du segment brosses à piles, benchmark du prix par tête en entrée de gamme.</t>
        </is>
      </c>
      <c r="V33" s="22">
        <f>IFERROR(IF(IF('Relevé prix'!$B$1="SN",VLOOKUP($G33,'Relevé prix'!$A$4:$N$60,11,FALSE),VLOOKUP($G33,'Relevé prix'!$A$4:$N$60,7,FALSE))=0,"",IF('Relevé prix'!$B$1="SN",VLOOKUP($G33,'Relevé prix'!$A$4:$N$60,11,FALSE),VLOOKUP($G33,'Relevé prix'!$A$4:$N$60,7,FALSE))),"")</f>
        <v/>
      </c>
      <c r="W33" s="23">
        <f>IFERROR(IF(IF('Relevé prix'!$B$1="SN",VLOOKUP($G33,'Relevé prix'!$A$4:$N$60,12,FALSE),VLOOKUP($G33,'Relevé prix'!$A$4:$N$60,8,FALSE))=0,"",IF('Relevé prix'!$B$1="SN",VLOOKUP($G33,'Relevé prix'!$A$4:$N$60,12,FALSE),VLOOKUP($G33,'Relevé prix'!$A$4:$N$60,8,FALSE))),"")</f>
        <v/>
      </c>
      <c r="X33" s="24" t="n"/>
      <c r="Y33" s="25" t="n"/>
      <c r="Z33" s="25" t="n"/>
      <c r="AA33" s="22">
        <f>IF(OR(X33="",V33=""),"",X33-V33)</f>
        <v/>
      </c>
      <c r="AB33" s="26">
        <f>IF(OR(X33="",V33="",V33=0),"",(X33-V33)/V33)</f>
        <v/>
      </c>
      <c r="AC33" s="27">
        <f>IF(AB33="","",IF(AB33&lt;-0.05,"Moins cher",IF(AB33&gt;0.05,"Plus cher","Équivalent")))</f>
        <v/>
      </c>
    </row>
    <row r="34">
      <c r="A34" s="13" t="inlineStr">
        <is>
          <t>SG-G044</t>
        </is>
      </c>
      <c r="B34" s="13" t="inlineStr">
        <is>
          <t>Tête de brosse</t>
        </is>
      </c>
      <c r="C34" s="13" t="inlineStr">
        <is>
          <t>Tête interdentaire</t>
        </is>
      </c>
      <c r="D34" s="13" t="inlineStr">
        <is>
          <t>Tenon métal</t>
        </is>
      </c>
      <c r="E34" s="18" t="inlineStr">
        <is>
          <t>Séries à tenon métal</t>
        </is>
      </c>
      <c r="F34" s="19" t="n">
        <v>50</v>
      </c>
      <c r="G34" s="20" t="inlineStr">
        <is>
          <t>COLGATE_HEADS</t>
        </is>
      </c>
      <c r="H34" s="20" t="inlineStr">
        <is>
          <t>360 Deep Clean, têtes de rechange</t>
        </is>
      </c>
      <c r="I34" s="20" t="inlineStr">
        <is>
          <t>Colgate</t>
        </is>
      </c>
      <c r="J34" s="20" t="inlineStr">
        <is>
          <t>Tête sonique pour brosse à piles</t>
        </is>
      </c>
      <c r="K34" s="37" t="inlineStr">
        <is>
          <t>N/D</t>
        </is>
      </c>
      <c r="L34" s="37" t="inlineStr">
        <is>
          <t>N/D</t>
        </is>
      </c>
      <c r="M34" s="37" t="inlineStr">
        <is>
          <t>N/D</t>
        </is>
      </c>
      <c r="N34" s="37" t="inlineStr">
        <is>
          <t>N/D</t>
        </is>
      </c>
      <c r="O34" s="37" t="inlineStr">
        <is>
          <t>N/D</t>
        </is>
      </c>
      <c r="P34" s="37" t="inlineStr">
        <is>
          <t>N/D</t>
        </is>
      </c>
      <c r="Q34" s="20" t="inlineStr">
        <is>
          <t>Non vérifié sur CI, SN, BF, CM, BJ. Marque Colgate largement distribuée en GMS et pharmacie.</t>
        </is>
      </c>
      <c r="R34" s="20" t="inlineStr">
        <is>
          <t>GMS, pharmacies</t>
        </is>
      </c>
      <c r="S34" s="21" t="inlineStr">
        <is>
          <t>https://www.colgate.com/en-my/products/toothbrush/colgate-proclinical-150-deepclean-battery-powered-toothbrush</t>
        </is>
      </c>
      <c r="T34" s="21" t="inlineStr">
        <is>
          <t>https://www.colgate.com/en-my/products/toothbrush/colgate-proclinical-150-charcoal-battery-powered-toothbrush</t>
        </is>
      </c>
      <c r="U34" s="20" t="inlineStr">
        <is>
          <t>Rapprochement sur le segment des têtes pour brosses à piles et le prix par tête. Tête de rechange du segment brosses à piles, benchmark du prix par tête en entrée de gamme.</t>
        </is>
      </c>
      <c r="V34" s="22">
        <f>IFERROR(IF(IF('Relevé prix'!$B$1="SN",VLOOKUP($G34,'Relevé prix'!$A$4:$N$60,11,FALSE),VLOOKUP($G34,'Relevé prix'!$A$4:$N$60,7,FALSE))=0,"",IF('Relevé prix'!$B$1="SN",VLOOKUP($G34,'Relevé prix'!$A$4:$N$60,11,FALSE),VLOOKUP($G34,'Relevé prix'!$A$4:$N$60,7,FALSE))),"")</f>
        <v/>
      </c>
      <c r="W34" s="23">
        <f>IFERROR(IF(IF('Relevé prix'!$B$1="SN",VLOOKUP($G34,'Relevé prix'!$A$4:$N$60,12,FALSE),VLOOKUP($G34,'Relevé prix'!$A$4:$N$60,8,FALSE))=0,"",IF('Relevé prix'!$B$1="SN",VLOOKUP($G34,'Relevé prix'!$A$4:$N$60,12,FALSE),VLOOKUP($G34,'Relevé prix'!$A$4:$N$60,8,FALSE))),"")</f>
        <v/>
      </c>
      <c r="X34" s="24" t="n"/>
      <c r="Y34" s="25" t="n"/>
      <c r="Z34" s="25" t="n"/>
      <c r="AA34" s="22">
        <f>IF(OR(X34="",V34=""),"",X34-V34)</f>
        <v/>
      </c>
      <c r="AB34" s="26">
        <f>IF(OR(X34="",V34="",V34=0),"",(X34-V34)/V34)</f>
        <v/>
      </c>
      <c r="AC34" s="27">
        <f>IF(AB34="","",IF(AB34&lt;-0.05,"Moins cher",IF(AB34&gt;0.05,"Plus cher","Équivalent")))</f>
        <v/>
      </c>
    </row>
    <row r="35">
      <c r="A35" s="28" t="inlineStr">
        <is>
          <t>SG-G045</t>
        </is>
      </c>
      <c r="B35" s="28" t="inlineStr">
        <is>
          <t>Tête de brosse</t>
        </is>
      </c>
      <c r="C35" s="28" t="inlineStr">
        <is>
          <t>Tête standard</t>
        </is>
      </c>
      <c r="D35" s="28" t="inlineStr">
        <is>
          <t>Tenon métal</t>
        </is>
      </c>
      <c r="E35" s="32" t="inlineStr">
        <is>
          <t>Séries à tenon métal</t>
        </is>
      </c>
      <c r="F35" s="33" t="n">
        <v>50</v>
      </c>
      <c r="G35" s="20" t="inlineStr">
        <is>
          <t>COLGATE_HEADS</t>
        </is>
      </c>
      <c r="H35" s="20" t="inlineStr">
        <is>
          <t>360 Deep Clean, têtes de rechange</t>
        </is>
      </c>
      <c r="I35" s="20" t="inlineStr">
        <is>
          <t>Colgate</t>
        </is>
      </c>
      <c r="J35" s="20" t="inlineStr">
        <is>
          <t>Tête sonique pour brosse à piles</t>
        </is>
      </c>
      <c r="K35" s="37" t="inlineStr">
        <is>
          <t>N/D</t>
        </is>
      </c>
      <c r="L35" s="37" t="inlineStr">
        <is>
          <t>N/D</t>
        </is>
      </c>
      <c r="M35" s="37" t="inlineStr">
        <is>
          <t>N/D</t>
        </is>
      </c>
      <c r="N35" s="37" t="inlineStr">
        <is>
          <t>N/D</t>
        </is>
      </c>
      <c r="O35" s="37" t="inlineStr">
        <is>
          <t>N/D</t>
        </is>
      </c>
      <c r="P35" s="37" t="inlineStr">
        <is>
          <t>N/D</t>
        </is>
      </c>
      <c r="Q35" s="20" t="inlineStr">
        <is>
          <t>Non vérifié sur CI, SN, BF, CM, BJ. Marque Colgate largement distribuée en GMS et pharmacie.</t>
        </is>
      </c>
      <c r="R35" s="20" t="inlineStr">
        <is>
          <t>GMS, pharmacies</t>
        </is>
      </c>
      <c r="S35" s="21" t="inlineStr">
        <is>
          <t>https://www.colgate.com/en-my/products/toothbrush/colgate-proclinical-150-deepclean-battery-powered-toothbrush</t>
        </is>
      </c>
      <c r="T35" s="21" t="inlineStr">
        <is>
          <t>https://www.colgate.com/en-my/products/toothbrush/colgate-proclinical-150-charcoal-battery-powered-toothbrush</t>
        </is>
      </c>
      <c r="U35" s="20" t="inlineStr">
        <is>
          <t>Rapprochement sur le segment des têtes pour brosses à piles et le prix par tête. Tête de rechange du segment brosses à piles, benchmark du prix par tête en entrée de gamme.</t>
        </is>
      </c>
      <c r="V35" s="22">
        <f>IFERROR(IF(IF('Relevé prix'!$B$1="SN",VLOOKUP($G35,'Relevé prix'!$A$4:$N$60,11,FALSE),VLOOKUP($G35,'Relevé prix'!$A$4:$N$60,7,FALSE))=0,"",IF('Relevé prix'!$B$1="SN",VLOOKUP($G35,'Relevé prix'!$A$4:$N$60,11,FALSE),VLOOKUP($G35,'Relevé prix'!$A$4:$N$60,7,FALSE))),"")</f>
        <v/>
      </c>
      <c r="W35" s="23">
        <f>IFERROR(IF(IF('Relevé prix'!$B$1="SN",VLOOKUP($G35,'Relevé prix'!$A$4:$N$60,12,FALSE),VLOOKUP($G35,'Relevé prix'!$A$4:$N$60,8,FALSE))=0,"",IF('Relevé prix'!$B$1="SN",VLOOKUP($G35,'Relevé prix'!$A$4:$N$60,12,FALSE),VLOOKUP($G35,'Relevé prix'!$A$4:$N$60,8,FALSE))),"")</f>
        <v/>
      </c>
      <c r="X35" s="24" t="n"/>
      <c r="Y35" s="25" t="n"/>
      <c r="Z35" s="25" t="n"/>
      <c r="AA35" s="22">
        <f>IF(OR(X35="",V35=""),"",X35-V35)</f>
        <v/>
      </c>
      <c r="AB35" s="26">
        <f>IF(OR(X35="",V35="",V35=0),"",(X35-V35)/V35)</f>
        <v/>
      </c>
      <c r="AC35" s="27">
        <f>IF(AB35="","",IF(AB35&lt;-0.05,"Moins cher",IF(AB35&gt;0.05,"Plus cher","Équivalent")))</f>
        <v/>
      </c>
    </row>
    <row r="36">
      <c r="A36" s="13" t="inlineStr">
        <is>
          <t>SG-G048</t>
        </is>
      </c>
      <c r="B36" s="13" t="inlineStr">
        <is>
          <t>Tête de brosse</t>
        </is>
      </c>
      <c r="C36" s="13" t="inlineStr">
        <is>
          <t>Tête mini</t>
        </is>
      </c>
      <c r="D36" s="13" t="inlineStr">
        <is>
          <t>Tenon métal</t>
        </is>
      </c>
      <c r="E36" s="18" t="inlineStr">
        <is>
          <t>Séries à tenon métal</t>
        </is>
      </c>
      <c r="F36" s="19" t="n">
        <v>50</v>
      </c>
      <c r="G36" s="20" t="inlineStr">
        <is>
          <t>COLGATE_HEADS</t>
        </is>
      </c>
      <c r="H36" s="20" t="inlineStr">
        <is>
          <t>360 Deep Clean, têtes de rechange</t>
        </is>
      </c>
      <c r="I36" s="20" t="inlineStr">
        <is>
          <t>Colgate</t>
        </is>
      </c>
      <c r="J36" s="20" t="inlineStr">
        <is>
          <t>Tête sonique pour brosse à piles</t>
        </is>
      </c>
      <c r="K36" s="37" t="inlineStr">
        <is>
          <t>N/D</t>
        </is>
      </c>
      <c r="L36" s="37" t="inlineStr">
        <is>
          <t>N/D</t>
        </is>
      </c>
      <c r="M36" s="37" t="inlineStr">
        <is>
          <t>N/D</t>
        </is>
      </c>
      <c r="N36" s="37" t="inlineStr">
        <is>
          <t>N/D</t>
        </is>
      </c>
      <c r="O36" s="37" t="inlineStr">
        <is>
          <t>N/D</t>
        </is>
      </c>
      <c r="P36" s="37" t="inlineStr">
        <is>
          <t>N/D</t>
        </is>
      </c>
      <c r="Q36" s="20" t="inlineStr">
        <is>
          <t>Non vérifié sur CI, SN, BF, CM, BJ. Marque Colgate largement distribuée en GMS et pharmacie.</t>
        </is>
      </c>
      <c r="R36" s="20" t="inlineStr">
        <is>
          <t>GMS, pharmacies</t>
        </is>
      </c>
      <c r="S36" s="21" t="inlineStr">
        <is>
          <t>https://www.colgate.com/en-my/products/toothbrush/colgate-proclinical-150-deepclean-battery-powered-toothbrush</t>
        </is>
      </c>
      <c r="T36" s="21" t="inlineStr">
        <is>
          <t>https://www.colgate.com/en-my/products/toothbrush/colgate-proclinical-150-charcoal-battery-powered-toothbrush</t>
        </is>
      </c>
      <c r="U36" s="20" t="inlineStr">
        <is>
          <t>Rapprochement sur le segment des têtes pour brosses à piles et le prix par tête. Tête de rechange du segment brosses à piles, benchmark du prix par tête en entrée de gamme.</t>
        </is>
      </c>
      <c r="V36" s="22">
        <f>IFERROR(IF(IF('Relevé prix'!$B$1="SN",VLOOKUP($G36,'Relevé prix'!$A$4:$N$60,11,FALSE),VLOOKUP($G36,'Relevé prix'!$A$4:$N$60,7,FALSE))=0,"",IF('Relevé prix'!$B$1="SN",VLOOKUP($G36,'Relevé prix'!$A$4:$N$60,11,FALSE),VLOOKUP($G36,'Relevé prix'!$A$4:$N$60,7,FALSE))),"")</f>
        <v/>
      </c>
      <c r="W36" s="23">
        <f>IFERROR(IF(IF('Relevé prix'!$B$1="SN",VLOOKUP($G36,'Relevé prix'!$A$4:$N$60,12,FALSE),VLOOKUP($G36,'Relevé prix'!$A$4:$N$60,8,FALSE))=0,"",IF('Relevé prix'!$B$1="SN",VLOOKUP($G36,'Relevé prix'!$A$4:$N$60,12,FALSE),VLOOKUP($G36,'Relevé prix'!$A$4:$N$60,8,FALSE))),"")</f>
        <v/>
      </c>
      <c r="X36" s="24" t="n"/>
      <c r="Y36" s="25" t="n"/>
      <c r="Z36" s="25" t="n"/>
      <c r="AA36" s="22">
        <f>IF(OR(X36="",V36=""),"",X36-V36)</f>
        <v/>
      </c>
      <c r="AB36" s="26">
        <f>IF(OR(X36="",V36="",V36=0),"",(X36-V36)/V36)</f>
        <v/>
      </c>
      <c r="AC36" s="27">
        <f>IF(AB36="","",IF(AB36&lt;-0.05,"Moins cher",IF(AB36&gt;0.05,"Plus cher","Équivalent")))</f>
        <v/>
      </c>
    </row>
    <row r="37">
      <c r="A37" s="28" t="inlineStr">
        <is>
          <t>SG-G049</t>
        </is>
      </c>
      <c r="B37" s="28" t="inlineStr">
        <is>
          <t>Tête de brosse</t>
        </is>
      </c>
      <c r="C37" s="28" t="inlineStr">
        <is>
          <t>Tête large</t>
        </is>
      </c>
      <c r="D37" s="28" t="inlineStr">
        <is>
          <t>Tenon métal</t>
        </is>
      </c>
      <c r="E37" s="32" t="inlineStr">
        <is>
          <t>Séries à tenon métal</t>
        </is>
      </c>
      <c r="F37" s="33" t="n">
        <v>50</v>
      </c>
      <c r="G37" s="20" t="inlineStr">
        <is>
          <t>COLGATE_HEADS</t>
        </is>
      </c>
      <c r="H37" s="20" t="inlineStr">
        <is>
          <t>360 Deep Clean, têtes de rechange</t>
        </is>
      </c>
      <c r="I37" s="20" t="inlineStr">
        <is>
          <t>Colgate</t>
        </is>
      </c>
      <c r="J37" s="20" t="inlineStr">
        <is>
          <t>Tête sonique pour brosse à piles</t>
        </is>
      </c>
      <c r="K37" s="37" t="inlineStr">
        <is>
          <t>N/D</t>
        </is>
      </c>
      <c r="L37" s="37" t="inlineStr">
        <is>
          <t>N/D</t>
        </is>
      </c>
      <c r="M37" s="37" t="inlineStr">
        <is>
          <t>N/D</t>
        </is>
      </c>
      <c r="N37" s="37" t="inlineStr">
        <is>
          <t>N/D</t>
        </is>
      </c>
      <c r="O37" s="37" t="inlineStr">
        <is>
          <t>N/D</t>
        </is>
      </c>
      <c r="P37" s="37" t="inlineStr">
        <is>
          <t>N/D</t>
        </is>
      </c>
      <c r="Q37" s="20" t="inlineStr">
        <is>
          <t>Non vérifié sur CI, SN, BF, CM, BJ. Marque Colgate largement distribuée en GMS et pharmacie.</t>
        </is>
      </c>
      <c r="R37" s="20" t="inlineStr">
        <is>
          <t>GMS, pharmacies</t>
        </is>
      </c>
      <c r="S37" s="21" t="inlineStr">
        <is>
          <t>https://www.colgate.com/en-my/products/toothbrush/colgate-proclinical-150-deepclean-battery-powered-toothbrush</t>
        </is>
      </c>
      <c r="T37" s="21" t="inlineStr">
        <is>
          <t>https://www.colgate.com/en-my/products/toothbrush/colgate-proclinical-150-charcoal-battery-powered-toothbrush</t>
        </is>
      </c>
      <c r="U37" s="20" t="inlineStr">
        <is>
          <t>Rapprochement sur le segment des têtes pour brosses à piles et le prix par tête. Tête de rechange du segment brosses à piles, benchmark du prix par tête en entrée de gamme.</t>
        </is>
      </c>
      <c r="V37" s="22">
        <f>IFERROR(IF(IF('Relevé prix'!$B$1="SN",VLOOKUP($G37,'Relevé prix'!$A$4:$N$60,11,FALSE),VLOOKUP($G37,'Relevé prix'!$A$4:$N$60,7,FALSE))=0,"",IF('Relevé prix'!$B$1="SN",VLOOKUP($G37,'Relevé prix'!$A$4:$N$60,11,FALSE),VLOOKUP($G37,'Relevé prix'!$A$4:$N$60,7,FALSE))),"")</f>
        <v/>
      </c>
      <c r="W37" s="23">
        <f>IFERROR(IF(IF('Relevé prix'!$B$1="SN",VLOOKUP($G37,'Relevé prix'!$A$4:$N$60,12,FALSE),VLOOKUP($G37,'Relevé prix'!$A$4:$N$60,8,FALSE))=0,"",IF('Relevé prix'!$B$1="SN",VLOOKUP($G37,'Relevé prix'!$A$4:$N$60,12,FALSE),VLOOKUP($G37,'Relevé prix'!$A$4:$N$60,8,FALSE))),"")</f>
        <v/>
      </c>
      <c r="X37" s="24" t="n"/>
      <c r="Y37" s="25" t="n"/>
      <c r="Z37" s="25" t="n"/>
      <c r="AA37" s="22">
        <f>IF(OR(X37="",V37=""),"",X37-V37)</f>
        <v/>
      </c>
      <c r="AB37" s="26">
        <f>IF(OR(X37="",V37="",V37=0),"",(X37-V37)/V37)</f>
        <v/>
      </c>
      <c r="AC37" s="27">
        <f>IF(AB37="","",IF(AB37&lt;-0.05,"Moins cher",IF(AB37&gt;0.05,"Plus cher","Équivalent")))</f>
        <v/>
      </c>
    </row>
    <row r="38">
      <c r="A38" s="13" t="inlineStr">
        <is>
          <t>SG-i026</t>
        </is>
      </c>
      <c r="B38" s="13" t="inlineStr">
        <is>
          <t>Tête de brosse</t>
        </is>
      </c>
      <c r="C38" s="13" t="inlineStr">
        <is>
          <t>Tête standard</t>
        </is>
      </c>
      <c r="D38" s="40" t="inlineStr">
        <is>
          <t>N/D</t>
        </is>
      </c>
      <c r="E38" s="18" t="inlineStr">
        <is>
          <t>SG-932, SG-956</t>
        </is>
      </c>
      <c r="F38" s="19" t="n">
        <v>50</v>
      </c>
      <c r="G38" s="20" t="inlineStr">
        <is>
          <t>SONICARE_C3</t>
        </is>
      </c>
      <c r="H38" s="20" t="inlineStr">
        <is>
          <t>Sonicare C3 Premium Plaque Control (pack de 4)</t>
        </is>
      </c>
      <c r="I38" s="20" t="inlineStr">
        <is>
          <t>Philips</t>
        </is>
      </c>
      <c r="J38" s="20" t="inlineStr">
        <is>
          <t>Tête sonique standard</t>
        </is>
      </c>
      <c r="K38" s="37" t="inlineStr">
        <is>
          <t>N/D</t>
        </is>
      </c>
      <c r="L38" s="37" t="inlineStr">
        <is>
          <t>N/D</t>
        </is>
      </c>
      <c r="M38" s="37" t="inlineStr">
        <is>
          <t>N/D</t>
        </is>
      </c>
      <c r="N38" s="37" t="inlineStr">
        <is>
          <t>N/D</t>
        </is>
      </c>
      <c r="O38" s="37" t="inlineStr">
        <is>
          <t>N/D</t>
        </is>
      </c>
      <c r="P38" s="37" t="inlineStr">
        <is>
          <t>N/D</t>
        </is>
      </c>
      <c r="Q38" s="20" t="inlineStr">
        <is>
          <t>Non vérifié sur CI, SN, BF, CM, BJ.</t>
        </is>
      </c>
      <c r="R38" s="20" t="inlineStr">
        <is>
          <t>Noon UAE, pharmacies</t>
        </is>
      </c>
      <c r="S38" s="21" t="inlineStr">
        <is>
          <t>https://www.usa.philips.com/c-p/HX6810_50/sonicare-protectiveclean-4100-sonic-electric-toothbrush/partsandaccessories</t>
        </is>
      </c>
      <c r="T38" s="21" t="inlineStr">
        <is>
          <t>https://www.ebay.com/itm/277611730525</t>
        </is>
      </c>
      <c r="U38" s="20" t="inlineStr">
        <is>
          <t>Rapprochement sur le segment des têtes soniques standard. La comparaison porte sur le prix par tête, pas sur la compatibilité mécanique. Tête à puce BrushSync. Benchmark du prix par tête sur le segment sonique premium.</t>
        </is>
      </c>
      <c r="V38" s="22">
        <f>IFERROR(IF(IF('Relevé prix'!$B$1="SN",VLOOKUP($G38,'Relevé prix'!$A$4:$N$60,11,FALSE),VLOOKUP($G38,'Relevé prix'!$A$4:$N$60,7,FALSE))=0,"",IF('Relevé prix'!$B$1="SN",VLOOKUP($G38,'Relevé prix'!$A$4:$N$60,11,FALSE),VLOOKUP($G38,'Relevé prix'!$A$4:$N$60,7,FALSE))),"")</f>
        <v/>
      </c>
      <c r="W38" s="23">
        <f>IFERROR(IF(IF('Relevé prix'!$B$1="SN",VLOOKUP($G38,'Relevé prix'!$A$4:$N$60,12,FALSE),VLOOKUP($G38,'Relevé prix'!$A$4:$N$60,8,FALSE))=0,"",IF('Relevé prix'!$B$1="SN",VLOOKUP($G38,'Relevé prix'!$A$4:$N$60,12,FALSE),VLOOKUP($G38,'Relevé prix'!$A$4:$N$60,8,FALSE))),"")</f>
        <v/>
      </c>
      <c r="X38" s="24" t="n"/>
      <c r="Y38" s="25" t="n"/>
      <c r="Z38" s="25" t="n"/>
      <c r="AA38" s="22">
        <f>IF(OR(X38="",V38=""),"",X38-V38)</f>
        <v/>
      </c>
      <c r="AB38" s="26">
        <f>IF(OR(X38="",V38="",V38=0),"",(X38-V38)/V38)</f>
        <v/>
      </c>
      <c r="AC38" s="27">
        <f>IF(AB38="","",IF(AB38&lt;-0.05,"Moins cher",IF(AB38&gt;0.05,"Plus cher","Équivalent")))</f>
        <v/>
      </c>
    </row>
    <row r="39">
      <c r="A39" s="28" t="inlineStr">
        <is>
          <t>SG-i932</t>
        </is>
      </c>
      <c r="B39" s="28" t="inlineStr">
        <is>
          <t>Tête de brosse</t>
        </is>
      </c>
      <c r="C39" s="28" t="inlineStr">
        <is>
          <t>Tête standard</t>
        </is>
      </c>
      <c r="D39" s="36" t="inlineStr">
        <is>
          <t>N/D</t>
        </is>
      </c>
      <c r="E39" s="32" t="inlineStr">
        <is>
          <t>SG-932, SG-956</t>
        </is>
      </c>
      <c r="F39" s="33" t="n">
        <v>50</v>
      </c>
      <c r="G39" s="20" t="inlineStr">
        <is>
          <t>SONICARE_C3</t>
        </is>
      </c>
      <c r="H39" s="20" t="inlineStr">
        <is>
          <t>Sonicare C3 Premium Plaque Control (pack de 4)</t>
        </is>
      </c>
      <c r="I39" s="20" t="inlineStr">
        <is>
          <t>Philips</t>
        </is>
      </c>
      <c r="J39" s="20" t="inlineStr">
        <is>
          <t>Tête sonique standard</t>
        </is>
      </c>
      <c r="K39" s="37" t="inlineStr">
        <is>
          <t>N/D</t>
        </is>
      </c>
      <c r="L39" s="37" t="inlineStr">
        <is>
          <t>N/D</t>
        </is>
      </c>
      <c r="M39" s="37" t="inlineStr">
        <is>
          <t>N/D</t>
        </is>
      </c>
      <c r="N39" s="37" t="inlineStr">
        <is>
          <t>N/D</t>
        </is>
      </c>
      <c r="O39" s="37" t="inlineStr">
        <is>
          <t>N/D</t>
        </is>
      </c>
      <c r="P39" s="37" t="inlineStr">
        <is>
          <t>N/D</t>
        </is>
      </c>
      <c r="Q39" s="20" t="inlineStr">
        <is>
          <t>Non vérifié sur CI, SN, BF, CM, BJ.</t>
        </is>
      </c>
      <c r="R39" s="20" t="inlineStr">
        <is>
          <t>Noon UAE, pharmacies</t>
        </is>
      </c>
      <c r="S39" s="21" t="inlineStr">
        <is>
          <t>https://www.usa.philips.com/c-p/HX6810_50/sonicare-protectiveclean-4100-sonic-electric-toothbrush/partsandaccessories</t>
        </is>
      </c>
      <c r="T39" s="21" t="inlineStr">
        <is>
          <t>https://www.ebay.com/itm/277611730525</t>
        </is>
      </c>
      <c r="U39" s="20" t="inlineStr">
        <is>
          <t>Rapprochement sur le segment des têtes soniques standard. La comparaison porte sur le prix par tête, pas sur la compatibilité mécanique. Tête à puce BrushSync. Benchmark du prix par tête sur le segment sonique premium.</t>
        </is>
      </c>
      <c r="V39" s="22">
        <f>IFERROR(IF(IF('Relevé prix'!$B$1="SN",VLOOKUP($G39,'Relevé prix'!$A$4:$N$60,11,FALSE),VLOOKUP($G39,'Relevé prix'!$A$4:$N$60,7,FALSE))=0,"",IF('Relevé prix'!$B$1="SN",VLOOKUP($G39,'Relevé prix'!$A$4:$N$60,11,FALSE),VLOOKUP($G39,'Relevé prix'!$A$4:$N$60,7,FALSE))),"")</f>
        <v/>
      </c>
      <c r="W39" s="23">
        <f>IFERROR(IF(IF('Relevé prix'!$B$1="SN",VLOOKUP($G39,'Relevé prix'!$A$4:$N$60,12,FALSE),VLOOKUP($G39,'Relevé prix'!$A$4:$N$60,8,FALSE))=0,"",IF('Relevé prix'!$B$1="SN",VLOOKUP($G39,'Relevé prix'!$A$4:$N$60,12,FALSE),VLOOKUP($G39,'Relevé prix'!$A$4:$N$60,8,FALSE))),"")</f>
        <v/>
      </c>
      <c r="X39" s="24" t="n"/>
      <c r="Y39" s="25" t="n"/>
      <c r="Z39" s="25" t="n"/>
      <c r="AA39" s="22">
        <f>IF(OR(X39="",V39=""),"",X39-V39)</f>
        <v/>
      </c>
      <c r="AB39" s="26">
        <f>IF(OR(X39="",V39="",V39=0),"",(X39-V39)/V39)</f>
        <v/>
      </c>
      <c r="AC39" s="27">
        <f>IF(AB39="","",IF(AB39&lt;-0.05,"Moins cher",IF(AB39&gt;0.05,"Plus cher","Équivalent")))</f>
        <v/>
      </c>
    </row>
    <row r="40">
      <c r="A40" s="13" t="inlineStr">
        <is>
          <t>SG-H025</t>
        </is>
      </c>
      <c r="B40" s="13" t="inlineStr">
        <is>
          <t>Tête de brosse</t>
        </is>
      </c>
      <c r="C40" s="13" t="inlineStr">
        <is>
          <t>Petite tête</t>
        </is>
      </c>
      <c r="D40" s="40" t="inlineStr">
        <is>
          <t>N/D</t>
        </is>
      </c>
      <c r="E40" s="18" t="inlineStr">
        <is>
          <t>SG-513, SG-2113, SG-976, SG-977, SG-2107, SG-921</t>
        </is>
      </c>
      <c r="F40" s="19" t="n">
        <v>61</v>
      </c>
      <c r="G40" s="20" t="inlineStr">
        <is>
          <t>SONICARE_C3</t>
        </is>
      </c>
      <c r="H40" s="20" t="inlineStr">
        <is>
          <t>Sonicare C3 Premium Plaque Control (pack de 4)</t>
        </is>
      </c>
      <c r="I40" s="20" t="inlineStr">
        <is>
          <t>Philips</t>
        </is>
      </c>
      <c r="J40" s="20" t="inlineStr">
        <is>
          <t>Tête sonique standard</t>
        </is>
      </c>
      <c r="K40" s="37" t="inlineStr">
        <is>
          <t>N/D</t>
        </is>
      </c>
      <c r="L40" s="37" t="inlineStr">
        <is>
          <t>N/D</t>
        </is>
      </c>
      <c r="M40" s="37" t="inlineStr">
        <is>
          <t>N/D</t>
        </is>
      </c>
      <c r="N40" s="37" t="inlineStr">
        <is>
          <t>N/D</t>
        </is>
      </c>
      <c r="O40" s="37" t="inlineStr">
        <is>
          <t>N/D</t>
        </is>
      </c>
      <c r="P40" s="37" t="inlineStr">
        <is>
          <t>N/D</t>
        </is>
      </c>
      <c r="Q40" s="20" t="inlineStr">
        <is>
          <t>Non vérifié sur CI, SN, BF, CM, BJ.</t>
        </is>
      </c>
      <c r="R40" s="20" t="inlineStr">
        <is>
          <t>Noon UAE, pharmacies</t>
        </is>
      </c>
      <c r="S40" s="21" t="inlineStr">
        <is>
          <t>https://www.usa.philips.com/c-p/HX6810_50/sonicare-protectiveclean-4100-sonic-electric-toothbrush/partsandaccessories</t>
        </is>
      </c>
      <c r="T40" s="21" t="inlineStr">
        <is>
          <t>https://www.ebay.com/itm/277611730525</t>
        </is>
      </c>
      <c r="U40" s="20" t="inlineStr">
        <is>
          <t>Rapprochement sur le segment des têtes soniques standard. La comparaison porte sur le prix par tête, pas sur la compatibilité mécanique. Tête à puce BrushSync. Benchmark du prix par tête sur le segment sonique premium.</t>
        </is>
      </c>
      <c r="V40" s="22">
        <f>IFERROR(IF(IF('Relevé prix'!$B$1="SN",VLOOKUP($G40,'Relevé prix'!$A$4:$N$60,11,FALSE),VLOOKUP($G40,'Relevé prix'!$A$4:$N$60,7,FALSE))=0,"",IF('Relevé prix'!$B$1="SN",VLOOKUP($G40,'Relevé prix'!$A$4:$N$60,11,FALSE),VLOOKUP($G40,'Relevé prix'!$A$4:$N$60,7,FALSE))),"")</f>
        <v/>
      </c>
      <c r="W40" s="23">
        <f>IFERROR(IF(IF('Relevé prix'!$B$1="SN",VLOOKUP($G40,'Relevé prix'!$A$4:$N$60,12,FALSE),VLOOKUP($G40,'Relevé prix'!$A$4:$N$60,8,FALSE))=0,"",IF('Relevé prix'!$B$1="SN",VLOOKUP($G40,'Relevé prix'!$A$4:$N$60,12,FALSE),VLOOKUP($G40,'Relevé prix'!$A$4:$N$60,8,FALSE))),"")</f>
        <v/>
      </c>
      <c r="X40" s="24" t="n"/>
      <c r="Y40" s="25" t="n"/>
      <c r="Z40" s="25" t="n"/>
      <c r="AA40" s="22">
        <f>IF(OR(X40="",V40=""),"",X40-V40)</f>
        <v/>
      </c>
      <c r="AB40" s="26">
        <f>IF(OR(X40="",V40="",V40=0),"",(X40-V40)/V40)</f>
        <v/>
      </c>
      <c r="AC40" s="27">
        <f>IF(AB40="","",IF(AB40&lt;-0.05,"Moins cher",IF(AB40&gt;0.05,"Plus cher","Équivalent")))</f>
        <v/>
      </c>
    </row>
    <row r="41">
      <c r="A41" s="28" t="inlineStr">
        <is>
          <t>SG-H037</t>
        </is>
      </c>
      <c r="B41" s="28" t="inlineStr">
        <is>
          <t>Tête de brosse</t>
        </is>
      </c>
      <c r="C41" s="28" t="inlineStr">
        <is>
          <t>Tête medium</t>
        </is>
      </c>
      <c r="D41" s="36" t="inlineStr">
        <is>
          <t>N/D</t>
        </is>
      </c>
      <c r="E41" s="32" t="inlineStr">
        <is>
          <t>SG-513, SG-2113, SG-976, SG-977, SG-2107, SG-921</t>
        </is>
      </c>
      <c r="F41" s="33" t="n">
        <v>61</v>
      </c>
      <c r="G41" s="20" t="inlineStr">
        <is>
          <t>SONICARE_C3</t>
        </is>
      </c>
      <c r="H41" s="20" t="inlineStr">
        <is>
          <t>Sonicare C3 Premium Plaque Control (pack de 4)</t>
        </is>
      </c>
      <c r="I41" s="20" t="inlineStr">
        <is>
          <t>Philips</t>
        </is>
      </c>
      <c r="J41" s="20" t="inlineStr">
        <is>
          <t>Tête sonique standard</t>
        </is>
      </c>
      <c r="K41" s="37" t="inlineStr">
        <is>
          <t>N/D</t>
        </is>
      </c>
      <c r="L41" s="37" t="inlineStr">
        <is>
          <t>N/D</t>
        </is>
      </c>
      <c r="M41" s="37" t="inlineStr">
        <is>
          <t>N/D</t>
        </is>
      </c>
      <c r="N41" s="37" t="inlineStr">
        <is>
          <t>N/D</t>
        </is>
      </c>
      <c r="O41" s="37" t="inlineStr">
        <is>
          <t>N/D</t>
        </is>
      </c>
      <c r="P41" s="37" t="inlineStr">
        <is>
          <t>N/D</t>
        </is>
      </c>
      <c r="Q41" s="20" t="inlineStr">
        <is>
          <t>Non vérifié sur CI, SN, BF, CM, BJ.</t>
        </is>
      </c>
      <c r="R41" s="20" t="inlineStr">
        <is>
          <t>Noon UAE, pharmacies</t>
        </is>
      </c>
      <c r="S41" s="21" t="inlineStr">
        <is>
          <t>https://www.usa.philips.com/c-p/HX6810_50/sonicare-protectiveclean-4100-sonic-electric-toothbrush/partsandaccessories</t>
        </is>
      </c>
      <c r="T41" s="21" t="inlineStr">
        <is>
          <t>https://www.ebay.com/itm/277611730525</t>
        </is>
      </c>
      <c r="U41" s="20" t="inlineStr">
        <is>
          <t>Rapprochement sur le segment des têtes soniques standard. La comparaison porte sur le prix par tête, pas sur la compatibilité mécanique. Tête à puce BrushSync. Benchmark du prix par tête sur le segment sonique premium.</t>
        </is>
      </c>
      <c r="V41" s="22">
        <f>IFERROR(IF(IF('Relevé prix'!$B$1="SN",VLOOKUP($G41,'Relevé prix'!$A$4:$N$60,11,FALSE),VLOOKUP($G41,'Relevé prix'!$A$4:$N$60,7,FALSE))=0,"",IF('Relevé prix'!$B$1="SN",VLOOKUP($G41,'Relevé prix'!$A$4:$N$60,11,FALSE),VLOOKUP($G41,'Relevé prix'!$A$4:$N$60,7,FALSE))),"")</f>
        <v/>
      </c>
      <c r="W41" s="23">
        <f>IFERROR(IF(IF('Relevé prix'!$B$1="SN",VLOOKUP($G41,'Relevé prix'!$A$4:$N$60,12,FALSE),VLOOKUP($G41,'Relevé prix'!$A$4:$N$60,8,FALSE))=0,"",IF('Relevé prix'!$B$1="SN",VLOOKUP($G41,'Relevé prix'!$A$4:$N$60,12,FALSE),VLOOKUP($G41,'Relevé prix'!$A$4:$N$60,8,FALSE))),"")</f>
        <v/>
      </c>
      <c r="X41" s="24" t="n"/>
      <c r="Y41" s="25" t="n"/>
      <c r="Z41" s="25" t="n"/>
      <c r="AA41" s="22">
        <f>IF(OR(X41="",V41=""),"",X41-V41)</f>
        <v/>
      </c>
      <c r="AB41" s="26">
        <f>IF(OR(X41="",V41="",V41=0),"",(X41-V41)/V41)</f>
        <v/>
      </c>
      <c r="AC41" s="27">
        <f>IF(AB41="","",IF(AB41&lt;-0.05,"Moins cher",IF(AB41&gt;0.05,"Plus cher","Équivalent")))</f>
        <v/>
      </c>
    </row>
    <row r="42">
      <c r="A42" s="13" t="inlineStr">
        <is>
          <t>SG-H047</t>
        </is>
      </c>
      <c r="B42" s="13" t="inlineStr">
        <is>
          <t>Tête de brosse</t>
        </is>
      </c>
      <c r="C42" s="13" t="inlineStr">
        <is>
          <t>Petite tête avec gratte-langue</t>
        </is>
      </c>
      <c r="D42" s="40" t="inlineStr">
        <is>
          <t>N/D</t>
        </is>
      </c>
      <c r="E42" s="18" t="inlineStr">
        <is>
          <t>SG-513, SG-2113, SG-976, SG-977, SG-2107, SG-921</t>
        </is>
      </c>
      <c r="F42" s="19" t="n">
        <v>61</v>
      </c>
      <c r="G42" s="20" t="inlineStr">
        <is>
          <t>USMILE_HEADS</t>
        </is>
      </c>
      <c r="H42" s="20" t="inlineStr">
        <is>
          <t>Têtes de rechange P1 / Y1S / U3 / P4</t>
        </is>
      </c>
      <c r="I42" s="20" t="inlineStr">
        <is>
          <t>usmile</t>
        </is>
      </c>
      <c r="J42" s="20" t="inlineStr">
        <is>
          <t>Tête sonique avec brins témoins d'usure</t>
        </is>
      </c>
      <c r="K42" s="37" t="inlineStr">
        <is>
          <t>N/D</t>
        </is>
      </c>
      <c r="L42" s="37" t="inlineStr">
        <is>
          <t>N/D</t>
        </is>
      </c>
      <c r="M42" s="37" t="inlineStr">
        <is>
          <t>N/D</t>
        </is>
      </c>
      <c r="N42" s="37" t="inlineStr">
        <is>
          <t>N/D</t>
        </is>
      </c>
      <c r="O42" s="37" t="inlineStr">
        <is>
          <t>N/D</t>
        </is>
      </c>
      <c r="P42" s="37" t="inlineStr">
        <is>
          <t>N/D</t>
        </is>
      </c>
      <c r="Q42" s="20" t="inlineStr">
        <is>
          <t>Non vérifié sur CI, SN, BF, CM, BJ.</t>
        </is>
      </c>
      <c r="R42" s="20" t="inlineStr">
        <is>
          <t>Marketplaces</t>
        </is>
      </c>
      <c r="S42" s="21" t="inlineStr">
        <is>
          <t>https://www.amazon.com/usmile-Replacement-Toothbrush-Electric-Reminder/dp/B09D3SHP7K</t>
        </is>
      </c>
      <c r="T42" s="21" t="inlineStr">
        <is>
          <t>https://usmile.us/products/usmile-whitening-brush-head-2-packs</t>
        </is>
      </c>
      <c r="U42" s="20" t="inlineStr">
        <is>
          <t>Rapprochement sur les têtes soniques à fonction additionnelle et le prix par tête. Brins témoins qui décolorent à l'usure, argument de renouvellement récurrent.</t>
        </is>
      </c>
      <c r="V42" s="22">
        <f>IFERROR(IF(IF('Relevé prix'!$B$1="SN",VLOOKUP($G42,'Relevé prix'!$A$4:$N$60,11,FALSE),VLOOKUP($G42,'Relevé prix'!$A$4:$N$60,7,FALSE))=0,"",IF('Relevé prix'!$B$1="SN",VLOOKUP($G42,'Relevé prix'!$A$4:$N$60,11,FALSE),VLOOKUP($G42,'Relevé prix'!$A$4:$N$60,7,FALSE))),"")</f>
        <v/>
      </c>
      <c r="W42" s="23">
        <f>IFERROR(IF(IF('Relevé prix'!$B$1="SN",VLOOKUP($G42,'Relevé prix'!$A$4:$N$60,12,FALSE),VLOOKUP($G42,'Relevé prix'!$A$4:$N$60,8,FALSE))=0,"",IF('Relevé prix'!$B$1="SN",VLOOKUP($G42,'Relevé prix'!$A$4:$N$60,12,FALSE),VLOOKUP($G42,'Relevé prix'!$A$4:$N$60,8,FALSE))),"")</f>
        <v/>
      </c>
      <c r="X42" s="24" t="n"/>
      <c r="Y42" s="25" t="n"/>
      <c r="Z42" s="25" t="n"/>
      <c r="AA42" s="22">
        <f>IF(OR(X42="",V42=""),"",X42-V42)</f>
        <v/>
      </c>
      <c r="AB42" s="26">
        <f>IF(OR(X42="",V42="",V42=0),"",(X42-V42)/V42)</f>
        <v/>
      </c>
      <c r="AC42" s="27">
        <f>IF(AB42="","",IF(AB42&lt;-0.05,"Moins cher",IF(AB42&gt;0.05,"Plus cher","Équivalent")))</f>
        <v/>
      </c>
    </row>
    <row r="43">
      <c r="A43" s="28" t="inlineStr">
        <is>
          <t>SG-H923</t>
        </is>
      </c>
      <c r="B43" s="28" t="inlineStr">
        <is>
          <t>Tête de brosse</t>
        </is>
      </c>
      <c r="C43" s="28" t="inlineStr">
        <is>
          <t>Grande tête</t>
        </is>
      </c>
      <c r="D43" s="36" t="inlineStr">
        <is>
          <t>N/D</t>
        </is>
      </c>
      <c r="E43" s="32" t="inlineStr">
        <is>
          <t>SG-513, SG-2113, SG-976, SG-977, SG-2107, SG-921</t>
        </is>
      </c>
      <c r="F43" s="33" t="n">
        <v>61</v>
      </c>
      <c r="G43" s="20" t="inlineStr">
        <is>
          <t>SONICARE_C3</t>
        </is>
      </c>
      <c r="H43" s="20" t="inlineStr">
        <is>
          <t>Sonicare C3 Premium Plaque Control (pack de 4)</t>
        </is>
      </c>
      <c r="I43" s="20" t="inlineStr">
        <is>
          <t>Philips</t>
        </is>
      </c>
      <c r="J43" s="20" t="inlineStr">
        <is>
          <t>Tête sonique standard</t>
        </is>
      </c>
      <c r="K43" s="37" t="inlineStr">
        <is>
          <t>N/D</t>
        </is>
      </c>
      <c r="L43" s="37" t="inlineStr">
        <is>
          <t>N/D</t>
        </is>
      </c>
      <c r="M43" s="37" t="inlineStr">
        <is>
          <t>N/D</t>
        </is>
      </c>
      <c r="N43" s="37" t="inlineStr">
        <is>
          <t>N/D</t>
        </is>
      </c>
      <c r="O43" s="37" t="inlineStr">
        <is>
          <t>N/D</t>
        </is>
      </c>
      <c r="P43" s="37" t="inlineStr">
        <is>
          <t>N/D</t>
        </is>
      </c>
      <c r="Q43" s="20" t="inlineStr">
        <is>
          <t>Non vérifié sur CI, SN, BF, CM, BJ.</t>
        </is>
      </c>
      <c r="R43" s="20" t="inlineStr">
        <is>
          <t>Noon UAE, pharmacies</t>
        </is>
      </c>
      <c r="S43" s="21" t="inlineStr">
        <is>
          <t>https://www.usa.philips.com/c-p/HX6810_50/sonicare-protectiveclean-4100-sonic-electric-toothbrush/partsandaccessories</t>
        </is>
      </c>
      <c r="T43" s="21" t="inlineStr">
        <is>
          <t>https://www.ebay.com/itm/277611730525</t>
        </is>
      </c>
      <c r="U43" s="20" t="inlineStr">
        <is>
          <t>Rapprochement sur le segment des têtes soniques standard. La comparaison porte sur le prix par tête, pas sur la compatibilité mécanique. Tête à puce BrushSync. Benchmark du prix par tête sur le segment sonique premium.</t>
        </is>
      </c>
      <c r="V43" s="22">
        <f>IFERROR(IF(IF('Relevé prix'!$B$1="SN",VLOOKUP($G43,'Relevé prix'!$A$4:$N$60,11,FALSE),VLOOKUP($G43,'Relevé prix'!$A$4:$N$60,7,FALSE))=0,"",IF('Relevé prix'!$B$1="SN",VLOOKUP($G43,'Relevé prix'!$A$4:$N$60,11,FALSE),VLOOKUP($G43,'Relevé prix'!$A$4:$N$60,7,FALSE))),"")</f>
        <v/>
      </c>
      <c r="W43" s="23">
        <f>IFERROR(IF(IF('Relevé prix'!$B$1="SN",VLOOKUP($G43,'Relevé prix'!$A$4:$N$60,12,FALSE),VLOOKUP($G43,'Relevé prix'!$A$4:$N$60,8,FALSE))=0,"",IF('Relevé prix'!$B$1="SN",VLOOKUP($G43,'Relevé prix'!$A$4:$N$60,12,FALSE),VLOOKUP($G43,'Relevé prix'!$A$4:$N$60,8,FALSE))),"")</f>
        <v/>
      </c>
      <c r="X43" s="24" t="n"/>
      <c r="Y43" s="25" t="n"/>
      <c r="Z43" s="25" t="n"/>
      <c r="AA43" s="22">
        <f>IF(OR(X43="",V43=""),"",X43-V43)</f>
        <v/>
      </c>
      <c r="AB43" s="26">
        <f>IF(OR(X43="",V43="",V43=0),"",(X43-V43)/V43)</f>
        <v/>
      </c>
      <c r="AC43" s="27">
        <f>IF(AB43="","",IF(AB43&lt;-0.05,"Moins cher",IF(AB43&gt;0.05,"Plus cher","Équivalent")))</f>
        <v/>
      </c>
    </row>
    <row r="44">
      <c r="A44" s="13" t="inlineStr">
        <is>
          <t>SG-H029</t>
        </is>
      </c>
      <c r="B44" s="13" t="inlineStr">
        <is>
          <t>Tête de brosse</t>
        </is>
      </c>
      <c r="C44" s="13" t="inlineStr">
        <is>
          <t>Tête interdentaire</t>
        </is>
      </c>
      <c r="D44" s="40" t="inlineStr">
        <is>
          <t>N/D</t>
        </is>
      </c>
      <c r="E44" s="18" t="inlineStr">
        <is>
          <t>SG-513, SG-2113, SG-976, SG-977, SG-2107, SG-921</t>
        </is>
      </c>
      <c r="F44" s="19" t="n">
        <v>61</v>
      </c>
      <c r="G44" s="20" t="inlineStr">
        <is>
          <t>SONICARE_C3</t>
        </is>
      </c>
      <c r="H44" s="20" t="inlineStr">
        <is>
          <t>Sonicare C3 Premium Plaque Control (pack de 4)</t>
        </is>
      </c>
      <c r="I44" s="20" t="inlineStr">
        <is>
          <t>Philips</t>
        </is>
      </c>
      <c r="J44" s="20" t="inlineStr">
        <is>
          <t>Tête sonique standard</t>
        </is>
      </c>
      <c r="K44" s="37" t="inlineStr">
        <is>
          <t>N/D</t>
        </is>
      </c>
      <c r="L44" s="37" t="inlineStr">
        <is>
          <t>N/D</t>
        </is>
      </c>
      <c r="M44" s="37" t="inlineStr">
        <is>
          <t>N/D</t>
        </is>
      </c>
      <c r="N44" s="37" t="inlineStr">
        <is>
          <t>N/D</t>
        </is>
      </c>
      <c r="O44" s="37" t="inlineStr">
        <is>
          <t>N/D</t>
        </is>
      </c>
      <c r="P44" s="37" t="inlineStr">
        <is>
          <t>N/D</t>
        </is>
      </c>
      <c r="Q44" s="20" t="inlineStr">
        <is>
          <t>Non vérifié sur CI, SN, BF, CM, BJ.</t>
        </is>
      </c>
      <c r="R44" s="20" t="inlineStr">
        <is>
          <t>Noon UAE, pharmacies</t>
        </is>
      </c>
      <c r="S44" s="21" t="inlineStr">
        <is>
          <t>https://www.usa.philips.com/c-p/HX6810_50/sonicare-protectiveclean-4100-sonic-electric-toothbrush/partsandaccessories</t>
        </is>
      </c>
      <c r="T44" s="21" t="inlineStr">
        <is>
          <t>https://www.ebay.com/itm/277611730525</t>
        </is>
      </c>
      <c r="U44" s="20" t="inlineStr">
        <is>
          <t>Rapprochement sur le segment des têtes soniques standard. La comparaison porte sur le prix par tête, pas sur la compatibilité mécanique. Tête à puce BrushSync. Benchmark du prix par tête sur le segment sonique premium.</t>
        </is>
      </c>
      <c r="V44" s="22">
        <f>IFERROR(IF(IF('Relevé prix'!$B$1="SN",VLOOKUP($G44,'Relevé prix'!$A$4:$N$60,11,FALSE),VLOOKUP($G44,'Relevé prix'!$A$4:$N$60,7,FALSE))=0,"",IF('Relevé prix'!$B$1="SN",VLOOKUP($G44,'Relevé prix'!$A$4:$N$60,11,FALSE),VLOOKUP($G44,'Relevé prix'!$A$4:$N$60,7,FALSE))),"")</f>
        <v/>
      </c>
      <c r="W44" s="23">
        <f>IFERROR(IF(IF('Relevé prix'!$B$1="SN",VLOOKUP($G44,'Relevé prix'!$A$4:$N$60,12,FALSE),VLOOKUP($G44,'Relevé prix'!$A$4:$N$60,8,FALSE))=0,"",IF('Relevé prix'!$B$1="SN",VLOOKUP($G44,'Relevé prix'!$A$4:$N$60,12,FALSE),VLOOKUP($G44,'Relevé prix'!$A$4:$N$60,8,FALSE))),"")</f>
        <v/>
      </c>
      <c r="X44" s="24" t="n"/>
      <c r="Y44" s="25" t="n"/>
      <c r="Z44" s="25" t="n"/>
      <c r="AA44" s="22">
        <f>IF(OR(X44="",V44=""),"",X44-V44)</f>
        <v/>
      </c>
      <c r="AB44" s="26">
        <f>IF(OR(X44="",V44="",V44=0),"",(X44-V44)/V44)</f>
        <v/>
      </c>
      <c r="AC44" s="27">
        <f>IF(AB44="","",IF(AB44&lt;-0.05,"Moins cher",IF(AB44&gt;0.05,"Plus cher","Équivalent")))</f>
        <v/>
      </c>
    </row>
    <row r="45">
      <c r="A45" s="28" t="inlineStr">
        <is>
          <t>SG-H039</t>
        </is>
      </c>
      <c r="B45" s="28" t="inlineStr">
        <is>
          <t>Tête de brosse</t>
        </is>
      </c>
      <c r="C45" s="28" t="inlineStr">
        <is>
          <t>Tête gratte-langue</t>
        </is>
      </c>
      <c r="D45" s="36" t="inlineStr">
        <is>
          <t>N/D</t>
        </is>
      </c>
      <c r="E45" s="32" t="inlineStr">
        <is>
          <t>SG-513, SG-2113, SG-976, SG-977, SG-2107, SG-921</t>
        </is>
      </c>
      <c r="F45" s="33" t="n">
        <v>61</v>
      </c>
      <c r="G45" s="20" t="inlineStr">
        <is>
          <t>USMILE_HEADS</t>
        </is>
      </c>
      <c r="H45" s="20" t="inlineStr">
        <is>
          <t>Têtes de rechange P1 / Y1S / U3 / P4</t>
        </is>
      </c>
      <c r="I45" s="20" t="inlineStr">
        <is>
          <t>usmile</t>
        </is>
      </c>
      <c r="J45" s="20" t="inlineStr">
        <is>
          <t>Tête sonique avec brins témoins d'usure</t>
        </is>
      </c>
      <c r="K45" s="37" t="inlineStr">
        <is>
          <t>N/D</t>
        </is>
      </c>
      <c r="L45" s="37" t="inlineStr">
        <is>
          <t>N/D</t>
        </is>
      </c>
      <c r="M45" s="37" t="inlineStr">
        <is>
          <t>N/D</t>
        </is>
      </c>
      <c r="N45" s="37" t="inlineStr">
        <is>
          <t>N/D</t>
        </is>
      </c>
      <c r="O45" s="37" t="inlineStr">
        <is>
          <t>N/D</t>
        </is>
      </c>
      <c r="P45" s="37" t="inlineStr">
        <is>
          <t>N/D</t>
        </is>
      </c>
      <c r="Q45" s="20" t="inlineStr">
        <is>
          <t>Non vérifié sur CI, SN, BF, CM, BJ.</t>
        </is>
      </c>
      <c r="R45" s="20" t="inlineStr">
        <is>
          <t>Marketplaces</t>
        </is>
      </c>
      <c r="S45" s="21" t="inlineStr">
        <is>
          <t>https://www.amazon.com/usmile-Replacement-Toothbrush-Electric-Reminder/dp/B09D3SHP7K</t>
        </is>
      </c>
      <c r="T45" s="21" t="inlineStr">
        <is>
          <t>https://usmile.us/products/usmile-whitening-brush-head-2-packs</t>
        </is>
      </c>
      <c r="U45" s="20" t="inlineStr">
        <is>
          <t>Rapprochement sur les têtes soniques à fonction additionnelle et le prix par tête. Brins témoins qui décolorent à l'usure, argument de renouvellement récurrent.</t>
        </is>
      </c>
      <c r="V45" s="22">
        <f>IFERROR(IF(IF('Relevé prix'!$B$1="SN",VLOOKUP($G45,'Relevé prix'!$A$4:$N$60,11,FALSE),VLOOKUP($G45,'Relevé prix'!$A$4:$N$60,7,FALSE))=0,"",IF('Relevé prix'!$B$1="SN",VLOOKUP($G45,'Relevé prix'!$A$4:$N$60,11,FALSE),VLOOKUP($G45,'Relevé prix'!$A$4:$N$60,7,FALSE))),"")</f>
        <v/>
      </c>
      <c r="W45" s="23">
        <f>IFERROR(IF(IF('Relevé prix'!$B$1="SN",VLOOKUP($G45,'Relevé prix'!$A$4:$N$60,12,FALSE),VLOOKUP($G45,'Relevé prix'!$A$4:$N$60,8,FALSE))=0,"",IF('Relevé prix'!$B$1="SN",VLOOKUP($G45,'Relevé prix'!$A$4:$N$60,12,FALSE),VLOOKUP($G45,'Relevé prix'!$A$4:$N$60,8,FALSE))),"")</f>
        <v/>
      </c>
      <c r="X45" s="24" t="n"/>
      <c r="Y45" s="25" t="n"/>
      <c r="Z45" s="25" t="n"/>
      <c r="AA45" s="22">
        <f>IF(OR(X45="",V45=""),"",X45-V45)</f>
        <v/>
      </c>
      <c r="AB45" s="26">
        <f>IF(OR(X45="",V45="",V45=0),"",(X45-V45)/V45)</f>
        <v/>
      </c>
      <c r="AC45" s="27">
        <f>IF(AB45="","",IF(AB45&lt;-0.05,"Moins cher",IF(AB45&gt;0.05,"Plus cher","Équivalent")))</f>
        <v/>
      </c>
    </row>
    <row r="46">
      <c r="A46" s="13" t="inlineStr">
        <is>
          <t>SG-H046</t>
        </is>
      </c>
      <c r="B46" s="13" t="inlineStr">
        <is>
          <t>Tête de brosse</t>
        </is>
      </c>
      <c r="C46" s="13" t="inlineStr">
        <is>
          <t>Tête massage des gencives</t>
        </is>
      </c>
      <c r="D46" s="40" t="inlineStr">
        <is>
          <t>N/D</t>
        </is>
      </c>
      <c r="E46" s="18" t="inlineStr">
        <is>
          <t>SG-513, SG-2113, SG-976, SG-977, SG-2107, SG-921</t>
        </is>
      </c>
      <c r="F46" s="19" t="n">
        <v>61</v>
      </c>
      <c r="G46" s="20" t="inlineStr">
        <is>
          <t>SONICARE_C3</t>
        </is>
      </c>
      <c r="H46" s="20" t="inlineStr">
        <is>
          <t>Sonicare C3 Premium Plaque Control (pack de 4)</t>
        </is>
      </c>
      <c r="I46" s="20" t="inlineStr">
        <is>
          <t>Philips</t>
        </is>
      </c>
      <c r="J46" s="20" t="inlineStr">
        <is>
          <t>Tête sonique standard</t>
        </is>
      </c>
      <c r="K46" s="37" t="inlineStr">
        <is>
          <t>N/D</t>
        </is>
      </c>
      <c r="L46" s="37" t="inlineStr">
        <is>
          <t>N/D</t>
        </is>
      </c>
      <c r="M46" s="37" t="inlineStr">
        <is>
          <t>N/D</t>
        </is>
      </c>
      <c r="N46" s="37" t="inlineStr">
        <is>
          <t>N/D</t>
        </is>
      </c>
      <c r="O46" s="37" t="inlineStr">
        <is>
          <t>N/D</t>
        </is>
      </c>
      <c r="P46" s="37" t="inlineStr">
        <is>
          <t>N/D</t>
        </is>
      </c>
      <c r="Q46" s="20" t="inlineStr">
        <is>
          <t>Non vérifié sur CI, SN, BF, CM, BJ.</t>
        </is>
      </c>
      <c r="R46" s="20" t="inlineStr">
        <is>
          <t>Noon UAE, pharmacies</t>
        </is>
      </c>
      <c r="S46" s="21" t="inlineStr">
        <is>
          <t>https://www.usa.philips.com/c-p/HX6810_50/sonicare-protectiveclean-4100-sonic-electric-toothbrush/partsandaccessories</t>
        </is>
      </c>
      <c r="T46" s="21" t="inlineStr">
        <is>
          <t>https://www.ebay.com/itm/277611730525</t>
        </is>
      </c>
      <c r="U46" s="20" t="inlineStr">
        <is>
          <t>Rapprochement sur le segment des têtes soniques standard. La comparaison porte sur le prix par tête, pas sur la compatibilité mécanique. Tête à puce BrushSync. Benchmark du prix par tête sur le segment sonique premium.</t>
        </is>
      </c>
      <c r="V46" s="22">
        <f>IFERROR(IF(IF('Relevé prix'!$B$1="SN",VLOOKUP($G46,'Relevé prix'!$A$4:$N$60,11,FALSE),VLOOKUP($G46,'Relevé prix'!$A$4:$N$60,7,FALSE))=0,"",IF('Relevé prix'!$B$1="SN",VLOOKUP($G46,'Relevé prix'!$A$4:$N$60,11,FALSE),VLOOKUP($G46,'Relevé prix'!$A$4:$N$60,7,FALSE))),"")</f>
        <v/>
      </c>
      <c r="W46" s="23">
        <f>IFERROR(IF(IF('Relevé prix'!$B$1="SN",VLOOKUP($G46,'Relevé prix'!$A$4:$N$60,12,FALSE),VLOOKUP($G46,'Relevé prix'!$A$4:$N$60,8,FALSE))=0,"",IF('Relevé prix'!$B$1="SN",VLOOKUP($G46,'Relevé prix'!$A$4:$N$60,12,FALSE),VLOOKUP($G46,'Relevé prix'!$A$4:$N$60,8,FALSE))),"")</f>
        <v/>
      </c>
      <c r="X46" s="24" t="n"/>
      <c r="Y46" s="25" t="n"/>
      <c r="Z46" s="25" t="n"/>
      <c r="AA46" s="22">
        <f>IF(OR(X46="",V46=""),"",X46-V46)</f>
        <v/>
      </c>
      <c r="AB46" s="26">
        <f>IF(OR(X46="",V46="",V46=0),"",(X46-V46)/V46)</f>
        <v/>
      </c>
      <c r="AC46" s="27">
        <f>IF(AB46="","",IF(AB46&lt;-0.05,"Moins cher",IF(AB46&gt;0.05,"Plus cher","Équivalent")))</f>
        <v/>
      </c>
    </row>
    <row r="47">
      <c r="A47" s="28" t="inlineStr">
        <is>
          <t>SG-H052</t>
        </is>
      </c>
      <c r="B47" s="28" t="inlineStr">
        <is>
          <t>Tête de brosse</t>
        </is>
      </c>
      <c r="C47" s="28" t="inlineStr">
        <is>
          <t>Tête miroir d'observation</t>
        </is>
      </c>
      <c r="D47" s="36" t="inlineStr">
        <is>
          <t>N/D</t>
        </is>
      </c>
      <c r="E47" s="32" t="inlineStr">
        <is>
          <t>SG-513, SG-2113, SG-976, SG-977, SG-2107, SG-921</t>
        </is>
      </c>
      <c r="F47" s="33" t="n">
        <v>61</v>
      </c>
      <c r="G47" s="20" t="inlineStr">
        <is>
          <t>SONICARE_C3</t>
        </is>
      </c>
      <c r="H47" s="20" t="inlineStr">
        <is>
          <t>Sonicare C3 Premium Plaque Control (pack de 4)</t>
        </is>
      </c>
      <c r="I47" s="20" t="inlineStr">
        <is>
          <t>Philips</t>
        </is>
      </c>
      <c r="J47" s="20" t="inlineStr">
        <is>
          <t>Tête sonique standard</t>
        </is>
      </c>
      <c r="K47" s="37" t="inlineStr">
        <is>
          <t>N/D</t>
        </is>
      </c>
      <c r="L47" s="37" t="inlineStr">
        <is>
          <t>N/D</t>
        </is>
      </c>
      <c r="M47" s="37" t="inlineStr">
        <is>
          <t>N/D</t>
        </is>
      </c>
      <c r="N47" s="37" t="inlineStr">
        <is>
          <t>N/D</t>
        </is>
      </c>
      <c r="O47" s="37" t="inlineStr">
        <is>
          <t>N/D</t>
        </is>
      </c>
      <c r="P47" s="37" t="inlineStr">
        <is>
          <t>N/D</t>
        </is>
      </c>
      <c r="Q47" s="20" t="inlineStr">
        <is>
          <t>Non vérifié sur CI, SN, BF, CM, BJ.</t>
        </is>
      </c>
      <c r="R47" s="20" t="inlineStr">
        <is>
          <t>Noon UAE, pharmacies</t>
        </is>
      </c>
      <c r="S47" s="21" t="inlineStr">
        <is>
          <t>https://www.usa.philips.com/c-p/HX6810_50/sonicare-protectiveclean-4100-sonic-electric-toothbrush/partsandaccessories</t>
        </is>
      </c>
      <c r="T47" s="21" t="inlineStr">
        <is>
          <t>https://www.ebay.com/itm/277611730525</t>
        </is>
      </c>
      <c r="U47" s="20" t="inlineStr">
        <is>
          <t>Rapprochement sur le segment des têtes soniques standard. La comparaison porte sur le prix par tête, pas sur la compatibilité mécanique. Tête à puce BrushSync. Benchmark du prix par tête sur le segment sonique premium.</t>
        </is>
      </c>
      <c r="V47" s="22">
        <f>IFERROR(IF(IF('Relevé prix'!$B$1="SN",VLOOKUP($G47,'Relevé prix'!$A$4:$N$60,11,FALSE),VLOOKUP($G47,'Relevé prix'!$A$4:$N$60,7,FALSE))=0,"",IF('Relevé prix'!$B$1="SN",VLOOKUP($G47,'Relevé prix'!$A$4:$N$60,11,FALSE),VLOOKUP($G47,'Relevé prix'!$A$4:$N$60,7,FALSE))),"")</f>
        <v/>
      </c>
      <c r="W47" s="23">
        <f>IFERROR(IF(IF('Relevé prix'!$B$1="SN",VLOOKUP($G47,'Relevé prix'!$A$4:$N$60,12,FALSE),VLOOKUP($G47,'Relevé prix'!$A$4:$N$60,8,FALSE))=0,"",IF('Relevé prix'!$B$1="SN",VLOOKUP($G47,'Relevé prix'!$A$4:$N$60,12,FALSE),VLOOKUP($G47,'Relevé prix'!$A$4:$N$60,8,FALSE))),"")</f>
        <v/>
      </c>
      <c r="X47" s="24" t="n"/>
      <c r="Y47" s="25" t="n"/>
      <c r="Z47" s="25" t="n"/>
      <c r="AA47" s="22">
        <f>IF(OR(X47="",V47=""),"",X47-V47)</f>
        <v/>
      </c>
      <c r="AB47" s="26">
        <f>IF(OR(X47="",V47="",V47=0),"",(X47-V47)/V47)</f>
        <v/>
      </c>
      <c r="AC47" s="27">
        <f>IF(AB47="","",IF(AB47&lt;-0.05,"Moins cher",IF(AB47&gt;0.05,"Plus cher","Équivalent")))</f>
        <v/>
      </c>
    </row>
    <row r="48">
      <c r="A48" s="13" t="inlineStr">
        <is>
          <t>SG-D011</t>
        </is>
      </c>
      <c r="B48" s="13" t="inlineStr">
        <is>
          <t>Tête de brosse</t>
        </is>
      </c>
      <c r="C48" s="13" t="inlineStr">
        <is>
          <t>Tête standard avec gratte-langue</t>
        </is>
      </c>
      <c r="D48" s="40" t="inlineStr">
        <is>
          <t>N/D</t>
        </is>
      </c>
      <c r="E48" s="18" t="inlineStr">
        <is>
          <t>SG-2001, SG-2008</t>
        </is>
      </c>
      <c r="F48" s="19" t="n">
        <v>61</v>
      </c>
      <c r="G48" s="20" t="inlineStr">
        <is>
          <t>USMILE_HEADS</t>
        </is>
      </c>
      <c r="H48" s="20" t="inlineStr">
        <is>
          <t>Têtes de rechange P1 / Y1S / U3 / P4</t>
        </is>
      </c>
      <c r="I48" s="20" t="inlineStr">
        <is>
          <t>usmile</t>
        </is>
      </c>
      <c r="J48" s="20" t="inlineStr">
        <is>
          <t>Tête sonique avec brins témoins d'usure</t>
        </is>
      </c>
      <c r="K48" s="37" t="inlineStr">
        <is>
          <t>N/D</t>
        </is>
      </c>
      <c r="L48" s="37" t="inlineStr">
        <is>
          <t>N/D</t>
        </is>
      </c>
      <c r="M48" s="37" t="inlineStr">
        <is>
          <t>N/D</t>
        </is>
      </c>
      <c r="N48" s="37" t="inlineStr">
        <is>
          <t>N/D</t>
        </is>
      </c>
      <c r="O48" s="37" t="inlineStr">
        <is>
          <t>N/D</t>
        </is>
      </c>
      <c r="P48" s="37" t="inlineStr">
        <is>
          <t>N/D</t>
        </is>
      </c>
      <c r="Q48" s="20" t="inlineStr">
        <is>
          <t>Non vérifié sur CI, SN, BF, CM, BJ.</t>
        </is>
      </c>
      <c r="R48" s="20" t="inlineStr">
        <is>
          <t>Marketplaces</t>
        </is>
      </c>
      <c r="S48" s="21" t="inlineStr">
        <is>
          <t>https://www.amazon.com/usmile-Replacement-Toothbrush-Electric-Reminder/dp/B09D3SHP7K</t>
        </is>
      </c>
      <c r="T48" s="21" t="inlineStr">
        <is>
          <t>https://usmile.us/products/usmile-whitening-brush-head-2-packs</t>
        </is>
      </c>
      <c r="U48" s="20" t="inlineStr">
        <is>
          <t>Rapprochement sur les têtes soniques à fonction additionnelle et le prix par tête. Brins témoins qui décolorent à l'usure, argument de renouvellement récurrent.</t>
        </is>
      </c>
      <c r="V48" s="22">
        <f>IFERROR(IF(IF('Relevé prix'!$B$1="SN",VLOOKUP($G48,'Relevé prix'!$A$4:$N$60,11,FALSE),VLOOKUP($G48,'Relevé prix'!$A$4:$N$60,7,FALSE))=0,"",IF('Relevé prix'!$B$1="SN",VLOOKUP($G48,'Relevé prix'!$A$4:$N$60,11,FALSE),VLOOKUP($G48,'Relevé prix'!$A$4:$N$60,7,FALSE))),"")</f>
        <v/>
      </c>
      <c r="W48" s="23">
        <f>IFERROR(IF(IF('Relevé prix'!$B$1="SN",VLOOKUP($G48,'Relevé prix'!$A$4:$N$60,12,FALSE),VLOOKUP($G48,'Relevé prix'!$A$4:$N$60,8,FALSE))=0,"",IF('Relevé prix'!$B$1="SN",VLOOKUP($G48,'Relevé prix'!$A$4:$N$60,12,FALSE),VLOOKUP($G48,'Relevé prix'!$A$4:$N$60,8,FALSE))),"")</f>
        <v/>
      </c>
      <c r="X48" s="24" t="n"/>
      <c r="Y48" s="25" t="n"/>
      <c r="Z48" s="25" t="n"/>
      <c r="AA48" s="22">
        <f>IF(OR(X48="",V48=""),"",X48-V48)</f>
        <v/>
      </c>
      <c r="AB48" s="26">
        <f>IF(OR(X48="",V48="",V48=0),"",(X48-V48)/V48)</f>
        <v/>
      </c>
      <c r="AC48" s="27">
        <f>IF(AB48="","",IF(AB48&lt;-0.05,"Moins cher",IF(AB48&gt;0.05,"Plus cher","Équivalent")))</f>
        <v/>
      </c>
    </row>
    <row r="49">
      <c r="A49" s="28" t="inlineStr">
        <is>
          <t>SG-D917</t>
        </is>
      </c>
      <c r="B49" s="28" t="inlineStr">
        <is>
          <t>Tête de brosse</t>
        </is>
      </c>
      <c r="C49" s="28" t="inlineStr">
        <is>
          <t>Tête standard</t>
        </is>
      </c>
      <c r="D49" s="36" t="inlineStr">
        <is>
          <t>N/D</t>
        </is>
      </c>
      <c r="E49" s="32" t="inlineStr">
        <is>
          <t>SG-2001, SG-2008</t>
        </is>
      </c>
      <c r="F49" s="33" t="n">
        <v>61</v>
      </c>
      <c r="G49" s="20" t="inlineStr">
        <is>
          <t>SONICARE_C3</t>
        </is>
      </c>
      <c r="H49" s="20" t="inlineStr">
        <is>
          <t>Sonicare C3 Premium Plaque Control (pack de 4)</t>
        </is>
      </c>
      <c r="I49" s="20" t="inlineStr">
        <is>
          <t>Philips</t>
        </is>
      </c>
      <c r="J49" s="20" t="inlineStr">
        <is>
          <t>Tête sonique standard</t>
        </is>
      </c>
      <c r="K49" s="37" t="inlineStr">
        <is>
          <t>N/D</t>
        </is>
      </c>
      <c r="L49" s="37" t="inlineStr">
        <is>
          <t>N/D</t>
        </is>
      </c>
      <c r="M49" s="37" t="inlineStr">
        <is>
          <t>N/D</t>
        </is>
      </c>
      <c r="N49" s="37" t="inlineStr">
        <is>
          <t>N/D</t>
        </is>
      </c>
      <c r="O49" s="37" t="inlineStr">
        <is>
          <t>N/D</t>
        </is>
      </c>
      <c r="P49" s="37" t="inlineStr">
        <is>
          <t>N/D</t>
        </is>
      </c>
      <c r="Q49" s="20" t="inlineStr">
        <is>
          <t>Non vérifié sur CI, SN, BF, CM, BJ.</t>
        </is>
      </c>
      <c r="R49" s="20" t="inlineStr">
        <is>
          <t>Noon UAE, pharmacies</t>
        </is>
      </c>
      <c r="S49" s="21" t="inlineStr">
        <is>
          <t>https://www.usa.philips.com/c-p/HX6810_50/sonicare-protectiveclean-4100-sonic-electric-toothbrush/partsandaccessories</t>
        </is>
      </c>
      <c r="T49" s="21" t="inlineStr">
        <is>
          <t>https://www.ebay.com/itm/277611730525</t>
        </is>
      </c>
      <c r="U49" s="20" t="inlineStr">
        <is>
          <t>Rapprochement sur le segment des têtes soniques standard. La comparaison porte sur le prix par tête, pas sur la compatibilité mécanique. Tête à puce BrushSync. Benchmark du prix par tête sur le segment sonique premium.</t>
        </is>
      </c>
      <c r="V49" s="22">
        <f>IFERROR(IF(IF('Relevé prix'!$B$1="SN",VLOOKUP($G49,'Relevé prix'!$A$4:$N$60,11,FALSE),VLOOKUP($G49,'Relevé prix'!$A$4:$N$60,7,FALSE))=0,"",IF('Relevé prix'!$B$1="SN",VLOOKUP($G49,'Relevé prix'!$A$4:$N$60,11,FALSE),VLOOKUP($G49,'Relevé prix'!$A$4:$N$60,7,FALSE))),"")</f>
        <v/>
      </c>
      <c r="W49" s="23">
        <f>IFERROR(IF(IF('Relevé prix'!$B$1="SN",VLOOKUP($G49,'Relevé prix'!$A$4:$N$60,12,FALSE),VLOOKUP($G49,'Relevé prix'!$A$4:$N$60,8,FALSE))=0,"",IF('Relevé prix'!$B$1="SN",VLOOKUP($G49,'Relevé prix'!$A$4:$N$60,12,FALSE),VLOOKUP($G49,'Relevé prix'!$A$4:$N$60,8,FALSE))),"")</f>
        <v/>
      </c>
      <c r="X49" s="24" t="n"/>
      <c r="Y49" s="25" t="n"/>
      <c r="Z49" s="25" t="n"/>
      <c r="AA49" s="22">
        <f>IF(OR(X49="",V49=""),"",X49-V49)</f>
        <v/>
      </c>
      <c r="AB49" s="26">
        <f>IF(OR(X49="",V49="",V49=0),"",(X49-V49)/V49)</f>
        <v/>
      </c>
      <c r="AC49" s="27">
        <f>IF(AB49="","",IF(AB49&lt;-0.05,"Moins cher",IF(AB49&gt;0.05,"Plus cher","Équivalent")))</f>
        <v/>
      </c>
    </row>
    <row r="50">
      <c r="A50" s="13" t="inlineStr">
        <is>
          <t>SG-C093</t>
        </is>
      </c>
      <c r="B50" s="13" t="inlineStr">
        <is>
          <t>Tête de brosse</t>
        </is>
      </c>
      <c r="C50" s="13" t="inlineStr">
        <is>
          <t>Tête standard</t>
        </is>
      </c>
      <c r="D50" s="40" t="inlineStr">
        <is>
          <t>N/D</t>
        </is>
      </c>
      <c r="E50" s="18" t="inlineStr">
        <is>
          <t>SG-567, SG-2711</t>
        </is>
      </c>
      <c r="F50" s="19" t="n">
        <v>61</v>
      </c>
      <c r="G50" s="20" t="inlineStr">
        <is>
          <t>SONICARE_C3</t>
        </is>
      </c>
      <c r="H50" s="20" t="inlineStr">
        <is>
          <t>Sonicare C3 Premium Plaque Control (pack de 4)</t>
        </is>
      </c>
      <c r="I50" s="20" t="inlineStr">
        <is>
          <t>Philips</t>
        </is>
      </c>
      <c r="J50" s="20" t="inlineStr">
        <is>
          <t>Tête sonique standard</t>
        </is>
      </c>
      <c r="K50" s="37" t="inlineStr">
        <is>
          <t>N/D</t>
        </is>
      </c>
      <c r="L50" s="37" t="inlineStr">
        <is>
          <t>N/D</t>
        </is>
      </c>
      <c r="M50" s="37" t="inlineStr">
        <is>
          <t>N/D</t>
        </is>
      </c>
      <c r="N50" s="37" t="inlineStr">
        <is>
          <t>N/D</t>
        </is>
      </c>
      <c r="O50" s="37" t="inlineStr">
        <is>
          <t>N/D</t>
        </is>
      </c>
      <c r="P50" s="37" t="inlineStr">
        <is>
          <t>N/D</t>
        </is>
      </c>
      <c r="Q50" s="20" t="inlineStr">
        <is>
          <t>Non vérifié sur CI, SN, BF, CM, BJ.</t>
        </is>
      </c>
      <c r="R50" s="20" t="inlineStr">
        <is>
          <t>Noon UAE, pharmacies</t>
        </is>
      </c>
      <c r="S50" s="21" t="inlineStr">
        <is>
          <t>https://www.usa.philips.com/c-p/HX6810_50/sonicare-protectiveclean-4100-sonic-electric-toothbrush/partsandaccessories</t>
        </is>
      </c>
      <c r="T50" s="21" t="inlineStr">
        <is>
          <t>https://www.ebay.com/itm/277611730525</t>
        </is>
      </c>
      <c r="U50" s="20" t="inlineStr">
        <is>
          <t>Rapprochement sur le segment des têtes soniques standard. La comparaison porte sur le prix par tête, pas sur la compatibilité mécanique. Tête à puce BrushSync. Benchmark du prix par tête sur le segment sonique premium.</t>
        </is>
      </c>
      <c r="V50" s="22">
        <f>IFERROR(IF(IF('Relevé prix'!$B$1="SN",VLOOKUP($G50,'Relevé prix'!$A$4:$N$60,11,FALSE),VLOOKUP($G50,'Relevé prix'!$A$4:$N$60,7,FALSE))=0,"",IF('Relevé prix'!$B$1="SN",VLOOKUP($G50,'Relevé prix'!$A$4:$N$60,11,FALSE),VLOOKUP($G50,'Relevé prix'!$A$4:$N$60,7,FALSE))),"")</f>
        <v/>
      </c>
      <c r="W50" s="23">
        <f>IFERROR(IF(IF('Relevé prix'!$B$1="SN",VLOOKUP($G50,'Relevé prix'!$A$4:$N$60,12,FALSE),VLOOKUP($G50,'Relevé prix'!$A$4:$N$60,8,FALSE))=0,"",IF('Relevé prix'!$B$1="SN",VLOOKUP($G50,'Relevé prix'!$A$4:$N$60,12,FALSE),VLOOKUP($G50,'Relevé prix'!$A$4:$N$60,8,FALSE))),"")</f>
        <v/>
      </c>
      <c r="X50" s="24" t="n"/>
      <c r="Y50" s="25" t="n"/>
      <c r="Z50" s="25" t="n"/>
      <c r="AA50" s="22">
        <f>IF(OR(X50="",V50=""),"",X50-V50)</f>
        <v/>
      </c>
      <c r="AB50" s="26">
        <f>IF(OR(X50="",V50="",V50=0),"",(X50-V50)/V50)</f>
        <v/>
      </c>
      <c r="AC50" s="27">
        <f>IF(AB50="","",IF(AB50&lt;-0.05,"Moins cher",IF(AB50&gt;0.05,"Plus cher","Équivalent")))</f>
        <v/>
      </c>
    </row>
    <row r="51">
      <c r="A51" s="28" t="inlineStr">
        <is>
          <t>SG-E001</t>
        </is>
      </c>
      <c r="B51" s="28" t="inlineStr">
        <is>
          <t>Tête de brosse</t>
        </is>
      </c>
      <c r="C51" s="28" t="inlineStr">
        <is>
          <t>Tête rotative</t>
        </is>
      </c>
      <c r="D51" s="36" t="inlineStr">
        <is>
          <t>N/D</t>
        </is>
      </c>
      <c r="E51" s="32" t="inlineStr">
        <is>
          <t>SG-913, SG-2004</t>
        </is>
      </c>
      <c r="F51" s="33" t="n">
        <v>67</v>
      </c>
      <c r="G51" s="20" t="inlineStr">
        <is>
          <t>OB_CROSSACTION</t>
        </is>
      </c>
      <c r="H51" s="20" t="inlineStr">
        <is>
          <t>CrossAction X-Filaments (pack de 3)</t>
        </is>
      </c>
      <c r="I51" s="20" t="inlineStr">
        <is>
          <t>Oral-B</t>
        </is>
      </c>
      <c r="J51" s="20" t="inlineStr">
        <is>
          <t>Tête rotative</t>
        </is>
      </c>
      <c r="K51" s="37" t="inlineStr">
        <is>
          <t>N/D</t>
        </is>
      </c>
      <c r="L51" s="37" t="inlineStr">
        <is>
          <t>N/D</t>
        </is>
      </c>
      <c r="M51" s="37" t="inlineStr">
        <is>
          <t>N/D</t>
        </is>
      </c>
      <c r="N51" s="37" t="inlineStr">
        <is>
          <t>N/D</t>
        </is>
      </c>
      <c r="O51" s="37" t="inlineStr">
        <is>
          <t>N/D</t>
        </is>
      </c>
      <c r="P51" s="37" t="inlineStr">
        <is>
          <t>N/D</t>
        </is>
      </c>
      <c r="Q51" s="20" t="inlineStr">
        <is>
          <t>CI vérifié (Jumia, rayon têtes de remplacement Oral-B). SN vérifié pour la marque. BF, CM, BJ non vérifiés.</t>
        </is>
      </c>
      <c r="R51" s="20" t="inlineStr">
        <is>
          <t>Jumia CI, pharmacies, GMS</t>
        </is>
      </c>
      <c r="S51" s="21" t="inlineStr">
        <is>
          <t>https://oralb.com/en-us/products/replacement-brush-heads/oral-b-crossaction-x-filaments-replacement-brush-heads-refill-black-3-count/</t>
        </is>
      </c>
      <c r="T51" s="21" t="inlineStr">
        <is>
          <t>https://www.amazon.com/clp/B077B5GCF8</t>
        </is>
      </c>
      <c r="U51" s="20" t="inlineStr">
        <is>
          <t>Rapprochement sur la technologie de tête rotative et le prix par tête. Brins en X inclinés à 16 degrés. Benchmark du prix par tête sur le segment rotatif.</t>
        </is>
      </c>
      <c r="V51" s="22">
        <f>IFERROR(IF(IF('Relevé prix'!$B$1="SN",VLOOKUP($G51,'Relevé prix'!$A$4:$N$60,11,FALSE),VLOOKUP($G51,'Relevé prix'!$A$4:$N$60,7,FALSE))=0,"",IF('Relevé prix'!$B$1="SN",VLOOKUP($G51,'Relevé prix'!$A$4:$N$60,11,FALSE),VLOOKUP($G51,'Relevé prix'!$A$4:$N$60,7,FALSE))),"")</f>
        <v/>
      </c>
      <c r="W51" s="23">
        <f>IFERROR(IF(IF('Relevé prix'!$B$1="SN",VLOOKUP($G51,'Relevé prix'!$A$4:$N$60,12,FALSE),VLOOKUP($G51,'Relevé prix'!$A$4:$N$60,8,FALSE))=0,"",IF('Relevé prix'!$B$1="SN",VLOOKUP($G51,'Relevé prix'!$A$4:$N$60,12,FALSE),VLOOKUP($G51,'Relevé prix'!$A$4:$N$60,8,FALSE))),"")</f>
        <v/>
      </c>
      <c r="X51" s="24" t="n"/>
      <c r="Y51" s="25" t="n"/>
      <c r="Z51" s="25" t="n"/>
      <c r="AA51" s="22">
        <f>IF(OR(X51="",V51=""),"",X51-V51)</f>
        <v/>
      </c>
      <c r="AB51" s="26">
        <f>IF(OR(X51="",V51="",V51=0),"",(X51-V51)/V51)</f>
        <v/>
      </c>
      <c r="AC51" s="27">
        <f>IF(AB51="","",IF(AB51&lt;-0.05,"Moins cher",IF(AB51&gt;0.05,"Plus cher","Équivalent")))</f>
        <v/>
      </c>
    </row>
    <row r="52">
      <c r="A52" s="13" t="inlineStr">
        <is>
          <t>SG-E002</t>
        </is>
      </c>
      <c r="B52" s="13" t="inlineStr">
        <is>
          <t>Tête de brosse</t>
        </is>
      </c>
      <c r="C52" s="13" t="inlineStr">
        <is>
          <t>Tête rotative</t>
        </is>
      </c>
      <c r="D52" s="40" t="inlineStr">
        <is>
          <t>N/D</t>
        </is>
      </c>
      <c r="E52" s="18" t="inlineStr">
        <is>
          <t>SG-913, SG-2004</t>
        </is>
      </c>
      <c r="F52" s="19" t="n">
        <v>67</v>
      </c>
      <c r="G52" s="20" t="inlineStr">
        <is>
          <t>OB_CROSSACTION</t>
        </is>
      </c>
      <c r="H52" s="20" t="inlineStr">
        <is>
          <t>CrossAction X-Filaments (pack de 3)</t>
        </is>
      </c>
      <c r="I52" s="20" t="inlineStr">
        <is>
          <t>Oral-B</t>
        </is>
      </c>
      <c r="J52" s="20" t="inlineStr">
        <is>
          <t>Tête rotative</t>
        </is>
      </c>
      <c r="K52" s="37" t="inlineStr">
        <is>
          <t>N/D</t>
        </is>
      </c>
      <c r="L52" s="37" t="inlineStr">
        <is>
          <t>N/D</t>
        </is>
      </c>
      <c r="M52" s="37" t="inlineStr">
        <is>
          <t>N/D</t>
        </is>
      </c>
      <c r="N52" s="37" t="inlineStr">
        <is>
          <t>N/D</t>
        </is>
      </c>
      <c r="O52" s="37" t="inlineStr">
        <is>
          <t>N/D</t>
        </is>
      </c>
      <c r="P52" s="37" t="inlineStr">
        <is>
          <t>N/D</t>
        </is>
      </c>
      <c r="Q52" s="20" t="inlineStr">
        <is>
          <t>CI vérifié (Jumia, rayon têtes de remplacement Oral-B). SN vérifié pour la marque. BF, CM, BJ non vérifiés.</t>
        </is>
      </c>
      <c r="R52" s="20" t="inlineStr">
        <is>
          <t>Jumia CI, pharmacies, GMS</t>
        </is>
      </c>
      <c r="S52" s="21" t="inlineStr">
        <is>
          <t>https://oralb.com/en-us/products/replacement-brush-heads/oral-b-crossaction-x-filaments-replacement-brush-heads-refill-black-3-count/</t>
        </is>
      </c>
      <c r="T52" s="21" t="inlineStr">
        <is>
          <t>https://www.amazon.com/clp/B077B5GCF8</t>
        </is>
      </c>
      <c r="U52" s="20" t="inlineStr">
        <is>
          <t>Rapprochement sur la technologie de tête rotative et le prix par tête. Brins en X inclinés à 16 degrés. Benchmark du prix par tête sur le segment rotatif.</t>
        </is>
      </c>
      <c r="V52" s="22">
        <f>IFERROR(IF(IF('Relevé prix'!$B$1="SN",VLOOKUP($G52,'Relevé prix'!$A$4:$N$60,11,FALSE),VLOOKUP($G52,'Relevé prix'!$A$4:$N$60,7,FALSE))=0,"",IF('Relevé prix'!$B$1="SN",VLOOKUP($G52,'Relevé prix'!$A$4:$N$60,11,FALSE),VLOOKUP($G52,'Relevé prix'!$A$4:$N$60,7,FALSE))),"")</f>
        <v/>
      </c>
      <c r="W52" s="23">
        <f>IFERROR(IF(IF('Relevé prix'!$B$1="SN",VLOOKUP($G52,'Relevé prix'!$A$4:$N$60,12,FALSE),VLOOKUP($G52,'Relevé prix'!$A$4:$N$60,8,FALSE))=0,"",IF('Relevé prix'!$B$1="SN",VLOOKUP($G52,'Relevé prix'!$A$4:$N$60,12,FALSE),VLOOKUP($G52,'Relevé prix'!$A$4:$N$60,8,FALSE))),"")</f>
        <v/>
      </c>
      <c r="X52" s="24" t="n"/>
      <c r="Y52" s="25" t="n"/>
      <c r="Z52" s="25" t="n"/>
      <c r="AA52" s="22">
        <f>IF(OR(X52="",V52=""),"",X52-V52)</f>
        <v/>
      </c>
      <c r="AB52" s="26">
        <f>IF(OR(X52="",V52="",V52=0),"",(X52-V52)/V52)</f>
        <v/>
      </c>
      <c r="AC52" s="27">
        <f>IF(AB52="","",IF(AB52&lt;-0.05,"Moins cher",IF(AB52&gt;0.05,"Plus cher","Équivalent")))</f>
        <v/>
      </c>
    </row>
    <row r="53">
      <c r="A53" s="28" t="inlineStr">
        <is>
          <t>SG-F930</t>
        </is>
      </c>
      <c r="B53" s="28" t="inlineStr">
        <is>
          <t>Tête de brosse</t>
        </is>
      </c>
      <c r="C53" s="28" t="inlineStr">
        <is>
          <t>Tête rotative</t>
        </is>
      </c>
      <c r="D53" s="36" t="inlineStr">
        <is>
          <t>N/D</t>
        </is>
      </c>
      <c r="E53" s="32" t="inlineStr">
        <is>
          <t>SG-930, SG-587, SG-533, SG-2602</t>
        </is>
      </c>
      <c r="F53" s="33" t="n">
        <v>67</v>
      </c>
      <c r="G53" s="20" t="inlineStr">
        <is>
          <t>OB_CROSSACTION</t>
        </is>
      </c>
      <c r="H53" s="20" t="inlineStr">
        <is>
          <t>CrossAction X-Filaments (pack de 3)</t>
        </is>
      </c>
      <c r="I53" s="20" t="inlineStr">
        <is>
          <t>Oral-B</t>
        </is>
      </c>
      <c r="J53" s="20" t="inlineStr">
        <is>
          <t>Tête rotative</t>
        </is>
      </c>
      <c r="K53" s="37" t="inlineStr">
        <is>
          <t>N/D</t>
        </is>
      </c>
      <c r="L53" s="37" t="inlineStr">
        <is>
          <t>N/D</t>
        </is>
      </c>
      <c r="M53" s="37" t="inlineStr">
        <is>
          <t>N/D</t>
        </is>
      </c>
      <c r="N53" s="37" t="inlineStr">
        <is>
          <t>N/D</t>
        </is>
      </c>
      <c r="O53" s="37" t="inlineStr">
        <is>
          <t>N/D</t>
        </is>
      </c>
      <c r="P53" s="37" t="inlineStr">
        <is>
          <t>N/D</t>
        </is>
      </c>
      <c r="Q53" s="20" t="inlineStr">
        <is>
          <t>CI vérifié (Jumia, rayon têtes de remplacement Oral-B). SN vérifié pour la marque. BF, CM, BJ non vérifiés.</t>
        </is>
      </c>
      <c r="R53" s="20" t="inlineStr">
        <is>
          <t>Jumia CI, pharmacies, GMS</t>
        </is>
      </c>
      <c r="S53" s="21" t="inlineStr">
        <is>
          <t>https://oralb.com/en-us/products/replacement-brush-heads/oral-b-crossaction-x-filaments-replacement-brush-heads-refill-black-3-count/</t>
        </is>
      </c>
      <c r="T53" s="21" t="inlineStr">
        <is>
          <t>https://www.amazon.com/clp/B077B5GCF8</t>
        </is>
      </c>
      <c r="U53" s="20" t="inlineStr">
        <is>
          <t>Rapprochement sur la technologie de tête rotative et le prix par tête. Brins en X inclinés à 16 degrés. Benchmark du prix par tête sur le segment rotatif.</t>
        </is>
      </c>
      <c r="V53" s="22">
        <f>IFERROR(IF(IF('Relevé prix'!$B$1="SN",VLOOKUP($G53,'Relevé prix'!$A$4:$N$60,11,FALSE),VLOOKUP($G53,'Relevé prix'!$A$4:$N$60,7,FALSE))=0,"",IF('Relevé prix'!$B$1="SN",VLOOKUP($G53,'Relevé prix'!$A$4:$N$60,11,FALSE),VLOOKUP($G53,'Relevé prix'!$A$4:$N$60,7,FALSE))),"")</f>
        <v/>
      </c>
      <c r="W53" s="23">
        <f>IFERROR(IF(IF('Relevé prix'!$B$1="SN",VLOOKUP($G53,'Relevé prix'!$A$4:$N$60,12,FALSE),VLOOKUP($G53,'Relevé prix'!$A$4:$N$60,8,FALSE))=0,"",IF('Relevé prix'!$B$1="SN",VLOOKUP($G53,'Relevé prix'!$A$4:$N$60,12,FALSE),VLOOKUP($G53,'Relevé prix'!$A$4:$N$60,8,FALSE))),"")</f>
        <v/>
      </c>
      <c r="X53" s="24" t="n"/>
      <c r="Y53" s="25" t="n"/>
      <c r="Z53" s="25" t="n"/>
      <c r="AA53" s="22">
        <f>IF(OR(X53="",V53=""),"",X53-V53)</f>
        <v/>
      </c>
      <c r="AB53" s="26">
        <f>IF(OR(X53="",V53="",V53=0),"",(X53-V53)/V53)</f>
        <v/>
      </c>
      <c r="AC53" s="27">
        <f>IF(AB53="","",IF(AB53&lt;-0.05,"Moins cher",IF(AB53&gt;0.05,"Plus cher","Équivalent")))</f>
        <v/>
      </c>
    </row>
    <row r="54">
      <c r="A54" s="13" t="inlineStr">
        <is>
          <t>SG-F084</t>
        </is>
      </c>
      <c r="B54" s="13" t="inlineStr">
        <is>
          <t>Tête de brosse</t>
        </is>
      </c>
      <c r="C54" s="13" t="inlineStr">
        <is>
          <t>Tête rotative</t>
        </is>
      </c>
      <c r="D54" s="40" t="inlineStr">
        <is>
          <t>N/D</t>
        </is>
      </c>
      <c r="E54" s="18" t="inlineStr">
        <is>
          <t>SG-930, SG-587, SG-533, SG-2602</t>
        </is>
      </c>
      <c r="F54" s="19" t="n">
        <v>67</v>
      </c>
      <c r="G54" s="20" t="inlineStr">
        <is>
          <t>OB_CROSSACTION</t>
        </is>
      </c>
      <c r="H54" s="20" t="inlineStr">
        <is>
          <t>CrossAction X-Filaments (pack de 3)</t>
        </is>
      </c>
      <c r="I54" s="20" t="inlineStr">
        <is>
          <t>Oral-B</t>
        </is>
      </c>
      <c r="J54" s="20" t="inlineStr">
        <is>
          <t>Tête rotative</t>
        </is>
      </c>
      <c r="K54" s="37" t="inlineStr">
        <is>
          <t>N/D</t>
        </is>
      </c>
      <c r="L54" s="37" t="inlineStr">
        <is>
          <t>N/D</t>
        </is>
      </c>
      <c r="M54" s="37" t="inlineStr">
        <is>
          <t>N/D</t>
        </is>
      </c>
      <c r="N54" s="37" t="inlineStr">
        <is>
          <t>N/D</t>
        </is>
      </c>
      <c r="O54" s="37" t="inlineStr">
        <is>
          <t>N/D</t>
        </is>
      </c>
      <c r="P54" s="37" t="inlineStr">
        <is>
          <t>N/D</t>
        </is>
      </c>
      <c r="Q54" s="20" t="inlineStr">
        <is>
          <t>CI vérifié (Jumia, rayon têtes de remplacement Oral-B). SN vérifié pour la marque. BF, CM, BJ non vérifiés.</t>
        </is>
      </c>
      <c r="R54" s="20" t="inlineStr">
        <is>
          <t>Jumia CI, pharmacies, GMS</t>
        </is>
      </c>
      <c r="S54" s="21" t="inlineStr">
        <is>
          <t>https://oralb.com/en-us/products/replacement-brush-heads/oral-b-crossaction-x-filaments-replacement-brush-heads-refill-black-3-count/</t>
        </is>
      </c>
      <c r="T54" s="21" t="inlineStr">
        <is>
          <t>https://www.amazon.com/clp/B077B5GCF8</t>
        </is>
      </c>
      <c r="U54" s="20" t="inlineStr">
        <is>
          <t>Rapprochement sur la technologie de tête rotative et le prix par tête. Brins en X inclinés à 16 degrés. Benchmark du prix par tête sur le segment rotatif.</t>
        </is>
      </c>
      <c r="V54" s="22">
        <f>IFERROR(IF(IF('Relevé prix'!$B$1="SN",VLOOKUP($G54,'Relevé prix'!$A$4:$N$60,11,FALSE),VLOOKUP($G54,'Relevé prix'!$A$4:$N$60,7,FALSE))=0,"",IF('Relevé prix'!$B$1="SN",VLOOKUP($G54,'Relevé prix'!$A$4:$N$60,11,FALSE),VLOOKUP($G54,'Relevé prix'!$A$4:$N$60,7,FALSE))),"")</f>
        <v/>
      </c>
      <c r="W54" s="23">
        <f>IFERROR(IF(IF('Relevé prix'!$B$1="SN",VLOOKUP($G54,'Relevé prix'!$A$4:$N$60,12,FALSE),VLOOKUP($G54,'Relevé prix'!$A$4:$N$60,8,FALSE))=0,"",IF('Relevé prix'!$B$1="SN",VLOOKUP($G54,'Relevé prix'!$A$4:$N$60,12,FALSE),VLOOKUP($G54,'Relevé prix'!$A$4:$N$60,8,FALSE))),"")</f>
        <v/>
      </c>
      <c r="X54" s="24" t="n"/>
      <c r="Y54" s="25" t="n"/>
      <c r="Z54" s="25" t="n"/>
      <c r="AA54" s="22">
        <f>IF(OR(X54="",V54=""),"",X54-V54)</f>
        <v/>
      </c>
      <c r="AB54" s="26">
        <f>IF(OR(X54="",V54="",V54=0),"",(X54-V54)/V54)</f>
        <v/>
      </c>
      <c r="AC54" s="27">
        <f>IF(AB54="","",IF(AB54&lt;-0.05,"Moins cher",IF(AB54&gt;0.05,"Plus cher","Équivalent")))</f>
        <v/>
      </c>
    </row>
    <row r="55">
      <c r="A55" s="28" t="inlineStr">
        <is>
          <t>SG-P001</t>
        </is>
      </c>
      <c r="B55" s="28" t="inlineStr">
        <is>
          <t>Buse hydropulseur</t>
        </is>
      </c>
      <c r="C55" s="28" t="inlineStr">
        <is>
          <t>Buse standard (ligne gingivale, usage quotidien)</t>
        </is>
      </c>
      <c r="D55" s="36" t="inlineStr">
        <is>
          <t>N/D</t>
        </is>
      </c>
      <c r="E55" s="32" t="inlineStr">
        <is>
          <t>Hydropulseurs SEAGO</t>
        </is>
      </c>
      <c r="F55" s="33" t="n">
        <v>100</v>
      </c>
      <c r="G55" s="20" t="inlineStr">
        <is>
          <t>WP_TIPS</t>
        </is>
      </c>
      <c r="H55" s="20" t="inlineStr">
        <is>
          <t>Buses de rechange (pack livré avec WP-560)</t>
        </is>
      </c>
      <c r="I55" s="20" t="inlineStr">
        <is>
          <t>Waterpik</t>
        </is>
      </c>
      <c r="J55" s="20" t="inlineStr">
        <is>
          <t>Buses spécialisées (standard, orthodontique, plaque, parodontale)</t>
        </is>
      </c>
      <c r="K55" s="37" t="inlineStr">
        <is>
          <t>N/D</t>
        </is>
      </c>
      <c r="L55" s="37" t="inlineStr">
        <is>
          <t>N/D</t>
        </is>
      </c>
      <c r="M55" s="37" t="inlineStr">
        <is>
          <t>N/D</t>
        </is>
      </c>
      <c r="N55" s="37" t="inlineStr">
        <is>
          <t>N/D</t>
        </is>
      </c>
      <c r="O55" s="37" t="inlineStr">
        <is>
          <t>N/D</t>
        </is>
      </c>
      <c r="P55" s="37" t="inlineStr">
        <is>
          <t>N/D</t>
        </is>
      </c>
      <c r="Q55" s="20" t="inlineStr">
        <is>
          <t>Non vérifié sur CI, SN, BF, CM, BJ.</t>
        </is>
      </c>
      <c r="R55" s="20" t="inlineStr">
        <is>
          <t>Retail spécialisé, pharmacies</t>
        </is>
      </c>
      <c r="S55" s="21" t="inlineStr">
        <is>
          <t>https://www.waterpik.ch/en/oral-health/products/dental-water-flosser/WP-560/</t>
        </is>
      </c>
      <c r="T55" s="21" t="inlineStr">
        <is>
          <t>https://www.electricteeth.com/waterpik-cordless-advanced-wp560-review/</t>
        </is>
      </c>
      <c r="U55" s="20" t="inlineStr">
        <is>
          <t>Rapprochement sur la fonction de la buse et la profondeur de gamme du concurrent. Gamme de buses la plus large du marché, référence de comparaison pour les buses SEAGO SG-P0xx.</t>
        </is>
      </c>
      <c r="V55" s="22">
        <f>IFERROR(IF(IF('Relevé prix'!$B$1="SN",VLOOKUP($G55,'Relevé prix'!$A$4:$N$60,11,FALSE),VLOOKUP($G55,'Relevé prix'!$A$4:$N$60,7,FALSE))=0,"",IF('Relevé prix'!$B$1="SN",VLOOKUP($G55,'Relevé prix'!$A$4:$N$60,11,FALSE),VLOOKUP($G55,'Relevé prix'!$A$4:$N$60,7,FALSE))),"")</f>
        <v/>
      </c>
      <c r="W55" s="23">
        <f>IFERROR(IF(IF('Relevé prix'!$B$1="SN",VLOOKUP($G55,'Relevé prix'!$A$4:$N$60,12,FALSE),VLOOKUP($G55,'Relevé prix'!$A$4:$N$60,8,FALSE))=0,"",IF('Relevé prix'!$B$1="SN",VLOOKUP($G55,'Relevé prix'!$A$4:$N$60,12,FALSE),VLOOKUP($G55,'Relevé prix'!$A$4:$N$60,8,FALSE))),"")</f>
        <v/>
      </c>
      <c r="X55" s="24" t="n"/>
      <c r="Y55" s="25" t="n"/>
      <c r="Z55" s="25" t="n"/>
      <c r="AA55" s="22">
        <f>IF(OR(X55="",V55=""),"",X55-V55)</f>
        <v/>
      </c>
      <c r="AB55" s="26">
        <f>IF(OR(X55="",V55="",V55=0),"",(X55-V55)/V55)</f>
        <v/>
      </c>
      <c r="AC55" s="27">
        <f>IF(AB55="","",IF(AB55&lt;-0.05,"Moins cher",IF(AB55&gt;0.05,"Plus cher","Équivalent")))</f>
        <v/>
      </c>
    </row>
    <row r="56">
      <c r="A56" s="13" t="inlineStr">
        <is>
          <t>SG-P002</t>
        </is>
      </c>
      <c r="B56" s="13" t="inlineStr">
        <is>
          <t>Buse hydropulseur</t>
        </is>
      </c>
      <c r="C56" s="13" t="inlineStr">
        <is>
          <t>Gratte-langue</t>
        </is>
      </c>
      <c r="D56" s="40" t="inlineStr">
        <is>
          <t>N/D</t>
        </is>
      </c>
      <c r="E56" s="18" t="inlineStr">
        <is>
          <t>Hydropulseurs SEAGO</t>
        </is>
      </c>
      <c r="F56" s="19" t="n">
        <v>100</v>
      </c>
      <c r="G56" s="20" t="inlineStr">
        <is>
          <t>WP_TIPS</t>
        </is>
      </c>
      <c r="H56" s="20" t="inlineStr">
        <is>
          <t>Buses de rechange (pack livré avec WP-560)</t>
        </is>
      </c>
      <c r="I56" s="20" t="inlineStr">
        <is>
          <t>Waterpik</t>
        </is>
      </c>
      <c r="J56" s="20" t="inlineStr">
        <is>
          <t>Buses spécialisées (standard, orthodontique, plaque, parodontale)</t>
        </is>
      </c>
      <c r="K56" s="37" t="inlineStr">
        <is>
          <t>N/D</t>
        </is>
      </c>
      <c r="L56" s="37" t="inlineStr">
        <is>
          <t>N/D</t>
        </is>
      </c>
      <c r="M56" s="37" t="inlineStr">
        <is>
          <t>N/D</t>
        </is>
      </c>
      <c r="N56" s="37" t="inlineStr">
        <is>
          <t>N/D</t>
        </is>
      </c>
      <c r="O56" s="37" t="inlineStr">
        <is>
          <t>N/D</t>
        </is>
      </c>
      <c r="P56" s="37" t="inlineStr">
        <is>
          <t>N/D</t>
        </is>
      </c>
      <c r="Q56" s="20" t="inlineStr">
        <is>
          <t>Non vérifié sur CI, SN, BF, CM, BJ.</t>
        </is>
      </c>
      <c r="R56" s="20" t="inlineStr">
        <is>
          <t>Retail spécialisé, pharmacies</t>
        </is>
      </c>
      <c r="S56" s="21" t="inlineStr">
        <is>
          <t>https://www.waterpik.ch/en/oral-health/products/dental-water-flosser/WP-560/</t>
        </is>
      </c>
      <c r="T56" s="21" t="inlineStr">
        <is>
          <t>https://www.electricteeth.com/waterpik-cordless-advanced-wp560-review/</t>
        </is>
      </c>
      <c r="U56" s="20" t="inlineStr">
        <is>
          <t>Rapprochement sur la fonction de la buse et la profondeur de gamme du concurrent. Gamme de buses la plus large du marché, référence de comparaison pour les buses SEAGO SG-P0xx.</t>
        </is>
      </c>
      <c r="V56" s="22">
        <f>IFERROR(IF(IF('Relevé prix'!$B$1="SN",VLOOKUP($G56,'Relevé prix'!$A$4:$N$60,11,FALSE),VLOOKUP($G56,'Relevé prix'!$A$4:$N$60,7,FALSE))=0,"",IF('Relevé prix'!$B$1="SN",VLOOKUP($G56,'Relevé prix'!$A$4:$N$60,11,FALSE),VLOOKUP($G56,'Relevé prix'!$A$4:$N$60,7,FALSE))),"")</f>
        <v/>
      </c>
      <c r="W56" s="23">
        <f>IFERROR(IF(IF('Relevé prix'!$B$1="SN",VLOOKUP($G56,'Relevé prix'!$A$4:$N$60,12,FALSE),VLOOKUP($G56,'Relevé prix'!$A$4:$N$60,8,FALSE))=0,"",IF('Relevé prix'!$B$1="SN",VLOOKUP($G56,'Relevé prix'!$A$4:$N$60,12,FALSE),VLOOKUP($G56,'Relevé prix'!$A$4:$N$60,8,FALSE))),"")</f>
        <v/>
      </c>
      <c r="X56" s="24" t="n"/>
      <c r="Y56" s="25" t="n"/>
      <c r="Z56" s="25" t="n"/>
      <c r="AA56" s="22">
        <f>IF(OR(X56="",V56=""),"",X56-V56)</f>
        <v/>
      </c>
      <c r="AB56" s="26">
        <f>IF(OR(X56="",V56="",V56=0),"",(X56-V56)/V56)</f>
        <v/>
      </c>
      <c r="AC56" s="27">
        <f>IF(AB56="","",IF(AB56&lt;-0.05,"Moins cher",IF(AB56&gt;0.05,"Plus cher","Équivalent")))</f>
        <v/>
      </c>
    </row>
    <row r="57">
      <c r="A57" s="28" t="inlineStr">
        <is>
          <t>SG-P003</t>
        </is>
      </c>
      <c r="B57" s="28" t="inlineStr">
        <is>
          <t>Buse hydropulseur</t>
        </is>
      </c>
      <c r="C57" s="28" t="inlineStr">
        <is>
          <t>Buse spray nasal</t>
        </is>
      </c>
      <c r="D57" s="36" t="inlineStr">
        <is>
          <t>N/D</t>
        </is>
      </c>
      <c r="E57" s="32" t="inlineStr">
        <is>
          <t>Hydropulseurs SEAGO</t>
        </is>
      </c>
      <c r="F57" s="33" t="n">
        <v>100</v>
      </c>
      <c r="G57" s="20" t="inlineStr">
        <is>
          <t>WP_TIPS</t>
        </is>
      </c>
      <c r="H57" s="20" t="inlineStr">
        <is>
          <t>Buses de rechange (pack livré avec WP-560)</t>
        </is>
      </c>
      <c r="I57" s="20" t="inlineStr">
        <is>
          <t>Waterpik</t>
        </is>
      </c>
      <c r="J57" s="20" t="inlineStr">
        <is>
          <t>Buses spécialisées (standard, orthodontique, plaque, parodontale)</t>
        </is>
      </c>
      <c r="K57" s="37" t="inlineStr">
        <is>
          <t>N/D</t>
        </is>
      </c>
      <c r="L57" s="37" t="inlineStr">
        <is>
          <t>N/D</t>
        </is>
      </c>
      <c r="M57" s="37" t="inlineStr">
        <is>
          <t>N/D</t>
        </is>
      </c>
      <c r="N57" s="37" t="inlineStr">
        <is>
          <t>N/D</t>
        </is>
      </c>
      <c r="O57" s="37" t="inlineStr">
        <is>
          <t>N/D</t>
        </is>
      </c>
      <c r="P57" s="37" t="inlineStr">
        <is>
          <t>N/D</t>
        </is>
      </c>
      <c r="Q57" s="20" t="inlineStr">
        <is>
          <t>Non vérifié sur CI, SN, BF, CM, BJ.</t>
        </is>
      </c>
      <c r="R57" s="20" t="inlineStr">
        <is>
          <t>Retail spécialisé, pharmacies</t>
        </is>
      </c>
      <c r="S57" s="21" t="inlineStr">
        <is>
          <t>https://www.waterpik.ch/en/oral-health/products/dental-water-flosser/WP-560/</t>
        </is>
      </c>
      <c r="T57" s="21" t="inlineStr">
        <is>
          <t>https://www.electricteeth.com/waterpik-cordless-advanced-wp560-review/</t>
        </is>
      </c>
      <c r="U57" s="20" t="inlineStr">
        <is>
          <t>Rapprochement sur la fonction de la buse et la profondeur de gamme du concurrent. Gamme de buses la plus large du marché, référence de comparaison pour les buses SEAGO SG-P0xx.</t>
        </is>
      </c>
      <c r="V57" s="22">
        <f>IFERROR(IF(IF('Relevé prix'!$B$1="SN",VLOOKUP($G57,'Relevé prix'!$A$4:$N$60,11,FALSE),VLOOKUP($G57,'Relevé prix'!$A$4:$N$60,7,FALSE))=0,"",IF('Relevé prix'!$B$1="SN",VLOOKUP($G57,'Relevé prix'!$A$4:$N$60,11,FALSE),VLOOKUP($G57,'Relevé prix'!$A$4:$N$60,7,FALSE))),"")</f>
        <v/>
      </c>
      <c r="W57" s="23">
        <f>IFERROR(IF(IF('Relevé prix'!$B$1="SN",VLOOKUP($G57,'Relevé prix'!$A$4:$N$60,12,FALSE),VLOOKUP($G57,'Relevé prix'!$A$4:$N$60,8,FALSE))=0,"",IF('Relevé prix'!$B$1="SN",VLOOKUP($G57,'Relevé prix'!$A$4:$N$60,12,FALSE),VLOOKUP($G57,'Relevé prix'!$A$4:$N$60,8,FALSE))),"")</f>
        <v/>
      </c>
      <c r="X57" s="24" t="n"/>
      <c r="Y57" s="25" t="n"/>
      <c r="Z57" s="25" t="n"/>
      <c r="AA57" s="22">
        <f>IF(OR(X57="",V57=""),"",X57-V57)</f>
        <v/>
      </c>
      <c r="AB57" s="26">
        <f>IF(OR(X57="",V57="",V57=0),"",(X57-V57)/V57)</f>
        <v/>
      </c>
      <c r="AC57" s="27">
        <f>IF(AB57="","",IF(AB57&lt;-0.05,"Moins cher",IF(AB57&gt;0.05,"Plus cher","Équivalent")))</f>
        <v/>
      </c>
    </row>
    <row r="58">
      <c r="A58" s="13" t="inlineStr">
        <is>
          <t>SG-P004</t>
        </is>
      </c>
      <c r="B58" s="13" t="inlineStr">
        <is>
          <t>Buse hydropulseur</t>
        </is>
      </c>
      <c r="C58" s="13" t="inlineStr">
        <is>
          <t>Buse poche parodontale</t>
        </is>
      </c>
      <c r="D58" s="40" t="inlineStr">
        <is>
          <t>N/D</t>
        </is>
      </c>
      <c r="E58" s="18" t="inlineStr">
        <is>
          <t>Hydropulseurs SEAGO</t>
        </is>
      </c>
      <c r="F58" s="19" t="n">
        <v>100</v>
      </c>
      <c r="G58" s="20" t="inlineStr">
        <is>
          <t>WP_TIPS</t>
        </is>
      </c>
      <c r="H58" s="20" t="inlineStr">
        <is>
          <t>Buses de rechange (pack livré avec WP-560)</t>
        </is>
      </c>
      <c r="I58" s="20" t="inlineStr">
        <is>
          <t>Waterpik</t>
        </is>
      </c>
      <c r="J58" s="20" t="inlineStr">
        <is>
          <t>Buses spécialisées (standard, orthodontique, plaque, parodontale)</t>
        </is>
      </c>
      <c r="K58" s="37" t="inlineStr">
        <is>
          <t>N/D</t>
        </is>
      </c>
      <c r="L58" s="37" t="inlineStr">
        <is>
          <t>N/D</t>
        </is>
      </c>
      <c r="M58" s="37" t="inlineStr">
        <is>
          <t>N/D</t>
        </is>
      </c>
      <c r="N58" s="37" t="inlineStr">
        <is>
          <t>N/D</t>
        </is>
      </c>
      <c r="O58" s="37" t="inlineStr">
        <is>
          <t>N/D</t>
        </is>
      </c>
      <c r="P58" s="37" t="inlineStr">
        <is>
          <t>N/D</t>
        </is>
      </c>
      <c r="Q58" s="20" t="inlineStr">
        <is>
          <t>Non vérifié sur CI, SN, BF, CM, BJ.</t>
        </is>
      </c>
      <c r="R58" s="20" t="inlineStr">
        <is>
          <t>Retail spécialisé, pharmacies</t>
        </is>
      </c>
      <c r="S58" s="21" t="inlineStr">
        <is>
          <t>https://www.waterpik.ch/en/oral-health/products/dental-water-flosser/WP-560/</t>
        </is>
      </c>
      <c r="T58" s="21" t="inlineStr">
        <is>
          <t>https://www.electricteeth.com/waterpik-cordless-advanced-wp560-review/</t>
        </is>
      </c>
      <c r="U58" s="20" t="inlineStr">
        <is>
          <t>Rapprochement sur la fonction de la buse et la profondeur de gamme du concurrent. Gamme de buses la plus large du marché, référence de comparaison pour les buses SEAGO SG-P0xx.</t>
        </is>
      </c>
      <c r="V58" s="22">
        <f>IFERROR(IF(IF('Relevé prix'!$B$1="SN",VLOOKUP($G58,'Relevé prix'!$A$4:$N$60,11,FALSE),VLOOKUP($G58,'Relevé prix'!$A$4:$N$60,7,FALSE))=0,"",IF('Relevé prix'!$B$1="SN",VLOOKUP($G58,'Relevé prix'!$A$4:$N$60,11,FALSE),VLOOKUP($G58,'Relevé prix'!$A$4:$N$60,7,FALSE))),"")</f>
        <v/>
      </c>
      <c r="W58" s="23">
        <f>IFERROR(IF(IF('Relevé prix'!$B$1="SN",VLOOKUP($G58,'Relevé prix'!$A$4:$N$60,12,FALSE),VLOOKUP($G58,'Relevé prix'!$A$4:$N$60,8,FALSE))=0,"",IF('Relevé prix'!$B$1="SN",VLOOKUP($G58,'Relevé prix'!$A$4:$N$60,12,FALSE),VLOOKUP($G58,'Relevé prix'!$A$4:$N$60,8,FALSE))),"")</f>
        <v/>
      </c>
      <c r="X58" s="24" t="n"/>
      <c r="Y58" s="25" t="n"/>
      <c r="Z58" s="25" t="n"/>
      <c r="AA58" s="22">
        <f>IF(OR(X58="",V58=""),"",X58-V58)</f>
        <v/>
      </c>
      <c r="AB58" s="26">
        <f>IF(OR(X58="",V58="",V58=0),"",(X58-V58)/V58)</f>
        <v/>
      </c>
      <c r="AC58" s="27">
        <f>IF(AB58="","",IF(AB58&lt;-0.05,"Moins cher",IF(AB58&gt;0.05,"Plus cher","Équivalent")))</f>
        <v/>
      </c>
    </row>
    <row r="59">
      <c r="A59" s="28" t="inlineStr">
        <is>
          <t>SG-P006</t>
        </is>
      </c>
      <c r="B59" s="28" t="inlineStr">
        <is>
          <t>Buse hydropulseur</t>
        </is>
      </c>
      <c r="C59" s="28" t="inlineStr">
        <is>
          <t>Buse orthodontique (bagues, prothèses)</t>
        </is>
      </c>
      <c r="D59" s="36" t="inlineStr">
        <is>
          <t>N/D</t>
        </is>
      </c>
      <c r="E59" s="32" t="inlineStr">
        <is>
          <t>Hydropulseurs SEAGO</t>
        </is>
      </c>
      <c r="F59" s="33" t="n">
        <v>100</v>
      </c>
      <c r="G59" s="20" t="inlineStr">
        <is>
          <t>WP_TIPS</t>
        </is>
      </c>
      <c r="H59" s="20" t="inlineStr">
        <is>
          <t>Buses de rechange (pack livré avec WP-560)</t>
        </is>
      </c>
      <c r="I59" s="20" t="inlineStr">
        <is>
          <t>Waterpik</t>
        </is>
      </c>
      <c r="J59" s="20" t="inlineStr">
        <is>
          <t>Buses spécialisées (standard, orthodontique, plaque, parodontale)</t>
        </is>
      </c>
      <c r="K59" s="37" t="inlineStr">
        <is>
          <t>N/D</t>
        </is>
      </c>
      <c r="L59" s="37" t="inlineStr">
        <is>
          <t>N/D</t>
        </is>
      </c>
      <c r="M59" s="37" t="inlineStr">
        <is>
          <t>N/D</t>
        </is>
      </c>
      <c r="N59" s="37" t="inlineStr">
        <is>
          <t>N/D</t>
        </is>
      </c>
      <c r="O59" s="37" t="inlineStr">
        <is>
          <t>N/D</t>
        </is>
      </c>
      <c r="P59" s="37" t="inlineStr">
        <is>
          <t>N/D</t>
        </is>
      </c>
      <c r="Q59" s="20" t="inlineStr">
        <is>
          <t>Non vérifié sur CI, SN, BF, CM, BJ.</t>
        </is>
      </c>
      <c r="R59" s="20" t="inlineStr">
        <is>
          <t>Retail spécialisé, pharmacies</t>
        </is>
      </c>
      <c r="S59" s="21" t="inlineStr">
        <is>
          <t>https://www.waterpik.ch/en/oral-health/products/dental-water-flosser/WP-560/</t>
        </is>
      </c>
      <c r="T59" s="21" t="inlineStr">
        <is>
          <t>https://www.electricteeth.com/waterpik-cordless-advanced-wp560-review/</t>
        </is>
      </c>
      <c r="U59" s="20" t="inlineStr">
        <is>
          <t>Rapprochement sur la fonction de la buse et la profondeur de gamme du concurrent. Gamme de buses la plus large du marché, référence de comparaison pour les buses SEAGO SG-P0xx.</t>
        </is>
      </c>
      <c r="V59" s="22">
        <f>IFERROR(IF(IF('Relevé prix'!$B$1="SN",VLOOKUP($G59,'Relevé prix'!$A$4:$N$60,11,FALSE),VLOOKUP($G59,'Relevé prix'!$A$4:$N$60,7,FALSE))=0,"",IF('Relevé prix'!$B$1="SN",VLOOKUP($G59,'Relevé prix'!$A$4:$N$60,11,FALSE),VLOOKUP($G59,'Relevé prix'!$A$4:$N$60,7,FALSE))),"")</f>
        <v/>
      </c>
      <c r="W59" s="23">
        <f>IFERROR(IF(IF('Relevé prix'!$B$1="SN",VLOOKUP($G59,'Relevé prix'!$A$4:$N$60,12,FALSE),VLOOKUP($G59,'Relevé prix'!$A$4:$N$60,8,FALSE))=0,"",IF('Relevé prix'!$B$1="SN",VLOOKUP($G59,'Relevé prix'!$A$4:$N$60,12,FALSE),VLOOKUP($G59,'Relevé prix'!$A$4:$N$60,8,FALSE))),"")</f>
        <v/>
      </c>
      <c r="X59" s="24" t="n"/>
      <c r="Y59" s="25" t="n"/>
      <c r="Z59" s="25" t="n"/>
      <c r="AA59" s="22">
        <f>IF(OR(X59="",V59=""),"",X59-V59)</f>
        <v/>
      </c>
      <c r="AB59" s="26">
        <f>IF(OR(X59="",V59="",V59=0),"",(X59-V59)/V59)</f>
        <v/>
      </c>
      <c r="AC59" s="27">
        <f>IF(AB59="","",IF(AB59&lt;-0.05,"Moins cher",IF(AB59&gt;0.05,"Plus cher","Équivalent")))</f>
        <v/>
      </c>
    </row>
    <row r="60">
      <c r="A60" s="13" t="inlineStr">
        <is>
          <t>SG-P010</t>
        </is>
      </c>
      <c r="B60" s="13" t="inlineStr">
        <is>
          <t>Buse hydropulseur</t>
        </is>
      </c>
      <c r="C60" s="13" t="inlineStr">
        <is>
          <t>Buse tornade (effet tourbillon)</t>
        </is>
      </c>
      <c r="D60" s="40" t="inlineStr">
        <is>
          <t>N/D</t>
        </is>
      </c>
      <c r="E60" s="18" t="inlineStr">
        <is>
          <t>Hydropulseurs SEAGO</t>
        </is>
      </c>
      <c r="F60" s="19" t="n">
        <v>100</v>
      </c>
      <c r="G60" s="20" t="inlineStr">
        <is>
          <t>WP_TIPS</t>
        </is>
      </c>
      <c r="H60" s="20" t="inlineStr">
        <is>
          <t>Buses de rechange (pack livré avec WP-560)</t>
        </is>
      </c>
      <c r="I60" s="20" t="inlineStr">
        <is>
          <t>Waterpik</t>
        </is>
      </c>
      <c r="J60" s="20" t="inlineStr">
        <is>
          <t>Buses spécialisées (standard, orthodontique, plaque, parodontale)</t>
        </is>
      </c>
      <c r="K60" s="37" t="inlineStr">
        <is>
          <t>N/D</t>
        </is>
      </c>
      <c r="L60" s="37" t="inlineStr">
        <is>
          <t>N/D</t>
        </is>
      </c>
      <c r="M60" s="37" t="inlineStr">
        <is>
          <t>N/D</t>
        </is>
      </c>
      <c r="N60" s="37" t="inlineStr">
        <is>
          <t>N/D</t>
        </is>
      </c>
      <c r="O60" s="37" t="inlineStr">
        <is>
          <t>N/D</t>
        </is>
      </c>
      <c r="P60" s="37" t="inlineStr">
        <is>
          <t>N/D</t>
        </is>
      </c>
      <c r="Q60" s="20" t="inlineStr">
        <is>
          <t>Non vérifié sur CI, SN, BF, CM, BJ.</t>
        </is>
      </c>
      <c r="R60" s="20" t="inlineStr">
        <is>
          <t>Retail spécialisé, pharmacies</t>
        </is>
      </c>
      <c r="S60" s="21" t="inlineStr">
        <is>
          <t>https://www.waterpik.ch/en/oral-health/products/dental-water-flosser/WP-560/</t>
        </is>
      </c>
      <c r="T60" s="21" t="inlineStr">
        <is>
          <t>https://www.electricteeth.com/waterpik-cordless-advanced-wp560-review/</t>
        </is>
      </c>
      <c r="U60" s="20" t="inlineStr">
        <is>
          <t>Rapprochement sur la fonction de la buse et la profondeur de gamme du concurrent. Gamme de buses la plus large du marché, référence de comparaison pour les buses SEAGO SG-P0xx.</t>
        </is>
      </c>
      <c r="V60" s="22">
        <f>IFERROR(IF(IF('Relevé prix'!$B$1="SN",VLOOKUP($G60,'Relevé prix'!$A$4:$N$60,11,FALSE),VLOOKUP($G60,'Relevé prix'!$A$4:$N$60,7,FALSE))=0,"",IF('Relevé prix'!$B$1="SN",VLOOKUP($G60,'Relevé prix'!$A$4:$N$60,11,FALSE),VLOOKUP($G60,'Relevé prix'!$A$4:$N$60,7,FALSE))),"")</f>
        <v/>
      </c>
      <c r="W60" s="23">
        <f>IFERROR(IF(IF('Relevé prix'!$B$1="SN",VLOOKUP($G60,'Relevé prix'!$A$4:$N$60,12,FALSE),VLOOKUP($G60,'Relevé prix'!$A$4:$N$60,8,FALSE))=0,"",IF('Relevé prix'!$B$1="SN",VLOOKUP($G60,'Relevé prix'!$A$4:$N$60,12,FALSE),VLOOKUP($G60,'Relevé prix'!$A$4:$N$60,8,FALSE))),"")</f>
        <v/>
      </c>
      <c r="X60" s="24" t="n"/>
      <c r="Y60" s="25" t="n"/>
      <c r="Z60" s="25" t="n"/>
      <c r="AA60" s="22">
        <f>IF(OR(X60="",V60=""),"",X60-V60)</f>
        <v/>
      </c>
      <c r="AB60" s="26">
        <f>IF(OR(X60="",V60="",V60=0),"",(X60-V60)/V60)</f>
        <v/>
      </c>
      <c r="AC60" s="27">
        <f>IF(AB60="","",IF(AB60&lt;-0.05,"Moins cher",IF(AB60&gt;0.05,"Plus cher","Équivalent")))</f>
        <v/>
      </c>
    </row>
    <row r="61">
      <c r="A61" s="41" t="n"/>
      <c r="B61" s="41" t="n"/>
      <c r="C61" s="41" t="n"/>
      <c r="D61" s="41" t="n"/>
      <c r="E61" s="41" t="n"/>
      <c r="F61" s="41" t="n"/>
      <c r="G61" s="42" t="n"/>
      <c r="H61" s="42" t="n"/>
      <c r="I61" s="42" t="n"/>
      <c r="J61" s="42" t="n"/>
      <c r="K61" s="42" t="n"/>
      <c r="L61" s="42" t="n"/>
      <c r="M61" s="42" t="n"/>
      <c r="N61" s="42" t="n"/>
      <c r="O61" s="42" t="n"/>
      <c r="P61" s="42" t="n"/>
      <c r="Q61" s="42" t="n"/>
      <c r="R61" s="42" t="n"/>
      <c r="S61" s="42" t="n"/>
      <c r="T61" s="42" t="n"/>
      <c r="U61" s="42" t="n"/>
      <c r="V61" s="22">
        <f>IFERROR(IF(IF('Relevé prix'!$B$1="SN",VLOOKUP($G61,'Relevé prix'!$A$4:$N$60,11,FALSE),VLOOKUP($G61,'Relevé prix'!$A$4:$N$60,7,FALSE))=0,"",IF('Relevé prix'!$B$1="SN",VLOOKUP($G61,'Relevé prix'!$A$4:$N$60,11,FALSE),VLOOKUP($G61,'Relevé prix'!$A$4:$N$60,7,FALSE))),"")</f>
        <v/>
      </c>
      <c r="W61" s="23">
        <f>IFERROR(IF(IF('Relevé prix'!$B$1="SN",VLOOKUP($G61,'Relevé prix'!$A$4:$N$60,12,FALSE),VLOOKUP($G61,'Relevé prix'!$A$4:$N$60,8,FALSE))=0,"",IF('Relevé prix'!$B$1="SN",VLOOKUP($G61,'Relevé prix'!$A$4:$N$60,12,FALSE),VLOOKUP($G61,'Relevé prix'!$A$4:$N$60,8,FALSE))),"")</f>
        <v/>
      </c>
      <c r="X61" s="24" t="n"/>
      <c r="Y61" s="25" t="n"/>
      <c r="Z61" s="25" t="n"/>
      <c r="AA61" s="22">
        <f>IF(OR(X61="",V61=""),"",X61-V61)</f>
        <v/>
      </c>
      <c r="AB61" s="26">
        <f>IF(OR(X61="",V61="",V61=0),"",(X61-V61)/V61)</f>
        <v/>
      </c>
      <c r="AC61" s="27">
        <f>IF(AB61="","",IF(AB61&lt;-0.05,"Moins cher",IF(AB61&gt;0.05,"Plus cher","Équivalent")))</f>
        <v/>
      </c>
    </row>
    <row r="62">
      <c r="A62" s="41" t="n"/>
      <c r="B62" s="41" t="n"/>
      <c r="C62" s="41" t="n"/>
      <c r="D62" s="41" t="n"/>
      <c r="E62" s="41" t="n"/>
      <c r="F62" s="41" t="n"/>
      <c r="G62" s="42" t="n"/>
      <c r="H62" s="42" t="n"/>
      <c r="I62" s="42" t="n"/>
      <c r="J62" s="42" t="n"/>
      <c r="K62" s="42" t="n"/>
      <c r="L62" s="42" t="n"/>
      <c r="M62" s="42" t="n"/>
      <c r="N62" s="42" t="n"/>
      <c r="O62" s="42" t="n"/>
      <c r="P62" s="42" t="n"/>
      <c r="Q62" s="42" t="n"/>
      <c r="R62" s="42" t="n"/>
      <c r="S62" s="42" t="n"/>
      <c r="T62" s="42" t="n"/>
      <c r="U62" s="42" t="n"/>
      <c r="V62" s="22">
        <f>IFERROR(IF(IF('Relevé prix'!$B$1="SN",VLOOKUP($G62,'Relevé prix'!$A$4:$N$60,11,FALSE),VLOOKUP($G62,'Relevé prix'!$A$4:$N$60,7,FALSE))=0,"",IF('Relevé prix'!$B$1="SN",VLOOKUP($G62,'Relevé prix'!$A$4:$N$60,11,FALSE),VLOOKUP($G62,'Relevé prix'!$A$4:$N$60,7,FALSE))),"")</f>
        <v/>
      </c>
      <c r="W62" s="23">
        <f>IFERROR(IF(IF('Relevé prix'!$B$1="SN",VLOOKUP($G62,'Relevé prix'!$A$4:$N$60,12,FALSE),VLOOKUP($G62,'Relevé prix'!$A$4:$N$60,8,FALSE))=0,"",IF('Relevé prix'!$B$1="SN",VLOOKUP($G62,'Relevé prix'!$A$4:$N$60,12,FALSE),VLOOKUP($G62,'Relevé prix'!$A$4:$N$60,8,FALSE))),"")</f>
        <v/>
      </c>
      <c r="X62" s="24" t="n"/>
      <c r="Y62" s="25" t="n"/>
      <c r="Z62" s="25" t="n"/>
      <c r="AA62" s="22">
        <f>IF(OR(X62="",V62=""),"",X62-V62)</f>
        <v/>
      </c>
      <c r="AB62" s="26">
        <f>IF(OR(X62="",V62="",V62=0),"",(X62-V62)/V62)</f>
        <v/>
      </c>
      <c r="AC62" s="27">
        <f>IF(AB62="","",IF(AB62&lt;-0.05,"Moins cher",IF(AB62&gt;0.05,"Plus cher","Équivalent")))</f>
        <v/>
      </c>
    </row>
    <row r="63">
      <c r="A63" s="41" t="n"/>
      <c r="B63" s="41" t="n"/>
      <c r="C63" s="41" t="n"/>
      <c r="D63" s="41" t="n"/>
      <c r="E63" s="41" t="n"/>
      <c r="F63" s="41" t="n"/>
      <c r="G63" s="42" t="n"/>
      <c r="H63" s="42" t="n"/>
      <c r="I63" s="42" t="n"/>
      <c r="J63" s="42" t="n"/>
      <c r="K63" s="42" t="n"/>
      <c r="L63" s="42" t="n"/>
      <c r="M63" s="42" t="n"/>
      <c r="N63" s="42" t="n"/>
      <c r="O63" s="42" t="n"/>
      <c r="P63" s="42" t="n"/>
      <c r="Q63" s="42" t="n"/>
      <c r="R63" s="42" t="n"/>
      <c r="S63" s="42" t="n"/>
      <c r="T63" s="42" t="n"/>
      <c r="U63" s="42" t="n"/>
      <c r="V63" s="22">
        <f>IFERROR(IF(IF('Relevé prix'!$B$1="SN",VLOOKUP($G63,'Relevé prix'!$A$4:$N$60,11,FALSE),VLOOKUP($G63,'Relevé prix'!$A$4:$N$60,7,FALSE))=0,"",IF('Relevé prix'!$B$1="SN",VLOOKUP($G63,'Relevé prix'!$A$4:$N$60,11,FALSE),VLOOKUP($G63,'Relevé prix'!$A$4:$N$60,7,FALSE))),"")</f>
        <v/>
      </c>
      <c r="W63" s="23">
        <f>IFERROR(IF(IF('Relevé prix'!$B$1="SN",VLOOKUP($G63,'Relevé prix'!$A$4:$N$60,12,FALSE),VLOOKUP($G63,'Relevé prix'!$A$4:$N$60,8,FALSE))=0,"",IF('Relevé prix'!$B$1="SN",VLOOKUP($G63,'Relevé prix'!$A$4:$N$60,12,FALSE),VLOOKUP($G63,'Relevé prix'!$A$4:$N$60,8,FALSE))),"")</f>
        <v/>
      </c>
      <c r="X63" s="24" t="n"/>
      <c r="Y63" s="25" t="n"/>
      <c r="Z63" s="25" t="n"/>
      <c r="AA63" s="22">
        <f>IF(OR(X63="",V63=""),"",X63-V63)</f>
        <v/>
      </c>
      <c r="AB63" s="26">
        <f>IF(OR(X63="",V63="",V63=0),"",(X63-V63)/V63)</f>
        <v/>
      </c>
      <c r="AC63" s="27">
        <f>IF(AB63="","",IF(AB63&lt;-0.05,"Moins cher",IF(AB63&gt;0.05,"Plus cher","Équivalent")))</f>
        <v/>
      </c>
    </row>
    <row r="64">
      <c r="A64" s="41" t="n"/>
      <c r="B64" s="41" t="n"/>
      <c r="C64" s="41" t="n"/>
      <c r="D64" s="41" t="n"/>
      <c r="E64" s="41" t="n"/>
      <c r="F64" s="41" t="n"/>
      <c r="G64" s="42" t="n"/>
      <c r="H64" s="42" t="n"/>
      <c r="I64" s="42" t="n"/>
      <c r="J64" s="42" t="n"/>
      <c r="K64" s="42" t="n"/>
      <c r="L64" s="42" t="n"/>
      <c r="M64" s="42" t="n"/>
      <c r="N64" s="42" t="n"/>
      <c r="O64" s="42" t="n"/>
      <c r="P64" s="42" t="n"/>
      <c r="Q64" s="42" t="n"/>
      <c r="R64" s="42" t="n"/>
      <c r="S64" s="42" t="n"/>
      <c r="T64" s="42" t="n"/>
      <c r="U64" s="42" t="n"/>
      <c r="V64" s="22">
        <f>IFERROR(IF(IF('Relevé prix'!$B$1="SN",VLOOKUP($G64,'Relevé prix'!$A$4:$N$60,11,FALSE),VLOOKUP($G64,'Relevé prix'!$A$4:$N$60,7,FALSE))=0,"",IF('Relevé prix'!$B$1="SN",VLOOKUP($G64,'Relevé prix'!$A$4:$N$60,11,FALSE),VLOOKUP($G64,'Relevé prix'!$A$4:$N$60,7,FALSE))),"")</f>
        <v/>
      </c>
      <c r="W64" s="23">
        <f>IFERROR(IF(IF('Relevé prix'!$B$1="SN",VLOOKUP($G64,'Relevé prix'!$A$4:$N$60,12,FALSE),VLOOKUP($G64,'Relevé prix'!$A$4:$N$60,8,FALSE))=0,"",IF('Relevé prix'!$B$1="SN",VLOOKUP($G64,'Relevé prix'!$A$4:$N$60,12,FALSE),VLOOKUP($G64,'Relevé prix'!$A$4:$N$60,8,FALSE))),"")</f>
        <v/>
      </c>
      <c r="X64" s="24" t="n"/>
      <c r="Y64" s="25" t="n"/>
      <c r="Z64" s="25" t="n"/>
      <c r="AA64" s="22">
        <f>IF(OR(X64="",V64=""),"",X64-V64)</f>
        <v/>
      </c>
      <c r="AB64" s="26">
        <f>IF(OR(X64="",V64="",V64=0),"",(X64-V64)/V64)</f>
        <v/>
      </c>
      <c r="AC64" s="27">
        <f>IF(AB64="","",IF(AB64&lt;-0.05,"Moins cher",IF(AB64&gt;0.05,"Plus cher","Équivalent")))</f>
        <v/>
      </c>
    </row>
    <row r="65">
      <c r="A65" s="41" t="n"/>
      <c r="B65" s="41" t="n"/>
      <c r="C65" s="41" t="n"/>
      <c r="D65" s="41" t="n"/>
      <c r="E65" s="41" t="n"/>
      <c r="F65" s="41" t="n"/>
      <c r="G65" s="42" t="n"/>
      <c r="H65" s="42" t="n"/>
      <c r="I65" s="42" t="n"/>
      <c r="J65" s="42" t="n"/>
      <c r="K65" s="42" t="n"/>
      <c r="L65" s="42" t="n"/>
      <c r="M65" s="42" t="n"/>
      <c r="N65" s="42" t="n"/>
      <c r="O65" s="42" t="n"/>
      <c r="P65" s="42" t="n"/>
      <c r="Q65" s="42" t="n"/>
      <c r="R65" s="42" t="n"/>
      <c r="S65" s="42" t="n"/>
      <c r="T65" s="42" t="n"/>
      <c r="U65" s="42" t="n"/>
      <c r="V65" s="22">
        <f>IFERROR(IF(IF('Relevé prix'!$B$1="SN",VLOOKUP($G65,'Relevé prix'!$A$4:$N$60,11,FALSE),VLOOKUP($G65,'Relevé prix'!$A$4:$N$60,7,FALSE))=0,"",IF('Relevé prix'!$B$1="SN",VLOOKUP($G65,'Relevé prix'!$A$4:$N$60,11,FALSE),VLOOKUP($G65,'Relevé prix'!$A$4:$N$60,7,FALSE))),"")</f>
        <v/>
      </c>
      <c r="W65" s="23">
        <f>IFERROR(IF(IF('Relevé prix'!$B$1="SN",VLOOKUP($G65,'Relevé prix'!$A$4:$N$60,12,FALSE),VLOOKUP($G65,'Relevé prix'!$A$4:$N$60,8,FALSE))=0,"",IF('Relevé prix'!$B$1="SN",VLOOKUP($G65,'Relevé prix'!$A$4:$N$60,12,FALSE),VLOOKUP($G65,'Relevé prix'!$A$4:$N$60,8,FALSE))),"")</f>
        <v/>
      </c>
      <c r="X65" s="24" t="n"/>
      <c r="Y65" s="25" t="n"/>
      <c r="Z65" s="25" t="n"/>
      <c r="AA65" s="22">
        <f>IF(OR(X65="",V65=""),"",X65-V65)</f>
        <v/>
      </c>
      <c r="AB65" s="26">
        <f>IF(OR(X65="",V65="",V65=0),"",(X65-V65)/V65)</f>
        <v/>
      </c>
      <c r="AC65" s="27">
        <f>IF(AB65="","",IF(AB65&lt;-0.05,"Moins cher",IF(AB65&gt;0.05,"Plus cher","Équivalent")))</f>
        <v/>
      </c>
    </row>
    <row r="66">
      <c r="A66" s="41" t="n"/>
      <c r="B66" s="41" t="n"/>
      <c r="C66" s="41" t="n"/>
      <c r="D66" s="41" t="n"/>
      <c r="E66" s="41" t="n"/>
      <c r="F66" s="41" t="n"/>
      <c r="G66" s="42" t="n"/>
      <c r="H66" s="42" t="n"/>
      <c r="I66" s="42" t="n"/>
      <c r="J66" s="42" t="n"/>
      <c r="K66" s="42" t="n"/>
      <c r="L66" s="42" t="n"/>
      <c r="M66" s="42" t="n"/>
      <c r="N66" s="42" t="n"/>
      <c r="O66" s="42" t="n"/>
      <c r="P66" s="42" t="n"/>
      <c r="Q66" s="42" t="n"/>
      <c r="R66" s="42" t="n"/>
      <c r="S66" s="42" t="n"/>
      <c r="T66" s="42" t="n"/>
      <c r="U66" s="42" t="n"/>
      <c r="V66" s="22">
        <f>IFERROR(IF(IF('Relevé prix'!$B$1="SN",VLOOKUP($G66,'Relevé prix'!$A$4:$N$60,11,FALSE),VLOOKUP($G66,'Relevé prix'!$A$4:$N$60,7,FALSE))=0,"",IF('Relevé prix'!$B$1="SN",VLOOKUP($G66,'Relevé prix'!$A$4:$N$60,11,FALSE),VLOOKUP($G66,'Relevé prix'!$A$4:$N$60,7,FALSE))),"")</f>
        <v/>
      </c>
      <c r="W66" s="23">
        <f>IFERROR(IF(IF('Relevé prix'!$B$1="SN",VLOOKUP($G66,'Relevé prix'!$A$4:$N$60,12,FALSE),VLOOKUP($G66,'Relevé prix'!$A$4:$N$60,8,FALSE))=0,"",IF('Relevé prix'!$B$1="SN",VLOOKUP($G66,'Relevé prix'!$A$4:$N$60,12,FALSE),VLOOKUP($G66,'Relevé prix'!$A$4:$N$60,8,FALSE))),"")</f>
        <v/>
      </c>
      <c r="X66" s="24" t="n"/>
      <c r="Y66" s="25" t="n"/>
      <c r="Z66" s="25" t="n"/>
      <c r="AA66" s="22">
        <f>IF(OR(X66="",V66=""),"",X66-V66)</f>
        <v/>
      </c>
      <c r="AB66" s="26">
        <f>IF(OR(X66="",V66="",V66=0),"",(X66-V66)/V66)</f>
        <v/>
      </c>
      <c r="AC66" s="27">
        <f>IF(AB66="","",IF(AB66&lt;-0.05,"Moins cher",IF(AB66&gt;0.05,"Plus cher","Équivalent")))</f>
        <v/>
      </c>
    </row>
    <row r="67">
      <c r="A67" s="41" t="n"/>
      <c r="B67" s="41" t="n"/>
      <c r="C67" s="41" t="n"/>
      <c r="D67" s="41" t="n"/>
      <c r="E67" s="41" t="n"/>
      <c r="F67" s="41" t="n"/>
      <c r="G67" s="42" t="n"/>
      <c r="H67" s="42" t="n"/>
      <c r="I67" s="42" t="n"/>
      <c r="J67" s="42" t="n"/>
      <c r="K67" s="42" t="n"/>
      <c r="L67" s="42" t="n"/>
      <c r="M67" s="42" t="n"/>
      <c r="N67" s="42" t="n"/>
      <c r="O67" s="42" t="n"/>
      <c r="P67" s="42" t="n"/>
      <c r="Q67" s="42" t="n"/>
      <c r="R67" s="42" t="n"/>
      <c r="S67" s="42" t="n"/>
      <c r="T67" s="42" t="n"/>
      <c r="U67" s="42" t="n"/>
      <c r="V67" s="22">
        <f>IFERROR(IF(IF('Relevé prix'!$B$1="SN",VLOOKUP($G67,'Relevé prix'!$A$4:$N$60,11,FALSE),VLOOKUP($G67,'Relevé prix'!$A$4:$N$60,7,FALSE))=0,"",IF('Relevé prix'!$B$1="SN",VLOOKUP($G67,'Relevé prix'!$A$4:$N$60,11,FALSE),VLOOKUP($G67,'Relevé prix'!$A$4:$N$60,7,FALSE))),"")</f>
        <v/>
      </c>
      <c r="W67" s="23">
        <f>IFERROR(IF(IF('Relevé prix'!$B$1="SN",VLOOKUP($G67,'Relevé prix'!$A$4:$N$60,12,FALSE),VLOOKUP($G67,'Relevé prix'!$A$4:$N$60,8,FALSE))=0,"",IF('Relevé prix'!$B$1="SN",VLOOKUP($G67,'Relevé prix'!$A$4:$N$60,12,FALSE),VLOOKUP($G67,'Relevé prix'!$A$4:$N$60,8,FALSE))),"")</f>
        <v/>
      </c>
      <c r="X67" s="24" t="n"/>
      <c r="Y67" s="25" t="n"/>
      <c r="Z67" s="25" t="n"/>
      <c r="AA67" s="22">
        <f>IF(OR(X67="",V67=""),"",X67-V67)</f>
        <v/>
      </c>
      <c r="AB67" s="26">
        <f>IF(OR(X67="",V67="",V67=0),"",(X67-V67)/V67)</f>
        <v/>
      </c>
      <c r="AC67" s="27">
        <f>IF(AB67="","",IF(AB67&lt;-0.05,"Moins cher",IF(AB67&gt;0.05,"Plus cher","Équivalent")))</f>
        <v/>
      </c>
    </row>
    <row r="68">
      <c r="A68" s="41" t="n"/>
      <c r="B68" s="41" t="n"/>
      <c r="C68" s="41" t="n"/>
      <c r="D68" s="41" t="n"/>
      <c r="E68" s="41" t="n"/>
      <c r="F68" s="41" t="n"/>
      <c r="G68" s="42" t="n"/>
      <c r="H68" s="42" t="n"/>
      <c r="I68" s="42" t="n"/>
      <c r="J68" s="42" t="n"/>
      <c r="K68" s="42" t="n"/>
      <c r="L68" s="42" t="n"/>
      <c r="M68" s="42" t="n"/>
      <c r="N68" s="42" t="n"/>
      <c r="O68" s="42" t="n"/>
      <c r="P68" s="42" t="n"/>
      <c r="Q68" s="42" t="n"/>
      <c r="R68" s="42" t="n"/>
      <c r="S68" s="42" t="n"/>
      <c r="T68" s="42" t="n"/>
      <c r="U68" s="42" t="n"/>
      <c r="V68" s="22">
        <f>IFERROR(IF(IF('Relevé prix'!$B$1="SN",VLOOKUP($G68,'Relevé prix'!$A$4:$N$60,11,FALSE),VLOOKUP($G68,'Relevé prix'!$A$4:$N$60,7,FALSE))=0,"",IF('Relevé prix'!$B$1="SN",VLOOKUP($G68,'Relevé prix'!$A$4:$N$60,11,FALSE),VLOOKUP($G68,'Relevé prix'!$A$4:$N$60,7,FALSE))),"")</f>
        <v/>
      </c>
      <c r="W68" s="23">
        <f>IFERROR(IF(IF('Relevé prix'!$B$1="SN",VLOOKUP($G68,'Relevé prix'!$A$4:$N$60,12,FALSE),VLOOKUP($G68,'Relevé prix'!$A$4:$N$60,8,FALSE))=0,"",IF('Relevé prix'!$B$1="SN",VLOOKUP($G68,'Relevé prix'!$A$4:$N$60,12,FALSE),VLOOKUP($G68,'Relevé prix'!$A$4:$N$60,8,FALSE))),"")</f>
        <v/>
      </c>
      <c r="X68" s="24" t="n"/>
      <c r="Y68" s="25" t="n"/>
      <c r="Z68" s="25" t="n"/>
      <c r="AA68" s="22">
        <f>IF(OR(X68="",V68=""),"",X68-V68)</f>
        <v/>
      </c>
      <c r="AB68" s="26">
        <f>IF(OR(X68="",V68="",V68=0),"",(X68-V68)/V68)</f>
        <v/>
      </c>
      <c r="AC68" s="27">
        <f>IF(AB68="","",IF(AB68&lt;-0.05,"Moins cher",IF(AB68&gt;0.05,"Plus cher","Équivalent")))</f>
        <v/>
      </c>
    </row>
    <row r="69">
      <c r="A69" s="41" t="n"/>
      <c r="B69" s="41" t="n"/>
      <c r="C69" s="41" t="n"/>
      <c r="D69" s="41" t="n"/>
      <c r="E69" s="41" t="n"/>
      <c r="F69" s="41" t="n"/>
      <c r="G69" s="42" t="n"/>
      <c r="H69" s="42" t="n"/>
      <c r="I69" s="42" t="n"/>
      <c r="J69" s="42" t="n"/>
      <c r="K69" s="42" t="n"/>
      <c r="L69" s="42" t="n"/>
      <c r="M69" s="42" t="n"/>
      <c r="N69" s="42" t="n"/>
      <c r="O69" s="42" t="n"/>
      <c r="P69" s="42" t="n"/>
      <c r="Q69" s="42" t="n"/>
      <c r="R69" s="42" t="n"/>
      <c r="S69" s="42" t="n"/>
      <c r="T69" s="42" t="n"/>
      <c r="U69" s="42" t="n"/>
      <c r="V69" s="22">
        <f>IFERROR(IF(IF('Relevé prix'!$B$1="SN",VLOOKUP($G69,'Relevé prix'!$A$4:$N$60,11,FALSE),VLOOKUP($G69,'Relevé prix'!$A$4:$N$60,7,FALSE))=0,"",IF('Relevé prix'!$B$1="SN",VLOOKUP($G69,'Relevé prix'!$A$4:$N$60,11,FALSE),VLOOKUP($G69,'Relevé prix'!$A$4:$N$60,7,FALSE))),"")</f>
        <v/>
      </c>
      <c r="W69" s="23">
        <f>IFERROR(IF(IF('Relevé prix'!$B$1="SN",VLOOKUP($G69,'Relevé prix'!$A$4:$N$60,12,FALSE),VLOOKUP($G69,'Relevé prix'!$A$4:$N$60,8,FALSE))=0,"",IF('Relevé prix'!$B$1="SN",VLOOKUP($G69,'Relevé prix'!$A$4:$N$60,12,FALSE),VLOOKUP($G69,'Relevé prix'!$A$4:$N$60,8,FALSE))),"")</f>
        <v/>
      </c>
      <c r="X69" s="24" t="n"/>
      <c r="Y69" s="25" t="n"/>
      <c r="Z69" s="25" t="n"/>
      <c r="AA69" s="22">
        <f>IF(OR(X69="",V69=""),"",X69-V69)</f>
        <v/>
      </c>
      <c r="AB69" s="26">
        <f>IF(OR(X69="",V69="",V69=0),"",(X69-V69)/V69)</f>
        <v/>
      </c>
      <c r="AC69" s="27">
        <f>IF(AB69="","",IF(AB69&lt;-0.05,"Moins cher",IF(AB69&gt;0.05,"Plus cher","Équivalent")))</f>
        <v/>
      </c>
    </row>
    <row r="70">
      <c r="A70" s="41" t="n"/>
      <c r="B70" s="41" t="n"/>
      <c r="C70" s="41" t="n"/>
      <c r="D70" s="41" t="n"/>
      <c r="E70" s="41" t="n"/>
      <c r="F70" s="41" t="n"/>
      <c r="G70" s="42" t="n"/>
      <c r="H70" s="42" t="n"/>
      <c r="I70" s="42" t="n"/>
      <c r="J70" s="42" t="n"/>
      <c r="K70" s="42" t="n"/>
      <c r="L70" s="42" t="n"/>
      <c r="M70" s="42" t="n"/>
      <c r="N70" s="42" t="n"/>
      <c r="O70" s="42" t="n"/>
      <c r="P70" s="42" t="n"/>
      <c r="Q70" s="42" t="n"/>
      <c r="R70" s="42" t="n"/>
      <c r="S70" s="42" t="n"/>
      <c r="T70" s="42" t="n"/>
      <c r="U70" s="42" t="n"/>
      <c r="V70" s="22">
        <f>IFERROR(IF(IF('Relevé prix'!$B$1="SN",VLOOKUP($G70,'Relevé prix'!$A$4:$N$60,11,FALSE),VLOOKUP($G70,'Relevé prix'!$A$4:$N$60,7,FALSE))=0,"",IF('Relevé prix'!$B$1="SN",VLOOKUP($G70,'Relevé prix'!$A$4:$N$60,11,FALSE),VLOOKUP($G70,'Relevé prix'!$A$4:$N$60,7,FALSE))),"")</f>
        <v/>
      </c>
      <c r="W70" s="23">
        <f>IFERROR(IF(IF('Relevé prix'!$B$1="SN",VLOOKUP($G70,'Relevé prix'!$A$4:$N$60,12,FALSE),VLOOKUP($G70,'Relevé prix'!$A$4:$N$60,8,FALSE))=0,"",IF('Relevé prix'!$B$1="SN",VLOOKUP($G70,'Relevé prix'!$A$4:$N$60,12,FALSE),VLOOKUP($G70,'Relevé prix'!$A$4:$N$60,8,FALSE))),"")</f>
        <v/>
      </c>
      <c r="X70" s="24" t="n"/>
      <c r="Y70" s="25" t="n"/>
      <c r="Z70" s="25" t="n"/>
      <c r="AA70" s="22">
        <f>IF(OR(X70="",V70=""),"",X70-V70)</f>
        <v/>
      </c>
      <c r="AB70" s="26">
        <f>IF(OR(X70="",V70="",V70=0),"",(X70-V70)/V70)</f>
        <v/>
      </c>
      <c r="AC70" s="27">
        <f>IF(AB70="","",IF(AB70&lt;-0.05,"Moins cher",IF(AB70&gt;0.05,"Plus cher","Équivalent")))</f>
        <v/>
      </c>
    </row>
    <row r="71">
      <c r="A71" s="41" t="n"/>
      <c r="B71" s="41" t="n"/>
      <c r="C71" s="41" t="n"/>
      <c r="D71" s="41" t="n"/>
      <c r="E71" s="41" t="n"/>
      <c r="F71" s="41" t="n"/>
      <c r="G71" s="42" t="n"/>
      <c r="H71" s="42" t="n"/>
      <c r="I71" s="42" t="n"/>
      <c r="J71" s="42" t="n"/>
      <c r="K71" s="42" t="n"/>
      <c r="L71" s="42" t="n"/>
      <c r="M71" s="42" t="n"/>
      <c r="N71" s="42" t="n"/>
      <c r="O71" s="42" t="n"/>
      <c r="P71" s="42" t="n"/>
      <c r="Q71" s="42" t="n"/>
      <c r="R71" s="42" t="n"/>
      <c r="S71" s="42" t="n"/>
      <c r="T71" s="42" t="n"/>
      <c r="U71" s="42" t="n"/>
      <c r="V71" s="22">
        <f>IFERROR(IF(IF('Relevé prix'!$B$1="SN",VLOOKUP($G71,'Relevé prix'!$A$4:$N$60,11,FALSE),VLOOKUP($G71,'Relevé prix'!$A$4:$N$60,7,FALSE))=0,"",IF('Relevé prix'!$B$1="SN",VLOOKUP($G71,'Relevé prix'!$A$4:$N$60,11,FALSE),VLOOKUP($G71,'Relevé prix'!$A$4:$N$60,7,FALSE))),"")</f>
        <v/>
      </c>
      <c r="W71" s="23">
        <f>IFERROR(IF(IF('Relevé prix'!$B$1="SN",VLOOKUP($G71,'Relevé prix'!$A$4:$N$60,12,FALSE),VLOOKUP($G71,'Relevé prix'!$A$4:$N$60,8,FALSE))=0,"",IF('Relevé prix'!$B$1="SN",VLOOKUP($G71,'Relevé prix'!$A$4:$N$60,12,FALSE),VLOOKUP($G71,'Relevé prix'!$A$4:$N$60,8,FALSE))),"")</f>
        <v/>
      </c>
      <c r="X71" s="24" t="n"/>
      <c r="Y71" s="25" t="n"/>
      <c r="Z71" s="25" t="n"/>
      <c r="AA71" s="22">
        <f>IF(OR(X71="",V71=""),"",X71-V71)</f>
        <v/>
      </c>
      <c r="AB71" s="26">
        <f>IF(OR(X71="",V71="",V71=0),"",(X71-V71)/V71)</f>
        <v/>
      </c>
      <c r="AC71" s="27">
        <f>IF(AB71="","",IF(AB71&lt;-0.05,"Moins cher",IF(AB71&gt;0.05,"Plus cher","Équivalent")))</f>
        <v/>
      </c>
    </row>
    <row r="72">
      <c r="A72" s="41" t="n"/>
      <c r="B72" s="41" t="n"/>
      <c r="C72" s="41" t="n"/>
      <c r="D72" s="41" t="n"/>
      <c r="E72" s="41" t="n"/>
      <c r="F72" s="41" t="n"/>
      <c r="G72" s="42" t="n"/>
      <c r="H72" s="42" t="n"/>
      <c r="I72" s="42" t="n"/>
      <c r="J72" s="42" t="n"/>
      <c r="K72" s="42" t="n"/>
      <c r="L72" s="42" t="n"/>
      <c r="M72" s="42" t="n"/>
      <c r="N72" s="42" t="n"/>
      <c r="O72" s="42" t="n"/>
      <c r="P72" s="42" t="n"/>
      <c r="Q72" s="42" t="n"/>
      <c r="R72" s="42" t="n"/>
      <c r="S72" s="42" t="n"/>
      <c r="T72" s="42" t="n"/>
      <c r="U72" s="42" t="n"/>
      <c r="V72" s="22">
        <f>IFERROR(IF(IF('Relevé prix'!$B$1="SN",VLOOKUP($G72,'Relevé prix'!$A$4:$N$60,11,FALSE),VLOOKUP($G72,'Relevé prix'!$A$4:$N$60,7,FALSE))=0,"",IF('Relevé prix'!$B$1="SN",VLOOKUP($G72,'Relevé prix'!$A$4:$N$60,11,FALSE),VLOOKUP($G72,'Relevé prix'!$A$4:$N$60,7,FALSE))),"")</f>
        <v/>
      </c>
      <c r="W72" s="23">
        <f>IFERROR(IF(IF('Relevé prix'!$B$1="SN",VLOOKUP($G72,'Relevé prix'!$A$4:$N$60,12,FALSE),VLOOKUP($G72,'Relevé prix'!$A$4:$N$60,8,FALSE))=0,"",IF('Relevé prix'!$B$1="SN",VLOOKUP($G72,'Relevé prix'!$A$4:$N$60,12,FALSE),VLOOKUP($G72,'Relevé prix'!$A$4:$N$60,8,FALSE))),"")</f>
        <v/>
      </c>
      <c r="X72" s="24" t="n"/>
      <c r="Y72" s="25" t="n"/>
      <c r="Z72" s="25" t="n"/>
      <c r="AA72" s="22">
        <f>IF(OR(X72="",V72=""),"",X72-V72)</f>
        <v/>
      </c>
      <c r="AB72" s="26">
        <f>IF(OR(X72="",V72="",V72=0),"",(X72-V72)/V72)</f>
        <v/>
      </c>
      <c r="AC72" s="27">
        <f>IF(AB72="","",IF(AB72&lt;-0.05,"Moins cher",IF(AB72&gt;0.05,"Plus cher","Équivalent")))</f>
        <v/>
      </c>
    </row>
    <row r="73">
      <c r="A73" s="41" t="n"/>
      <c r="B73" s="41" t="n"/>
      <c r="C73" s="41" t="n"/>
      <c r="D73" s="41" t="n"/>
      <c r="E73" s="41" t="n"/>
      <c r="F73" s="41" t="n"/>
      <c r="G73" s="42" t="n"/>
      <c r="H73" s="42" t="n"/>
      <c r="I73" s="42" t="n"/>
      <c r="J73" s="42" t="n"/>
      <c r="K73" s="42" t="n"/>
      <c r="L73" s="42" t="n"/>
      <c r="M73" s="42" t="n"/>
      <c r="N73" s="42" t="n"/>
      <c r="O73" s="42" t="n"/>
      <c r="P73" s="42" t="n"/>
      <c r="Q73" s="42" t="n"/>
      <c r="R73" s="42" t="n"/>
      <c r="S73" s="42" t="n"/>
      <c r="T73" s="42" t="n"/>
      <c r="U73" s="42" t="n"/>
      <c r="V73" s="22">
        <f>IFERROR(IF(IF('Relevé prix'!$B$1="SN",VLOOKUP($G73,'Relevé prix'!$A$4:$N$60,11,FALSE),VLOOKUP($G73,'Relevé prix'!$A$4:$N$60,7,FALSE))=0,"",IF('Relevé prix'!$B$1="SN",VLOOKUP($G73,'Relevé prix'!$A$4:$N$60,11,FALSE),VLOOKUP($G73,'Relevé prix'!$A$4:$N$60,7,FALSE))),"")</f>
        <v/>
      </c>
      <c r="W73" s="23">
        <f>IFERROR(IF(IF('Relevé prix'!$B$1="SN",VLOOKUP($G73,'Relevé prix'!$A$4:$N$60,12,FALSE),VLOOKUP($G73,'Relevé prix'!$A$4:$N$60,8,FALSE))=0,"",IF('Relevé prix'!$B$1="SN",VLOOKUP($G73,'Relevé prix'!$A$4:$N$60,12,FALSE),VLOOKUP($G73,'Relevé prix'!$A$4:$N$60,8,FALSE))),"")</f>
        <v/>
      </c>
      <c r="X73" s="24" t="n"/>
      <c r="Y73" s="25" t="n"/>
      <c r="Z73" s="25" t="n"/>
      <c r="AA73" s="22">
        <f>IF(OR(X73="",V73=""),"",X73-V73)</f>
        <v/>
      </c>
      <c r="AB73" s="26">
        <f>IF(OR(X73="",V73="",V73=0),"",(X73-V73)/V73)</f>
        <v/>
      </c>
      <c r="AC73" s="27">
        <f>IF(AB73="","",IF(AB73&lt;-0.05,"Moins cher",IF(AB73&gt;0.05,"Plus cher","Équivalent")))</f>
        <v/>
      </c>
    </row>
    <row r="74">
      <c r="A74" s="41" t="n"/>
      <c r="B74" s="41" t="n"/>
      <c r="C74" s="41" t="n"/>
      <c r="D74" s="41" t="n"/>
      <c r="E74" s="41" t="n"/>
      <c r="F74" s="41" t="n"/>
      <c r="G74" s="42" t="n"/>
      <c r="H74" s="42" t="n"/>
      <c r="I74" s="42" t="n"/>
      <c r="J74" s="42" t="n"/>
      <c r="K74" s="42" t="n"/>
      <c r="L74" s="42" t="n"/>
      <c r="M74" s="42" t="n"/>
      <c r="N74" s="42" t="n"/>
      <c r="O74" s="42" t="n"/>
      <c r="P74" s="42" t="n"/>
      <c r="Q74" s="42" t="n"/>
      <c r="R74" s="42" t="n"/>
      <c r="S74" s="42" t="n"/>
      <c r="T74" s="42" t="n"/>
      <c r="U74" s="42" t="n"/>
      <c r="V74" s="22">
        <f>IFERROR(IF(IF('Relevé prix'!$B$1="SN",VLOOKUP($G74,'Relevé prix'!$A$4:$N$60,11,FALSE),VLOOKUP($G74,'Relevé prix'!$A$4:$N$60,7,FALSE))=0,"",IF('Relevé prix'!$B$1="SN",VLOOKUP($G74,'Relevé prix'!$A$4:$N$60,11,FALSE),VLOOKUP($G74,'Relevé prix'!$A$4:$N$60,7,FALSE))),"")</f>
        <v/>
      </c>
      <c r="W74" s="23">
        <f>IFERROR(IF(IF('Relevé prix'!$B$1="SN",VLOOKUP($G74,'Relevé prix'!$A$4:$N$60,12,FALSE),VLOOKUP($G74,'Relevé prix'!$A$4:$N$60,8,FALSE))=0,"",IF('Relevé prix'!$B$1="SN",VLOOKUP($G74,'Relevé prix'!$A$4:$N$60,12,FALSE),VLOOKUP($G74,'Relevé prix'!$A$4:$N$60,8,FALSE))),"")</f>
        <v/>
      </c>
      <c r="X74" s="24" t="n"/>
      <c r="Y74" s="25" t="n"/>
      <c r="Z74" s="25" t="n"/>
      <c r="AA74" s="22">
        <f>IF(OR(X74="",V74=""),"",X74-V74)</f>
        <v/>
      </c>
      <c r="AB74" s="26">
        <f>IF(OR(X74="",V74="",V74=0),"",(X74-V74)/V74)</f>
        <v/>
      </c>
      <c r="AC74" s="27">
        <f>IF(AB74="","",IF(AB74&lt;-0.05,"Moins cher",IF(AB74&gt;0.05,"Plus cher","Équivalent")))</f>
        <v/>
      </c>
    </row>
    <row r="75">
      <c r="A75" s="41" t="n"/>
      <c r="B75" s="41" t="n"/>
      <c r="C75" s="41" t="n"/>
      <c r="D75" s="41" t="n"/>
      <c r="E75" s="41" t="n"/>
      <c r="F75" s="41" t="n"/>
      <c r="G75" s="42" t="n"/>
      <c r="H75" s="42" t="n"/>
      <c r="I75" s="42" t="n"/>
      <c r="J75" s="42" t="n"/>
      <c r="K75" s="42" t="n"/>
      <c r="L75" s="42" t="n"/>
      <c r="M75" s="42" t="n"/>
      <c r="N75" s="42" t="n"/>
      <c r="O75" s="42" t="n"/>
      <c r="P75" s="42" t="n"/>
      <c r="Q75" s="42" t="n"/>
      <c r="R75" s="42" t="n"/>
      <c r="S75" s="42" t="n"/>
      <c r="T75" s="42" t="n"/>
      <c r="U75" s="42" t="n"/>
      <c r="V75" s="22">
        <f>IFERROR(IF(IF('Relevé prix'!$B$1="SN",VLOOKUP($G75,'Relevé prix'!$A$4:$N$60,11,FALSE),VLOOKUP($G75,'Relevé prix'!$A$4:$N$60,7,FALSE))=0,"",IF('Relevé prix'!$B$1="SN",VLOOKUP($G75,'Relevé prix'!$A$4:$N$60,11,FALSE),VLOOKUP($G75,'Relevé prix'!$A$4:$N$60,7,FALSE))),"")</f>
        <v/>
      </c>
      <c r="W75" s="23">
        <f>IFERROR(IF(IF('Relevé prix'!$B$1="SN",VLOOKUP($G75,'Relevé prix'!$A$4:$N$60,12,FALSE),VLOOKUP($G75,'Relevé prix'!$A$4:$N$60,8,FALSE))=0,"",IF('Relevé prix'!$B$1="SN",VLOOKUP($G75,'Relevé prix'!$A$4:$N$60,12,FALSE),VLOOKUP($G75,'Relevé prix'!$A$4:$N$60,8,FALSE))),"")</f>
        <v/>
      </c>
      <c r="X75" s="24" t="n"/>
      <c r="Y75" s="25" t="n"/>
      <c r="Z75" s="25" t="n"/>
      <c r="AA75" s="22">
        <f>IF(OR(X75="",V75=""),"",X75-V75)</f>
        <v/>
      </c>
      <c r="AB75" s="26">
        <f>IF(OR(X75="",V75="",V75=0),"",(X75-V75)/V75)</f>
        <v/>
      </c>
      <c r="AC75" s="27">
        <f>IF(AB75="","",IF(AB75&lt;-0.05,"Moins cher",IF(AB75&gt;0.05,"Plus cher","Équivalent")))</f>
        <v/>
      </c>
    </row>
    <row r="76">
      <c r="A76" s="41" t="n"/>
      <c r="B76" s="41" t="n"/>
      <c r="C76" s="41" t="n"/>
      <c r="D76" s="41" t="n"/>
      <c r="E76" s="41" t="n"/>
      <c r="F76" s="41" t="n"/>
      <c r="G76" s="42" t="n"/>
      <c r="H76" s="42" t="n"/>
      <c r="I76" s="42" t="n"/>
      <c r="J76" s="42" t="n"/>
      <c r="K76" s="42" t="n"/>
      <c r="L76" s="42" t="n"/>
      <c r="M76" s="42" t="n"/>
      <c r="N76" s="42" t="n"/>
      <c r="O76" s="42" t="n"/>
      <c r="P76" s="42" t="n"/>
      <c r="Q76" s="42" t="n"/>
      <c r="R76" s="42" t="n"/>
      <c r="S76" s="42" t="n"/>
      <c r="T76" s="42" t="n"/>
      <c r="U76" s="42" t="n"/>
      <c r="V76" s="22">
        <f>IFERROR(IF(IF('Relevé prix'!$B$1="SN",VLOOKUP($G76,'Relevé prix'!$A$4:$N$60,11,FALSE),VLOOKUP($G76,'Relevé prix'!$A$4:$N$60,7,FALSE))=0,"",IF('Relevé prix'!$B$1="SN",VLOOKUP($G76,'Relevé prix'!$A$4:$N$60,11,FALSE),VLOOKUP($G76,'Relevé prix'!$A$4:$N$60,7,FALSE))),"")</f>
        <v/>
      </c>
      <c r="W76" s="23">
        <f>IFERROR(IF(IF('Relevé prix'!$B$1="SN",VLOOKUP($G76,'Relevé prix'!$A$4:$N$60,12,FALSE),VLOOKUP($G76,'Relevé prix'!$A$4:$N$60,8,FALSE))=0,"",IF('Relevé prix'!$B$1="SN",VLOOKUP($G76,'Relevé prix'!$A$4:$N$60,12,FALSE),VLOOKUP($G76,'Relevé prix'!$A$4:$N$60,8,FALSE))),"")</f>
        <v/>
      </c>
      <c r="X76" s="24" t="n"/>
      <c r="Y76" s="25" t="n"/>
      <c r="Z76" s="25" t="n"/>
      <c r="AA76" s="22">
        <f>IF(OR(X76="",V76=""),"",X76-V76)</f>
        <v/>
      </c>
      <c r="AB76" s="26">
        <f>IF(OR(X76="",V76="",V76=0),"",(X76-V76)/V76)</f>
        <v/>
      </c>
      <c r="AC76" s="27">
        <f>IF(AB76="","",IF(AB76&lt;-0.05,"Moins cher",IF(AB76&gt;0.05,"Plus cher","Équivalent")))</f>
        <v/>
      </c>
    </row>
    <row r="77">
      <c r="A77" s="41" t="n"/>
      <c r="B77" s="41" t="n"/>
      <c r="C77" s="41" t="n"/>
      <c r="D77" s="41" t="n"/>
      <c r="E77" s="41" t="n"/>
      <c r="F77" s="41" t="n"/>
      <c r="G77" s="42" t="n"/>
      <c r="H77" s="42" t="n"/>
      <c r="I77" s="42" t="n"/>
      <c r="J77" s="42" t="n"/>
      <c r="K77" s="42" t="n"/>
      <c r="L77" s="42" t="n"/>
      <c r="M77" s="42" t="n"/>
      <c r="N77" s="42" t="n"/>
      <c r="O77" s="42" t="n"/>
      <c r="P77" s="42" t="n"/>
      <c r="Q77" s="42" t="n"/>
      <c r="R77" s="42" t="n"/>
      <c r="S77" s="42" t="n"/>
      <c r="T77" s="42" t="n"/>
      <c r="U77" s="42" t="n"/>
      <c r="V77" s="22">
        <f>IFERROR(IF(IF('Relevé prix'!$B$1="SN",VLOOKUP($G77,'Relevé prix'!$A$4:$N$60,11,FALSE),VLOOKUP($G77,'Relevé prix'!$A$4:$N$60,7,FALSE))=0,"",IF('Relevé prix'!$B$1="SN",VLOOKUP($G77,'Relevé prix'!$A$4:$N$60,11,FALSE),VLOOKUP($G77,'Relevé prix'!$A$4:$N$60,7,FALSE))),"")</f>
        <v/>
      </c>
      <c r="W77" s="23">
        <f>IFERROR(IF(IF('Relevé prix'!$B$1="SN",VLOOKUP($G77,'Relevé prix'!$A$4:$N$60,12,FALSE),VLOOKUP($G77,'Relevé prix'!$A$4:$N$60,8,FALSE))=0,"",IF('Relevé prix'!$B$1="SN",VLOOKUP($G77,'Relevé prix'!$A$4:$N$60,12,FALSE),VLOOKUP($G77,'Relevé prix'!$A$4:$N$60,8,FALSE))),"")</f>
        <v/>
      </c>
      <c r="X77" s="24" t="n"/>
      <c r="Y77" s="25" t="n"/>
      <c r="Z77" s="25" t="n"/>
      <c r="AA77" s="22">
        <f>IF(OR(X77="",V77=""),"",X77-V77)</f>
        <v/>
      </c>
      <c r="AB77" s="26">
        <f>IF(OR(X77="",V77="",V77=0),"",(X77-V77)/V77)</f>
        <v/>
      </c>
      <c r="AC77" s="27">
        <f>IF(AB77="","",IF(AB77&lt;-0.05,"Moins cher",IF(AB77&gt;0.05,"Plus cher","Équivalent")))</f>
        <v/>
      </c>
    </row>
    <row r="78">
      <c r="A78" s="41" t="n"/>
      <c r="B78" s="41" t="n"/>
      <c r="C78" s="41" t="n"/>
      <c r="D78" s="41" t="n"/>
      <c r="E78" s="41" t="n"/>
      <c r="F78" s="41" t="n"/>
      <c r="G78" s="42" t="n"/>
      <c r="H78" s="42" t="n"/>
      <c r="I78" s="42" t="n"/>
      <c r="J78" s="42" t="n"/>
      <c r="K78" s="42" t="n"/>
      <c r="L78" s="42" t="n"/>
      <c r="M78" s="42" t="n"/>
      <c r="N78" s="42" t="n"/>
      <c r="O78" s="42" t="n"/>
      <c r="P78" s="42" t="n"/>
      <c r="Q78" s="42" t="n"/>
      <c r="R78" s="42" t="n"/>
      <c r="S78" s="42" t="n"/>
      <c r="T78" s="42" t="n"/>
      <c r="U78" s="42" t="n"/>
      <c r="V78" s="22">
        <f>IFERROR(IF(IF('Relevé prix'!$B$1="SN",VLOOKUP($G78,'Relevé prix'!$A$4:$N$60,11,FALSE),VLOOKUP($G78,'Relevé prix'!$A$4:$N$60,7,FALSE))=0,"",IF('Relevé prix'!$B$1="SN",VLOOKUP($G78,'Relevé prix'!$A$4:$N$60,11,FALSE),VLOOKUP($G78,'Relevé prix'!$A$4:$N$60,7,FALSE))),"")</f>
        <v/>
      </c>
      <c r="W78" s="23">
        <f>IFERROR(IF(IF('Relevé prix'!$B$1="SN",VLOOKUP($G78,'Relevé prix'!$A$4:$N$60,12,FALSE),VLOOKUP($G78,'Relevé prix'!$A$4:$N$60,8,FALSE))=0,"",IF('Relevé prix'!$B$1="SN",VLOOKUP($G78,'Relevé prix'!$A$4:$N$60,12,FALSE),VLOOKUP($G78,'Relevé prix'!$A$4:$N$60,8,FALSE))),"")</f>
        <v/>
      </c>
      <c r="X78" s="24" t="n"/>
      <c r="Y78" s="25" t="n"/>
      <c r="Z78" s="25" t="n"/>
      <c r="AA78" s="22">
        <f>IF(OR(X78="",V78=""),"",X78-V78)</f>
        <v/>
      </c>
      <c r="AB78" s="26">
        <f>IF(OR(X78="",V78="",V78=0),"",(X78-V78)/V78)</f>
        <v/>
      </c>
      <c r="AC78" s="27">
        <f>IF(AB78="","",IF(AB78&lt;-0.05,"Moins cher",IF(AB78&gt;0.05,"Plus cher","Équivalent")))</f>
        <v/>
      </c>
    </row>
    <row r="79">
      <c r="A79" s="41" t="n"/>
      <c r="B79" s="41" t="n"/>
      <c r="C79" s="41" t="n"/>
      <c r="D79" s="41" t="n"/>
      <c r="E79" s="41" t="n"/>
      <c r="F79" s="41" t="n"/>
      <c r="G79" s="42" t="n"/>
      <c r="H79" s="42" t="n"/>
      <c r="I79" s="42" t="n"/>
      <c r="J79" s="42" t="n"/>
      <c r="K79" s="42" t="n"/>
      <c r="L79" s="42" t="n"/>
      <c r="M79" s="42" t="n"/>
      <c r="N79" s="42" t="n"/>
      <c r="O79" s="42" t="n"/>
      <c r="P79" s="42" t="n"/>
      <c r="Q79" s="42" t="n"/>
      <c r="R79" s="42" t="n"/>
      <c r="S79" s="42" t="n"/>
      <c r="T79" s="42" t="n"/>
      <c r="U79" s="42" t="n"/>
      <c r="V79" s="22">
        <f>IFERROR(IF(IF('Relevé prix'!$B$1="SN",VLOOKUP($G79,'Relevé prix'!$A$4:$N$60,11,FALSE),VLOOKUP($G79,'Relevé prix'!$A$4:$N$60,7,FALSE))=0,"",IF('Relevé prix'!$B$1="SN",VLOOKUP($G79,'Relevé prix'!$A$4:$N$60,11,FALSE),VLOOKUP($G79,'Relevé prix'!$A$4:$N$60,7,FALSE))),"")</f>
        <v/>
      </c>
      <c r="W79" s="23">
        <f>IFERROR(IF(IF('Relevé prix'!$B$1="SN",VLOOKUP($G79,'Relevé prix'!$A$4:$N$60,12,FALSE),VLOOKUP($G79,'Relevé prix'!$A$4:$N$60,8,FALSE))=0,"",IF('Relevé prix'!$B$1="SN",VLOOKUP($G79,'Relevé prix'!$A$4:$N$60,12,FALSE),VLOOKUP($G79,'Relevé prix'!$A$4:$N$60,8,FALSE))),"")</f>
        <v/>
      </c>
      <c r="X79" s="24" t="n"/>
      <c r="Y79" s="25" t="n"/>
      <c r="Z79" s="25" t="n"/>
      <c r="AA79" s="22">
        <f>IF(OR(X79="",V79=""),"",X79-V79)</f>
        <v/>
      </c>
      <c r="AB79" s="26">
        <f>IF(OR(X79="",V79="",V79=0),"",(X79-V79)/V79)</f>
        <v/>
      </c>
      <c r="AC79" s="27">
        <f>IF(AB79="","",IF(AB79&lt;-0.05,"Moins cher",IF(AB79&gt;0.05,"Plus cher","Équivalent")))</f>
        <v/>
      </c>
    </row>
    <row r="80">
      <c r="A80" s="41" t="n"/>
      <c r="B80" s="41" t="n"/>
      <c r="C80" s="41" t="n"/>
      <c r="D80" s="41" t="n"/>
      <c r="E80" s="41" t="n"/>
      <c r="F80" s="41" t="n"/>
      <c r="G80" s="42" t="n"/>
      <c r="H80" s="42" t="n"/>
      <c r="I80" s="42" t="n"/>
      <c r="J80" s="42" t="n"/>
      <c r="K80" s="42" t="n"/>
      <c r="L80" s="42" t="n"/>
      <c r="M80" s="42" t="n"/>
      <c r="N80" s="42" t="n"/>
      <c r="O80" s="42" t="n"/>
      <c r="P80" s="42" t="n"/>
      <c r="Q80" s="42" t="n"/>
      <c r="R80" s="42" t="n"/>
      <c r="S80" s="42" t="n"/>
      <c r="T80" s="42" t="n"/>
      <c r="U80" s="42" t="n"/>
      <c r="V80" s="22">
        <f>IFERROR(IF(IF('Relevé prix'!$B$1="SN",VLOOKUP($G80,'Relevé prix'!$A$4:$N$60,11,FALSE),VLOOKUP($G80,'Relevé prix'!$A$4:$N$60,7,FALSE))=0,"",IF('Relevé prix'!$B$1="SN",VLOOKUP($G80,'Relevé prix'!$A$4:$N$60,11,FALSE),VLOOKUP($G80,'Relevé prix'!$A$4:$N$60,7,FALSE))),"")</f>
        <v/>
      </c>
      <c r="W80" s="23">
        <f>IFERROR(IF(IF('Relevé prix'!$B$1="SN",VLOOKUP($G80,'Relevé prix'!$A$4:$N$60,12,FALSE),VLOOKUP($G80,'Relevé prix'!$A$4:$N$60,8,FALSE))=0,"",IF('Relevé prix'!$B$1="SN",VLOOKUP($G80,'Relevé prix'!$A$4:$N$60,12,FALSE),VLOOKUP($G80,'Relevé prix'!$A$4:$N$60,8,FALSE))),"")</f>
        <v/>
      </c>
      <c r="X80" s="24" t="n"/>
      <c r="Y80" s="25" t="n"/>
      <c r="Z80" s="25" t="n"/>
      <c r="AA80" s="22">
        <f>IF(OR(X80="",V80=""),"",X80-V80)</f>
        <v/>
      </c>
      <c r="AB80" s="26">
        <f>IF(OR(X80="",V80="",V80=0),"",(X80-V80)/V80)</f>
        <v/>
      </c>
      <c r="AC80" s="27">
        <f>IF(AB80="","",IF(AB80&lt;-0.05,"Moins cher",IF(AB80&gt;0.05,"Plus cher","Équivalent")))</f>
        <v/>
      </c>
    </row>
    <row r="81">
      <c r="A81" s="41" t="n"/>
      <c r="B81" s="41" t="n"/>
      <c r="C81" s="41" t="n"/>
      <c r="D81" s="41" t="n"/>
      <c r="E81" s="41" t="n"/>
      <c r="F81" s="41" t="n"/>
      <c r="G81" s="42" t="n"/>
      <c r="H81" s="42" t="n"/>
      <c r="I81" s="42" t="n"/>
      <c r="J81" s="42" t="n"/>
      <c r="K81" s="42" t="n"/>
      <c r="L81" s="42" t="n"/>
      <c r="M81" s="42" t="n"/>
      <c r="N81" s="42" t="n"/>
      <c r="O81" s="42" t="n"/>
      <c r="P81" s="42" t="n"/>
      <c r="Q81" s="42" t="n"/>
      <c r="R81" s="42" t="n"/>
      <c r="S81" s="42" t="n"/>
      <c r="T81" s="42" t="n"/>
      <c r="U81" s="42" t="n"/>
      <c r="V81" s="22">
        <f>IFERROR(IF(IF('Relevé prix'!$B$1="SN",VLOOKUP($G81,'Relevé prix'!$A$4:$N$60,11,FALSE),VLOOKUP($G81,'Relevé prix'!$A$4:$N$60,7,FALSE))=0,"",IF('Relevé prix'!$B$1="SN",VLOOKUP($G81,'Relevé prix'!$A$4:$N$60,11,FALSE),VLOOKUP($G81,'Relevé prix'!$A$4:$N$60,7,FALSE))),"")</f>
        <v/>
      </c>
      <c r="W81" s="23">
        <f>IFERROR(IF(IF('Relevé prix'!$B$1="SN",VLOOKUP($G81,'Relevé prix'!$A$4:$N$60,12,FALSE),VLOOKUP($G81,'Relevé prix'!$A$4:$N$60,8,FALSE))=0,"",IF('Relevé prix'!$B$1="SN",VLOOKUP($G81,'Relevé prix'!$A$4:$N$60,12,FALSE),VLOOKUP($G81,'Relevé prix'!$A$4:$N$60,8,FALSE))),"")</f>
        <v/>
      </c>
      <c r="X81" s="24" t="n"/>
      <c r="Y81" s="25" t="n"/>
      <c r="Z81" s="25" t="n"/>
      <c r="AA81" s="22">
        <f>IF(OR(X81="",V81=""),"",X81-V81)</f>
        <v/>
      </c>
      <c r="AB81" s="26">
        <f>IF(OR(X81="",V81="",V81=0),"",(X81-V81)/V81)</f>
        <v/>
      </c>
      <c r="AC81" s="27">
        <f>IF(AB81="","",IF(AB81&lt;-0.05,"Moins cher",IF(AB81&gt;0.05,"Plus cher","Équivalent")))</f>
        <v/>
      </c>
    </row>
    <row r="82">
      <c r="A82" s="41" t="n"/>
      <c r="B82" s="41" t="n"/>
      <c r="C82" s="41" t="n"/>
      <c r="D82" s="41" t="n"/>
      <c r="E82" s="41" t="n"/>
      <c r="F82" s="41" t="n"/>
      <c r="G82" s="42" t="n"/>
      <c r="H82" s="42" t="n"/>
      <c r="I82" s="42" t="n"/>
      <c r="J82" s="42" t="n"/>
      <c r="K82" s="42" t="n"/>
      <c r="L82" s="42" t="n"/>
      <c r="M82" s="42" t="n"/>
      <c r="N82" s="42" t="n"/>
      <c r="O82" s="42" t="n"/>
      <c r="P82" s="42" t="n"/>
      <c r="Q82" s="42" t="n"/>
      <c r="R82" s="42" t="n"/>
      <c r="S82" s="42" t="n"/>
      <c r="T82" s="42" t="n"/>
      <c r="U82" s="42" t="n"/>
      <c r="V82" s="22">
        <f>IFERROR(IF(IF('Relevé prix'!$B$1="SN",VLOOKUP($G82,'Relevé prix'!$A$4:$N$60,11,FALSE),VLOOKUP($G82,'Relevé prix'!$A$4:$N$60,7,FALSE))=0,"",IF('Relevé prix'!$B$1="SN",VLOOKUP($G82,'Relevé prix'!$A$4:$N$60,11,FALSE),VLOOKUP($G82,'Relevé prix'!$A$4:$N$60,7,FALSE))),"")</f>
        <v/>
      </c>
      <c r="W82" s="23">
        <f>IFERROR(IF(IF('Relevé prix'!$B$1="SN",VLOOKUP($G82,'Relevé prix'!$A$4:$N$60,12,FALSE),VLOOKUP($G82,'Relevé prix'!$A$4:$N$60,8,FALSE))=0,"",IF('Relevé prix'!$B$1="SN",VLOOKUP($G82,'Relevé prix'!$A$4:$N$60,12,FALSE),VLOOKUP($G82,'Relevé prix'!$A$4:$N$60,8,FALSE))),"")</f>
        <v/>
      </c>
      <c r="X82" s="24" t="n"/>
      <c r="Y82" s="25" t="n"/>
      <c r="Z82" s="25" t="n"/>
      <c r="AA82" s="22">
        <f>IF(OR(X82="",V82=""),"",X82-V82)</f>
        <v/>
      </c>
      <c r="AB82" s="26">
        <f>IF(OR(X82="",V82="",V82=0),"",(X82-V82)/V82)</f>
        <v/>
      </c>
      <c r="AC82" s="27">
        <f>IF(AB82="","",IF(AB82&lt;-0.05,"Moins cher",IF(AB82&gt;0.05,"Plus cher","Équivalent")))</f>
        <v/>
      </c>
    </row>
    <row r="83">
      <c r="A83" s="41" t="n"/>
      <c r="B83" s="41" t="n"/>
      <c r="C83" s="41" t="n"/>
      <c r="D83" s="41" t="n"/>
      <c r="E83" s="41" t="n"/>
      <c r="F83" s="41" t="n"/>
      <c r="G83" s="42" t="n"/>
      <c r="H83" s="42" t="n"/>
      <c r="I83" s="42" t="n"/>
      <c r="J83" s="42" t="n"/>
      <c r="K83" s="42" t="n"/>
      <c r="L83" s="42" t="n"/>
      <c r="M83" s="42" t="n"/>
      <c r="N83" s="42" t="n"/>
      <c r="O83" s="42" t="n"/>
      <c r="P83" s="42" t="n"/>
      <c r="Q83" s="42" t="n"/>
      <c r="R83" s="42" t="n"/>
      <c r="S83" s="42" t="n"/>
      <c r="T83" s="42" t="n"/>
      <c r="U83" s="42" t="n"/>
      <c r="V83" s="22">
        <f>IFERROR(IF(IF('Relevé prix'!$B$1="SN",VLOOKUP($G83,'Relevé prix'!$A$4:$N$60,11,FALSE),VLOOKUP($G83,'Relevé prix'!$A$4:$N$60,7,FALSE))=0,"",IF('Relevé prix'!$B$1="SN",VLOOKUP($G83,'Relevé prix'!$A$4:$N$60,11,FALSE),VLOOKUP($G83,'Relevé prix'!$A$4:$N$60,7,FALSE))),"")</f>
        <v/>
      </c>
      <c r="W83" s="23">
        <f>IFERROR(IF(IF('Relevé prix'!$B$1="SN",VLOOKUP($G83,'Relevé prix'!$A$4:$N$60,12,FALSE),VLOOKUP($G83,'Relevé prix'!$A$4:$N$60,8,FALSE))=0,"",IF('Relevé prix'!$B$1="SN",VLOOKUP($G83,'Relevé prix'!$A$4:$N$60,12,FALSE),VLOOKUP($G83,'Relevé prix'!$A$4:$N$60,8,FALSE))),"")</f>
        <v/>
      </c>
      <c r="X83" s="24" t="n"/>
      <c r="Y83" s="25" t="n"/>
      <c r="Z83" s="25" t="n"/>
      <c r="AA83" s="22">
        <f>IF(OR(X83="",V83=""),"",X83-V83)</f>
        <v/>
      </c>
      <c r="AB83" s="26">
        <f>IF(OR(X83="",V83="",V83=0),"",(X83-V83)/V83)</f>
        <v/>
      </c>
      <c r="AC83" s="27">
        <f>IF(AB83="","",IF(AB83&lt;-0.05,"Moins cher",IF(AB83&gt;0.05,"Plus cher","Équivalent")))</f>
        <v/>
      </c>
    </row>
    <row r="84">
      <c r="A84" s="41" t="n"/>
      <c r="B84" s="41" t="n"/>
      <c r="C84" s="41" t="n"/>
      <c r="D84" s="41" t="n"/>
      <c r="E84" s="41" t="n"/>
      <c r="F84" s="41" t="n"/>
      <c r="G84" s="42" t="n"/>
      <c r="H84" s="42" t="n"/>
      <c r="I84" s="42" t="n"/>
      <c r="J84" s="42" t="n"/>
      <c r="K84" s="42" t="n"/>
      <c r="L84" s="42" t="n"/>
      <c r="M84" s="42" t="n"/>
      <c r="N84" s="42" t="n"/>
      <c r="O84" s="42" t="n"/>
      <c r="P84" s="42" t="n"/>
      <c r="Q84" s="42" t="n"/>
      <c r="R84" s="42" t="n"/>
      <c r="S84" s="42" t="n"/>
      <c r="T84" s="42" t="n"/>
      <c r="U84" s="42" t="n"/>
      <c r="V84" s="22">
        <f>IFERROR(IF(IF('Relevé prix'!$B$1="SN",VLOOKUP($G84,'Relevé prix'!$A$4:$N$60,11,FALSE),VLOOKUP($G84,'Relevé prix'!$A$4:$N$60,7,FALSE))=0,"",IF('Relevé prix'!$B$1="SN",VLOOKUP($G84,'Relevé prix'!$A$4:$N$60,11,FALSE),VLOOKUP($G84,'Relevé prix'!$A$4:$N$60,7,FALSE))),"")</f>
        <v/>
      </c>
      <c r="W84" s="23">
        <f>IFERROR(IF(IF('Relevé prix'!$B$1="SN",VLOOKUP($G84,'Relevé prix'!$A$4:$N$60,12,FALSE),VLOOKUP($G84,'Relevé prix'!$A$4:$N$60,8,FALSE))=0,"",IF('Relevé prix'!$B$1="SN",VLOOKUP($G84,'Relevé prix'!$A$4:$N$60,12,FALSE),VLOOKUP($G84,'Relevé prix'!$A$4:$N$60,8,FALSE))),"")</f>
        <v/>
      </c>
      <c r="X84" s="24" t="n"/>
      <c r="Y84" s="25" t="n"/>
      <c r="Z84" s="25" t="n"/>
      <c r="AA84" s="22">
        <f>IF(OR(X84="",V84=""),"",X84-V84)</f>
        <v/>
      </c>
      <c r="AB84" s="26">
        <f>IF(OR(X84="",V84="",V84=0),"",(X84-V84)/V84)</f>
        <v/>
      </c>
      <c r="AC84" s="27">
        <f>IF(AB84="","",IF(AB84&lt;-0.05,"Moins cher",IF(AB84&gt;0.05,"Plus cher","Équivalent")))</f>
        <v/>
      </c>
    </row>
    <row r="85">
      <c r="A85" s="41" t="n"/>
      <c r="B85" s="41" t="n"/>
      <c r="C85" s="41" t="n"/>
      <c r="D85" s="41" t="n"/>
      <c r="E85" s="41" t="n"/>
      <c r="F85" s="41" t="n"/>
      <c r="G85" s="42" t="n"/>
      <c r="H85" s="42" t="n"/>
      <c r="I85" s="42" t="n"/>
      <c r="J85" s="42" t="n"/>
      <c r="K85" s="42" t="n"/>
      <c r="L85" s="42" t="n"/>
      <c r="M85" s="42" t="n"/>
      <c r="N85" s="42" t="n"/>
      <c r="O85" s="42" t="n"/>
      <c r="P85" s="42" t="n"/>
      <c r="Q85" s="42" t="n"/>
      <c r="R85" s="42" t="n"/>
      <c r="S85" s="42" t="n"/>
      <c r="T85" s="42" t="n"/>
      <c r="U85" s="42" t="n"/>
      <c r="V85" s="22">
        <f>IFERROR(IF(IF('Relevé prix'!$B$1="SN",VLOOKUP($G85,'Relevé prix'!$A$4:$N$60,11,FALSE),VLOOKUP($G85,'Relevé prix'!$A$4:$N$60,7,FALSE))=0,"",IF('Relevé prix'!$B$1="SN",VLOOKUP($G85,'Relevé prix'!$A$4:$N$60,11,FALSE),VLOOKUP($G85,'Relevé prix'!$A$4:$N$60,7,FALSE))),"")</f>
        <v/>
      </c>
      <c r="W85" s="23">
        <f>IFERROR(IF(IF('Relevé prix'!$B$1="SN",VLOOKUP($G85,'Relevé prix'!$A$4:$N$60,12,FALSE),VLOOKUP($G85,'Relevé prix'!$A$4:$N$60,8,FALSE))=0,"",IF('Relevé prix'!$B$1="SN",VLOOKUP($G85,'Relevé prix'!$A$4:$N$60,12,FALSE),VLOOKUP($G85,'Relevé prix'!$A$4:$N$60,8,FALSE))),"")</f>
        <v/>
      </c>
      <c r="X85" s="24" t="n"/>
      <c r="Y85" s="25" t="n"/>
      <c r="Z85" s="25" t="n"/>
      <c r="AA85" s="22">
        <f>IF(OR(X85="",V85=""),"",X85-V85)</f>
        <v/>
      </c>
      <c r="AB85" s="26">
        <f>IF(OR(X85="",V85="",V85=0),"",(X85-V85)/V85)</f>
        <v/>
      </c>
      <c r="AC85" s="27">
        <f>IF(AB85="","",IF(AB85&lt;-0.05,"Moins cher",IF(AB85&gt;0.05,"Plus cher","Équivalent")))</f>
        <v/>
      </c>
    </row>
    <row r="86">
      <c r="A86" s="41" t="n"/>
      <c r="B86" s="41" t="n"/>
      <c r="C86" s="41" t="n"/>
      <c r="D86" s="41" t="n"/>
      <c r="E86" s="41" t="n"/>
      <c r="F86" s="41" t="n"/>
      <c r="G86" s="42" t="n"/>
      <c r="H86" s="42" t="n"/>
      <c r="I86" s="42" t="n"/>
      <c r="J86" s="42" t="n"/>
      <c r="K86" s="42" t="n"/>
      <c r="L86" s="42" t="n"/>
      <c r="M86" s="42" t="n"/>
      <c r="N86" s="42" t="n"/>
      <c r="O86" s="42" t="n"/>
      <c r="P86" s="42" t="n"/>
      <c r="Q86" s="42" t="n"/>
      <c r="R86" s="42" t="n"/>
      <c r="S86" s="42" t="n"/>
      <c r="T86" s="42" t="n"/>
      <c r="U86" s="42" t="n"/>
      <c r="V86" s="22">
        <f>IFERROR(IF(IF('Relevé prix'!$B$1="SN",VLOOKUP($G86,'Relevé prix'!$A$4:$N$60,11,FALSE),VLOOKUP($G86,'Relevé prix'!$A$4:$N$60,7,FALSE))=0,"",IF('Relevé prix'!$B$1="SN",VLOOKUP($G86,'Relevé prix'!$A$4:$N$60,11,FALSE),VLOOKUP($G86,'Relevé prix'!$A$4:$N$60,7,FALSE))),"")</f>
        <v/>
      </c>
      <c r="W86" s="23">
        <f>IFERROR(IF(IF('Relevé prix'!$B$1="SN",VLOOKUP($G86,'Relevé prix'!$A$4:$N$60,12,FALSE),VLOOKUP($G86,'Relevé prix'!$A$4:$N$60,8,FALSE))=0,"",IF('Relevé prix'!$B$1="SN",VLOOKUP($G86,'Relevé prix'!$A$4:$N$60,12,FALSE),VLOOKUP($G86,'Relevé prix'!$A$4:$N$60,8,FALSE))),"")</f>
        <v/>
      </c>
      <c r="X86" s="24" t="n"/>
      <c r="Y86" s="25" t="n"/>
      <c r="Z86" s="25" t="n"/>
      <c r="AA86" s="22">
        <f>IF(OR(X86="",V86=""),"",X86-V86)</f>
        <v/>
      </c>
      <c r="AB86" s="26">
        <f>IF(OR(X86="",V86="",V86=0),"",(X86-V86)/V86)</f>
        <v/>
      </c>
      <c r="AC86" s="27">
        <f>IF(AB86="","",IF(AB86&lt;-0.05,"Moins cher",IF(AB86&gt;0.05,"Plus cher","Équivalent")))</f>
        <v/>
      </c>
    </row>
    <row r="87">
      <c r="A87" s="41" t="n"/>
      <c r="B87" s="41" t="n"/>
      <c r="C87" s="41" t="n"/>
      <c r="D87" s="41" t="n"/>
      <c r="E87" s="41" t="n"/>
      <c r="F87" s="41" t="n"/>
      <c r="G87" s="42" t="n"/>
      <c r="H87" s="42" t="n"/>
      <c r="I87" s="42" t="n"/>
      <c r="J87" s="42" t="n"/>
      <c r="K87" s="42" t="n"/>
      <c r="L87" s="42" t="n"/>
      <c r="M87" s="42" t="n"/>
      <c r="N87" s="42" t="n"/>
      <c r="O87" s="42" t="n"/>
      <c r="P87" s="42" t="n"/>
      <c r="Q87" s="42" t="n"/>
      <c r="R87" s="42" t="n"/>
      <c r="S87" s="42" t="n"/>
      <c r="T87" s="42" t="n"/>
      <c r="U87" s="42" t="n"/>
      <c r="V87" s="22">
        <f>IFERROR(IF(IF('Relevé prix'!$B$1="SN",VLOOKUP($G87,'Relevé prix'!$A$4:$N$60,11,FALSE),VLOOKUP($G87,'Relevé prix'!$A$4:$N$60,7,FALSE))=0,"",IF('Relevé prix'!$B$1="SN",VLOOKUP($G87,'Relevé prix'!$A$4:$N$60,11,FALSE),VLOOKUP($G87,'Relevé prix'!$A$4:$N$60,7,FALSE))),"")</f>
        <v/>
      </c>
      <c r="W87" s="23">
        <f>IFERROR(IF(IF('Relevé prix'!$B$1="SN",VLOOKUP($G87,'Relevé prix'!$A$4:$N$60,12,FALSE),VLOOKUP($G87,'Relevé prix'!$A$4:$N$60,8,FALSE))=0,"",IF('Relevé prix'!$B$1="SN",VLOOKUP($G87,'Relevé prix'!$A$4:$N$60,12,FALSE),VLOOKUP($G87,'Relevé prix'!$A$4:$N$60,8,FALSE))),"")</f>
        <v/>
      </c>
      <c r="X87" s="24" t="n"/>
      <c r="Y87" s="25" t="n"/>
      <c r="Z87" s="25" t="n"/>
      <c r="AA87" s="22">
        <f>IF(OR(X87="",V87=""),"",X87-V87)</f>
        <v/>
      </c>
      <c r="AB87" s="26">
        <f>IF(OR(X87="",V87="",V87=0),"",(X87-V87)/V87)</f>
        <v/>
      </c>
      <c r="AC87" s="27">
        <f>IF(AB87="","",IF(AB87&lt;-0.05,"Moins cher",IF(AB87&gt;0.05,"Plus cher","Équivalent")))</f>
        <v/>
      </c>
    </row>
    <row r="88">
      <c r="A88" s="41" t="n"/>
      <c r="B88" s="41" t="n"/>
      <c r="C88" s="41" t="n"/>
      <c r="D88" s="41" t="n"/>
      <c r="E88" s="41" t="n"/>
      <c r="F88" s="41" t="n"/>
      <c r="G88" s="42" t="n"/>
      <c r="H88" s="42" t="n"/>
      <c r="I88" s="42" t="n"/>
      <c r="J88" s="42" t="n"/>
      <c r="K88" s="42" t="n"/>
      <c r="L88" s="42" t="n"/>
      <c r="M88" s="42" t="n"/>
      <c r="N88" s="42" t="n"/>
      <c r="O88" s="42" t="n"/>
      <c r="P88" s="42" t="n"/>
      <c r="Q88" s="42" t="n"/>
      <c r="R88" s="42" t="n"/>
      <c r="S88" s="42" t="n"/>
      <c r="T88" s="42" t="n"/>
      <c r="U88" s="42" t="n"/>
      <c r="V88" s="22">
        <f>IFERROR(IF(IF('Relevé prix'!$B$1="SN",VLOOKUP($G88,'Relevé prix'!$A$4:$N$60,11,FALSE),VLOOKUP($G88,'Relevé prix'!$A$4:$N$60,7,FALSE))=0,"",IF('Relevé prix'!$B$1="SN",VLOOKUP($G88,'Relevé prix'!$A$4:$N$60,11,FALSE),VLOOKUP($G88,'Relevé prix'!$A$4:$N$60,7,FALSE))),"")</f>
        <v/>
      </c>
      <c r="W88" s="23">
        <f>IFERROR(IF(IF('Relevé prix'!$B$1="SN",VLOOKUP($G88,'Relevé prix'!$A$4:$N$60,12,FALSE),VLOOKUP($G88,'Relevé prix'!$A$4:$N$60,8,FALSE))=0,"",IF('Relevé prix'!$B$1="SN",VLOOKUP($G88,'Relevé prix'!$A$4:$N$60,12,FALSE),VLOOKUP($G88,'Relevé prix'!$A$4:$N$60,8,FALSE))),"")</f>
        <v/>
      </c>
      <c r="X88" s="24" t="n"/>
      <c r="Y88" s="25" t="n"/>
      <c r="Z88" s="25" t="n"/>
      <c r="AA88" s="22">
        <f>IF(OR(X88="",V88=""),"",X88-V88)</f>
        <v/>
      </c>
      <c r="AB88" s="26">
        <f>IF(OR(X88="",V88="",V88=0),"",(X88-V88)/V88)</f>
        <v/>
      </c>
      <c r="AC88" s="27">
        <f>IF(AB88="","",IF(AB88&lt;-0.05,"Moins cher",IF(AB88&gt;0.05,"Plus cher","Équivalent")))</f>
        <v/>
      </c>
    </row>
    <row r="89">
      <c r="A89" s="41" t="n"/>
      <c r="B89" s="41" t="n"/>
      <c r="C89" s="41" t="n"/>
      <c r="D89" s="41" t="n"/>
      <c r="E89" s="41" t="n"/>
      <c r="F89" s="41" t="n"/>
      <c r="G89" s="42" t="n"/>
      <c r="H89" s="42" t="n"/>
      <c r="I89" s="42" t="n"/>
      <c r="J89" s="42" t="n"/>
      <c r="K89" s="42" t="n"/>
      <c r="L89" s="42" t="n"/>
      <c r="M89" s="42" t="n"/>
      <c r="N89" s="42" t="n"/>
      <c r="O89" s="42" t="n"/>
      <c r="P89" s="42" t="n"/>
      <c r="Q89" s="42" t="n"/>
      <c r="R89" s="42" t="n"/>
      <c r="S89" s="42" t="n"/>
      <c r="T89" s="42" t="n"/>
      <c r="U89" s="42" t="n"/>
      <c r="V89" s="22">
        <f>IFERROR(IF(IF('Relevé prix'!$B$1="SN",VLOOKUP($G89,'Relevé prix'!$A$4:$N$60,11,FALSE),VLOOKUP($G89,'Relevé prix'!$A$4:$N$60,7,FALSE))=0,"",IF('Relevé prix'!$B$1="SN",VLOOKUP($G89,'Relevé prix'!$A$4:$N$60,11,FALSE),VLOOKUP($G89,'Relevé prix'!$A$4:$N$60,7,FALSE))),"")</f>
        <v/>
      </c>
      <c r="W89" s="23">
        <f>IFERROR(IF(IF('Relevé prix'!$B$1="SN",VLOOKUP($G89,'Relevé prix'!$A$4:$N$60,12,FALSE),VLOOKUP($G89,'Relevé prix'!$A$4:$N$60,8,FALSE))=0,"",IF('Relevé prix'!$B$1="SN",VLOOKUP($G89,'Relevé prix'!$A$4:$N$60,12,FALSE),VLOOKUP($G89,'Relevé prix'!$A$4:$N$60,8,FALSE))),"")</f>
        <v/>
      </c>
      <c r="X89" s="24" t="n"/>
      <c r="Y89" s="25" t="n"/>
      <c r="Z89" s="25" t="n"/>
      <c r="AA89" s="22">
        <f>IF(OR(X89="",V89=""),"",X89-V89)</f>
        <v/>
      </c>
      <c r="AB89" s="26">
        <f>IF(OR(X89="",V89="",V89=0),"",(X89-V89)/V89)</f>
        <v/>
      </c>
      <c r="AC89" s="27">
        <f>IF(AB89="","",IF(AB89&lt;-0.05,"Moins cher",IF(AB89&gt;0.05,"Plus cher","Équivalent")))</f>
        <v/>
      </c>
    </row>
    <row r="90">
      <c r="A90" s="41" t="n"/>
      <c r="B90" s="41" t="n"/>
      <c r="C90" s="41" t="n"/>
      <c r="D90" s="41" t="n"/>
      <c r="E90" s="41" t="n"/>
      <c r="F90" s="41" t="n"/>
      <c r="G90" s="42" t="n"/>
      <c r="H90" s="42" t="n"/>
      <c r="I90" s="42" t="n"/>
      <c r="J90" s="42" t="n"/>
      <c r="K90" s="42" t="n"/>
      <c r="L90" s="42" t="n"/>
      <c r="M90" s="42" t="n"/>
      <c r="N90" s="42" t="n"/>
      <c r="O90" s="42" t="n"/>
      <c r="P90" s="42" t="n"/>
      <c r="Q90" s="42" t="n"/>
      <c r="R90" s="42" t="n"/>
      <c r="S90" s="42" t="n"/>
      <c r="T90" s="42" t="n"/>
      <c r="U90" s="42" t="n"/>
      <c r="V90" s="22">
        <f>IFERROR(IF(IF('Relevé prix'!$B$1="SN",VLOOKUP($G90,'Relevé prix'!$A$4:$N$60,11,FALSE),VLOOKUP($G90,'Relevé prix'!$A$4:$N$60,7,FALSE))=0,"",IF('Relevé prix'!$B$1="SN",VLOOKUP($G90,'Relevé prix'!$A$4:$N$60,11,FALSE),VLOOKUP($G90,'Relevé prix'!$A$4:$N$60,7,FALSE))),"")</f>
        <v/>
      </c>
      <c r="W90" s="23">
        <f>IFERROR(IF(IF('Relevé prix'!$B$1="SN",VLOOKUP($G90,'Relevé prix'!$A$4:$N$60,12,FALSE),VLOOKUP($G90,'Relevé prix'!$A$4:$N$60,8,FALSE))=0,"",IF('Relevé prix'!$B$1="SN",VLOOKUP($G90,'Relevé prix'!$A$4:$N$60,12,FALSE),VLOOKUP($G90,'Relevé prix'!$A$4:$N$60,8,FALSE))),"")</f>
        <v/>
      </c>
      <c r="X90" s="24" t="n"/>
      <c r="Y90" s="25" t="n"/>
      <c r="Z90" s="25" t="n"/>
      <c r="AA90" s="22">
        <f>IF(OR(X90="",V90=""),"",X90-V90)</f>
        <v/>
      </c>
      <c r="AB90" s="26">
        <f>IF(OR(X90="",V90="",V90=0),"",(X90-V90)/V90)</f>
        <v/>
      </c>
      <c r="AC90" s="27">
        <f>IF(AB90="","",IF(AB90&lt;-0.05,"Moins cher",IF(AB90&gt;0.05,"Plus cher","Équivalent")))</f>
        <v/>
      </c>
    </row>
  </sheetData>
  <sheetProtection selectLockedCells="0" selectUnlockedCells="0" sheet="1" objects="0" insertRows="0" insertHyperlinks="1" autoFilter="0" scenarios="0" formatColumns="0" deleteColumns="1" insertColumns="1" pivotTables="1" deleteRows="0" formatCells="0" formatRows="0" sort="0"/>
  <autoFilter ref="A1:AC90"/>
  <conditionalFormatting sqref="AB2:AB90">
    <cfRule type="cellIs" priority="1" operator="greaterThan" dxfId="0">
      <formula>0.05</formula>
    </cfRule>
    <cfRule type="cellIs" priority="2" operator="lessThan" dxfId="1">
      <formula>-0.05</formula>
    </cfRule>
    <cfRule type="cellIs" priority="3" operator="between" dxfId="2">
      <formula>-0.05</formula>
      <formula>0.05</formula>
    </cfRule>
  </conditionalFormatting>
  <hyperlinks>
    <hyperlink xmlns:r="http://schemas.openxmlformats.org/officeDocument/2006/relationships" ref="S2" r:id="rId1"/>
    <hyperlink xmlns:r="http://schemas.openxmlformats.org/officeDocument/2006/relationships" ref="T2" r:id="rId2"/>
    <hyperlink xmlns:r="http://schemas.openxmlformats.org/officeDocument/2006/relationships" ref="S3" r:id="rId3"/>
    <hyperlink xmlns:r="http://schemas.openxmlformats.org/officeDocument/2006/relationships" ref="T3" r:id="rId4"/>
    <hyperlink xmlns:r="http://schemas.openxmlformats.org/officeDocument/2006/relationships" ref="S4" r:id="rId5"/>
    <hyperlink xmlns:r="http://schemas.openxmlformats.org/officeDocument/2006/relationships" ref="T4" r:id="rId6"/>
    <hyperlink xmlns:r="http://schemas.openxmlformats.org/officeDocument/2006/relationships" ref="S5" r:id="rId7"/>
    <hyperlink xmlns:r="http://schemas.openxmlformats.org/officeDocument/2006/relationships" ref="T5" r:id="rId8"/>
    <hyperlink xmlns:r="http://schemas.openxmlformats.org/officeDocument/2006/relationships" ref="S6" r:id="rId9"/>
    <hyperlink xmlns:r="http://schemas.openxmlformats.org/officeDocument/2006/relationships" ref="T6" r:id="rId10"/>
    <hyperlink xmlns:r="http://schemas.openxmlformats.org/officeDocument/2006/relationships" ref="S7" r:id="rId11"/>
    <hyperlink xmlns:r="http://schemas.openxmlformats.org/officeDocument/2006/relationships" ref="T7" r:id="rId12"/>
    <hyperlink xmlns:r="http://schemas.openxmlformats.org/officeDocument/2006/relationships" ref="S8" r:id="rId13"/>
    <hyperlink xmlns:r="http://schemas.openxmlformats.org/officeDocument/2006/relationships" ref="T8" r:id="rId14"/>
    <hyperlink xmlns:r="http://schemas.openxmlformats.org/officeDocument/2006/relationships" ref="S9" r:id="rId15"/>
    <hyperlink xmlns:r="http://schemas.openxmlformats.org/officeDocument/2006/relationships" ref="T9" r:id="rId16"/>
    <hyperlink xmlns:r="http://schemas.openxmlformats.org/officeDocument/2006/relationships" ref="S10" r:id="rId17"/>
    <hyperlink xmlns:r="http://schemas.openxmlformats.org/officeDocument/2006/relationships" ref="T10" r:id="rId18"/>
    <hyperlink xmlns:r="http://schemas.openxmlformats.org/officeDocument/2006/relationships" ref="S11" r:id="rId19"/>
    <hyperlink xmlns:r="http://schemas.openxmlformats.org/officeDocument/2006/relationships" ref="T11" r:id="rId20"/>
    <hyperlink xmlns:r="http://schemas.openxmlformats.org/officeDocument/2006/relationships" ref="S12" r:id="rId21"/>
    <hyperlink xmlns:r="http://schemas.openxmlformats.org/officeDocument/2006/relationships" ref="T12" r:id="rId22"/>
    <hyperlink xmlns:r="http://schemas.openxmlformats.org/officeDocument/2006/relationships" ref="S13" r:id="rId23"/>
    <hyperlink xmlns:r="http://schemas.openxmlformats.org/officeDocument/2006/relationships" ref="T13" r:id="rId24"/>
    <hyperlink xmlns:r="http://schemas.openxmlformats.org/officeDocument/2006/relationships" ref="S14" r:id="rId25"/>
    <hyperlink xmlns:r="http://schemas.openxmlformats.org/officeDocument/2006/relationships" ref="T14" r:id="rId26"/>
    <hyperlink xmlns:r="http://schemas.openxmlformats.org/officeDocument/2006/relationships" ref="S15" r:id="rId27"/>
    <hyperlink xmlns:r="http://schemas.openxmlformats.org/officeDocument/2006/relationships" ref="T15" r:id="rId28"/>
    <hyperlink xmlns:r="http://schemas.openxmlformats.org/officeDocument/2006/relationships" ref="S16" r:id="rId29"/>
    <hyperlink xmlns:r="http://schemas.openxmlformats.org/officeDocument/2006/relationships" ref="T16" r:id="rId30"/>
    <hyperlink xmlns:r="http://schemas.openxmlformats.org/officeDocument/2006/relationships" ref="S17" r:id="rId31"/>
    <hyperlink xmlns:r="http://schemas.openxmlformats.org/officeDocument/2006/relationships" ref="T17" r:id="rId32"/>
    <hyperlink xmlns:r="http://schemas.openxmlformats.org/officeDocument/2006/relationships" ref="S18" r:id="rId33"/>
    <hyperlink xmlns:r="http://schemas.openxmlformats.org/officeDocument/2006/relationships" ref="T18" r:id="rId34"/>
    <hyperlink xmlns:r="http://schemas.openxmlformats.org/officeDocument/2006/relationships" ref="S19" r:id="rId35"/>
    <hyperlink xmlns:r="http://schemas.openxmlformats.org/officeDocument/2006/relationships" ref="T19" r:id="rId36"/>
    <hyperlink xmlns:r="http://schemas.openxmlformats.org/officeDocument/2006/relationships" ref="S20" r:id="rId37"/>
    <hyperlink xmlns:r="http://schemas.openxmlformats.org/officeDocument/2006/relationships" ref="T20" r:id="rId38"/>
    <hyperlink xmlns:r="http://schemas.openxmlformats.org/officeDocument/2006/relationships" ref="S21" r:id="rId39"/>
    <hyperlink xmlns:r="http://schemas.openxmlformats.org/officeDocument/2006/relationships" ref="T21" r:id="rId40"/>
    <hyperlink xmlns:r="http://schemas.openxmlformats.org/officeDocument/2006/relationships" ref="S22" r:id="rId41"/>
    <hyperlink xmlns:r="http://schemas.openxmlformats.org/officeDocument/2006/relationships" ref="T22" r:id="rId42"/>
    <hyperlink xmlns:r="http://schemas.openxmlformats.org/officeDocument/2006/relationships" ref="S23" r:id="rId43"/>
    <hyperlink xmlns:r="http://schemas.openxmlformats.org/officeDocument/2006/relationships" ref="T23" r:id="rId44"/>
    <hyperlink xmlns:r="http://schemas.openxmlformats.org/officeDocument/2006/relationships" ref="S24" r:id="rId45"/>
    <hyperlink xmlns:r="http://schemas.openxmlformats.org/officeDocument/2006/relationships" ref="T24" r:id="rId46"/>
    <hyperlink xmlns:r="http://schemas.openxmlformats.org/officeDocument/2006/relationships" ref="S25" r:id="rId47"/>
    <hyperlink xmlns:r="http://schemas.openxmlformats.org/officeDocument/2006/relationships" ref="T25" r:id="rId48"/>
    <hyperlink xmlns:r="http://schemas.openxmlformats.org/officeDocument/2006/relationships" ref="S26" r:id="rId49"/>
    <hyperlink xmlns:r="http://schemas.openxmlformats.org/officeDocument/2006/relationships" ref="T26" r:id="rId50"/>
    <hyperlink xmlns:r="http://schemas.openxmlformats.org/officeDocument/2006/relationships" ref="S27" r:id="rId51"/>
    <hyperlink xmlns:r="http://schemas.openxmlformats.org/officeDocument/2006/relationships" ref="T27" r:id="rId52"/>
    <hyperlink xmlns:r="http://schemas.openxmlformats.org/officeDocument/2006/relationships" ref="S28" r:id="rId53"/>
    <hyperlink xmlns:r="http://schemas.openxmlformats.org/officeDocument/2006/relationships" ref="T28" r:id="rId54"/>
    <hyperlink xmlns:r="http://schemas.openxmlformats.org/officeDocument/2006/relationships" ref="S29" r:id="rId55"/>
    <hyperlink xmlns:r="http://schemas.openxmlformats.org/officeDocument/2006/relationships" ref="T29" r:id="rId56"/>
    <hyperlink xmlns:r="http://schemas.openxmlformats.org/officeDocument/2006/relationships" ref="S30" r:id="rId57"/>
    <hyperlink xmlns:r="http://schemas.openxmlformats.org/officeDocument/2006/relationships" ref="T30" r:id="rId58"/>
    <hyperlink xmlns:r="http://schemas.openxmlformats.org/officeDocument/2006/relationships" ref="S31" r:id="rId59"/>
    <hyperlink xmlns:r="http://schemas.openxmlformats.org/officeDocument/2006/relationships" ref="T31" r:id="rId60"/>
    <hyperlink xmlns:r="http://schemas.openxmlformats.org/officeDocument/2006/relationships" ref="S32" r:id="rId61"/>
    <hyperlink xmlns:r="http://schemas.openxmlformats.org/officeDocument/2006/relationships" ref="T32" r:id="rId62"/>
    <hyperlink xmlns:r="http://schemas.openxmlformats.org/officeDocument/2006/relationships" ref="S33" r:id="rId63"/>
    <hyperlink xmlns:r="http://schemas.openxmlformats.org/officeDocument/2006/relationships" ref="T33" r:id="rId64"/>
    <hyperlink xmlns:r="http://schemas.openxmlformats.org/officeDocument/2006/relationships" ref="S34" r:id="rId65"/>
    <hyperlink xmlns:r="http://schemas.openxmlformats.org/officeDocument/2006/relationships" ref="T34" r:id="rId66"/>
    <hyperlink xmlns:r="http://schemas.openxmlformats.org/officeDocument/2006/relationships" ref="S35" r:id="rId67"/>
    <hyperlink xmlns:r="http://schemas.openxmlformats.org/officeDocument/2006/relationships" ref="T35" r:id="rId68"/>
    <hyperlink xmlns:r="http://schemas.openxmlformats.org/officeDocument/2006/relationships" ref="S36" r:id="rId69"/>
    <hyperlink xmlns:r="http://schemas.openxmlformats.org/officeDocument/2006/relationships" ref="T36" r:id="rId70"/>
    <hyperlink xmlns:r="http://schemas.openxmlformats.org/officeDocument/2006/relationships" ref="S37" r:id="rId71"/>
    <hyperlink xmlns:r="http://schemas.openxmlformats.org/officeDocument/2006/relationships" ref="T37" r:id="rId72"/>
    <hyperlink xmlns:r="http://schemas.openxmlformats.org/officeDocument/2006/relationships" ref="S38" r:id="rId73"/>
    <hyperlink xmlns:r="http://schemas.openxmlformats.org/officeDocument/2006/relationships" ref="T38" r:id="rId74"/>
    <hyperlink xmlns:r="http://schemas.openxmlformats.org/officeDocument/2006/relationships" ref="S39" r:id="rId75"/>
    <hyperlink xmlns:r="http://schemas.openxmlformats.org/officeDocument/2006/relationships" ref="T39" r:id="rId76"/>
    <hyperlink xmlns:r="http://schemas.openxmlformats.org/officeDocument/2006/relationships" ref="S40" r:id="rId77"/>
    <hyperlink xmlns:r="http://schemas.openxmlformats.org/officeDocument/2006/relationships" ref="T40" r:id="rId78"/>
    <hyperlink xmlns:r="http://schemas.openxmlformats.org/officeDocument/2006/relationships" ref="S41" r:id="rId79"/>
    <hyperlink xmlns:r="http://schemas.openxmlformats.org/officeDocument/2006/relationships" ref="T41" r:id="rId80"/>
    <hyperlink xmlns:r="http://schemas.openxmlformats.org/officeDocument/2006/relationships" ref="S42" r:id="rId81"/>
    <hyperlink xmlns:r="http://schemas.openxmlformats.org/officeDocument/2006/relationships" ref="T42" r:id="rId82"/>
    <hyperlink xmlns:r="http://schemas.openxmlformats.org/officeDocument/2006/relationships" ref="S43" r:id="rId83"/>
    <hyperlink xmlns:r="http://schemas.openxmlformats.org/officeDocument/2006/relationships" ref="T43" r:id="rId84"/>
    <hyperlink xmlns:r="http://schemas.openxmlformats.org/officeDocument/2006/relationships" ref="S44" r:id="rId85"/>
    <hyperlink xmlns:r="http://schemas.openxmlformats.org/officeDocument/2006/relationships" ref="T44" r:id="rId86"/>
    <hyperlink xmlns:r="http://schemas.openxmlformats.org/officeDocument/2006/relationships" ref="S45" r:id="rId87"/>
    <hyperlink xmlns:r="http://schemas.openxmlformats.org/officeDocument/2006/relationships" ref="T45" r:id="rId88"/>
    <hyperlink xmlns:r="http://schemas.openxmlformats.org/officeDocument/2006/relationships" ref="S46" r:id="rId89"/>
    <hyperlink xmlns:r="http://schemas.openxmlformats.org/officeDocument/2006/relationships" ref="T46" r:id="rId90"/>
    <hyperlink xmlns:r="http://schemas.openxmlformats.org/officeDocument/2006/relationships" ref="S47" r:id="rId91"/>
    <hyperlink xmlns:r="http://schemas.openxmlformats.org/officeDocument/2006/relationships" ref="T47" r:id="rId92"/>
    <hyperlink xmlns:r="http://schemas.openxmlformats.org/officeDocument/2006/relationships" ref="S48" r:id="rId93"/>
    <hyperlink xmlns:r="http://schemas.openxmlformats.org/officeDocument/2006/relationships" ref="T48" r:id="rId94"/>
    <hyperlink xmlns:r="http://schemas.openxmlformats.org/officeDocument/2006/relationships" ref="S49" r:id="rId95"/>
    <hyperlink xmlns:r="http://schemas.openxmlformats.org/officeDocument/2006/relationships" ref="T49" r:id="rId96"/>
    <hyperlink xmlns:r="http://schemas.openxmlformats.org/officeDocument/2006/relationships" ref="S50" r:id="rId97"/>
    <hyperlink xmlns:r="http://schemas.openxmlformats.org/officeDocument/2006/relationships" ref="T50" r:id="rId98"/>
    <hyperlink xmlns:r="http://schemas.openxmlformats.org/officeDocument/2006/relationships" ref="S51" r:id="rId99"/>
    <hyperlink xmlns:r="http://schemas.openxmlformats.org/officeDocument/2006/relationships" ref="T51" r:id="rId100"/>
    <hyperlink xmlns:r="http://schemas.openxmlformats.org/officeDocument/2006/relationships" ref="S52" r:id="rId101"/>
    <hyperlink xmlns:r="http://schemas.openxmlformats.org/officeDocument/2006/relationships" ref="T52" r:id="rId102"/>
    <hyperlink xmlns:r="http://schemas.openxmlformats.org/officeDocument/2006/relationships" ref="S53" r:id="rId103"/>
    <hyperlink xmlns:r="http://schemas.openxmlformats.org/officeDocument/2006/relationships" ref="T53" r:id="rId104"/>
    <hyperlink xmlns:r="http://schemas.openxmlformats.org/officeDocument/2006/relationships" ref="S54" r:id="rId105"/>
    <hyperlink xmlns:r="http://schemas.openxmlformats.org/officeDocument/2006/relationships" ref="T54" r:id="rId106"/>
    <hyperlink xmlns:r="http://schemas.openxmlformats.org/officeDocument/2006/relationships" ref="S55" r:id="rId107"/>
    <hyperlink xmlns:r="http://schemas.openxmlformats.org/officeDocument/2006/relationships" ref="T55" r:id="rId108"/>
    <hyperlink xmlns:r="http://schemas.openxmlformats.org/officeDocument/2006/relationships" ref="S56" r:id="rId109"/>
    <hyperlink xmlns:r="http://schemas.openxmlformats.org/officeDocument/2006/relationships" ref="T56" r:id="rId110"/>
    <hyperlink xmlns:r="http://schemas.openxmlformats.org/officeDocument/2006/relationships" ref="S57" r:id="rId111"/>
    <hyperlink xmlns:r="http://schemas.openxmlformats.org/officeDocument/2006/relationships" ref="T57" r:id="rId112"/>
    <hyperlink xmlns:r="http://schemas.openxmlformats.org/officeDocument/2006/relationships" ref="S58" r:id="rId113"/>
    <hyperlink xmlns:r="http://schemas.openxmlformats.org/officeDocument/2006/relationships" ref="T58" r:id="rId114"/>
    <hyperlink xmlns:r="http://schemas.openxmlformats.org/officeDocument/2006/relationships" ref="S59" r:id="rId115"/>
    <hyperlink xmlns:r="http://schemas.openxmlformats.org/officeDocument/2006/relationships" ref="T59" r:id="rId116"/>
    <hyperlink xmlns:r="http://schemas.openxmlformats.org/officeDocument/2006/relationships" ref="S60" r:id="rId117"/>
    <hyperlink xmlns:r="http://schemas.openxmlformats.org/officeDocument/2006/relationships" ref="T60" r:id="rId11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6" customWidth="1" min="2" max="2"/>
    <col width="42" customWidth="1" min="3" max="3"/>
    <col width="18" customWidth="1" min="4" max="4"/>
    <col width="30" customWidth="1" min="5" max="5"/>
    <col width="28" customWidth="1" min="6" max="6"/>
    <col width="32" customWidth="1" min="7" max="7"/>
    <col width="14" customWidth="1" min="8" max="8"/>
    <col width="20" customWidth="1" min="9" max="9"/>
    <col width="28" customWidth="1" min="10" max="10"/>
    <col width="26" customWidth="1" min="11" max="11"/>
    <col width="14" customWidth="1" min="12" max="12"/>
    <col width="10" customWidth="1" min="13" max="13"/>
    <col width="46" customWidth="1" min="14" max="14"/>
    <col width="28" customWidth="1" min="15" max="15"/>
    <col width="56" customWidth="1" min="16" max="16"/>
    <col width="56" customWidth="1" min="17" max="17"/>
    <col width="14" customWidth="1" min="18" max="18"/>
    <col width="74" customWidth="1" min="19" max="19"/>
  </cols>
  <sheetData>
    <row r="1" ht="46" customHeight="1">
      <c r="A1" s="10" t="inlineStr">
        <is>
          <t>Clé</t>
        </is>
      </c>
      <c r="B1" s="10" t="inlineStr">
        <is>
          <t>Marque</t>
        </is>
      </c>
      <c r="C1" s="10" t="inlineStr">
        <is>
          <t>Modèle</t>
        </is>
      </c>
      <c r="D1" s="10" t="inlineStr">
        <is>
          <t>Catégorie</t>
        </is>
      </c>
      <c r="E1" s="10" t="inlineStr">
        <is>
          <t>Technologie</t>
        </is>
      </c>
      <c r="F1" s="10" t="inlineStr">
        <is>
          <t>Fréquence / débit</t>
        </is>
      </c>
      <c r="G1" s="10" t="inlineStr">
        <is>
          <t>Modes</t>
        </is>
      </c>
      <c r="H1" s="10" t="inlineStr">
        <is>
          <t>Autonomie (jours)</t>
        </is>
      </c>
      <c r="I1" s="10" t="inlineStr">
        <is>
          <t>Étanchéité</t>
        </is>
      </c>
      <c r="J1" s="10" t="inlineStr">
        <is>
          <t>Capteur de pression</t>
        </is>
      </c>
      <c r="K1" s="10" t="inlineStr">
        <is>
          <t>Alimentation / charge</t>
        </is>
      </c>
      <c r="L1" s="10" t="inlineStr">
        <is>
          <t>Prix relevé</t>
        </is>
      </c>
      <c r="M1" s="10" t="inlineStr">
        <is>
          <t>Devise</t>
        </is>
      </c>
      <c r="N1" s="10" t="inlineStr">
        <is>
          <t>Présence sur les marchés Atome Pharma (CI, SN, BF, CM, BJ)</t>
        </is>
      </c>
      <c r="O1" s="10" t="inlineStr">
        <is>
          <t>Canal de distribution</t>
        </is>
      </c>
      <c r="P1" s="10" t="inlineStr">
        <is>
          <t>Lien produit</t>
        </is>
      </c>
      <c r="Q1" s="10" t="inlineStr">
        <is>
          <t>Lien source secondaire</t>
        </is>
      </c>
      <c r="R1" s="10" t="inlineStr">
        <is>
          <t>Date du relevé</t>
        </is>
      </c>
      <c r="S1" s="10" t="inlineStr">
        <is>
          <t>Remarque</t>
        </is>
      </c>
    </row>
    <row r="2">
      <c r="A2" s="45" t="inlineStr">
        <is>
          <t>ADDIGOES</t>
        </is>
      </c>
      <c r="B2" s="45" t="inlineStr">
        <is>
          <t>Addigoes (marketplace)</t>
        </is>
      </c>
      <c r="C2" s="45" t="inlineStr">
        <is>
          <t>Brosse sonique USB 6 modes, 4 têtes</t>
        </is>
      </c>
      <c r="D2" s="45" t="inlineStr">
        <is>
          <t>Brosse à dents</t>
        </is>
      </c>
      <c r="E2" s="45" t="inlineStr">
        <is>
          <t>Sonique</t>
        </is>
      </c>
      <c r="F2" s="45" t="inlineStr">
        <is>
          <t>42 000 vibrations/min</t>
        </is>
      </c>
      <c r="G2" s="45" t="inlineStr">
        <is>
          <t>6 modes</t>
        </is>
      </c>
      <c r="H2" s="45" t="n">
        <v>60</v>
      </c>
      <c r="I2" s="45" t="inlineStr">
        <is>
          <t>Étanche (indice non précisé)</t>
        </is>
      </c>
      <c r="J2" s="45" t="inlineStr">
        <is>
          <t>Non</t>
        </is>
      </c>
      <c r="K2" s="45" t="inlineStr">
        <is>
          <t>USB</t>
        </is>
      </c>
      <c r="L2" s="46" t="inlineStr">
        <is>
          <t>N/D</t>
        </is>
      </c>
      <c r="M2" s="45" t="inlineStr">
        <is>
          <t>XOF</t>
        </is>
      </c>
      <c r="N2" s="45" t="inlineStr">
        <is>
          <t>CI vérifié (Jumia). Équivalent générique vérifié au SN (sonique X3, 8 têtes). BF, CM, BJ non vérifiés.</t>
        </is>
      </c>
      <c r="O2" s="45" t="inlineStr">
        <is>
          <t>Jumia CI</t>
        </is>
      </c>
      <c r="P2" s="47" t="inlineStr">
        <is>
          <t>https://www.jumia.ci/addigoes-brosse-a-dents-electrique-sonique-rechargeable-usb-6-modes-etanche-haute-frequence-4-tetes-de-brosse-nettoyage-dentaire-professionnel-noir-30497266.html</t>
        </is>
      </c>
      <c r="Q2" s="47" t="inlineStr">
        <is>
          <t>https://www.jumia.ci/brosse-a-dents-electrique/</t>
        </is>
      </c>
      <c r="R2" s="48" t="inlineStr">
        <is>
          <t>2026-09-03</t>
        </is>
      </c>
      <c r="S2" s="45" t="inlineStr">
        <is>
          <t>Amplitude 6 mm annoncée et pack 4 têtes, concurrent frontal des SEAGO à moteur magnétique.</t>
        </is>
      </c>
    </row>
    <row r="3">
      <c r="A3" s="49" t="inlineStr">
        <is>
          <t>COLGATE_150</t>
        </is>
      </c>
      <c r="B3" s="49" t="inlineStr">
        <is>
          <t>Colgate</t>
        </is>
      </c>
      <c r="C3" s="49" t="inlineStr">
        <is>
          <t>ProClinical 150 (Charcoal / Deep Clean)</t>
        </is>
      </c>
      <c r="D3" s="49" t="inlineStr">
        <is>
          <t>Brosse à dents</t>
        </is>
      </c>
      <c r="E3" s="49" t="inlineStr">
        <is>
          <t>Sonique à piles</t>
        </is>
      </c>
      <c r="F3" s="49" t="inlineStr">
        <is>
          <t>20 000 strokes/min</t>
        </is>
      </c>
      <c r="G3" s="49" t="inlineStr">
        <is>
          <t>1 mode</t>
        </is>
      </c>
      <c r="H3" s="50" t="inlineStr">
        <is>
          <t>N/D</t>
        </is>
      </c>
      <c r="I3" s="50" t="inlineStr">
        <is>
          <t>N/D</t>
        </is>
      </c>
      <c r="J3" s="49" t="inlineStr">
        <is>
          <t>Non</t>
        </is>
      </c>
      <c r="K3" s="49" t="inlineStr">
        <is>
          <t>2 piles AAA</t>
        </is>
      </c>
      <c r="L3" s="51" t="inlineStr">
        <is>
          <t>N/D</t>
        </is>
      </c>
      <c r="M3" s="50" t="inlineStr">
        <is>
          <t>N/D</t>
        </is>
      </c>
      <c r="N3" s="49" t="inlineStr">
        <is>
          <t>Non vérifié sur CI, SN, BF, CM, BJ. Marque Colgate largement distribuée en GMS et pharmacie sur ces marchés.</t>
        </is>
      </c>
      <c r="O3" s="49" t="inlineStr">
        <is>
          <t>GMS, pharmacies</t>
        </is>
      </c>
      <c r="P3" s="52" t="inlineStr">
        <is>
          <t>https://www.colgate.com/en-my/products/toothbrush/colgate-proclinical-150-charcoal-battery-powered-toothbrush</t>
        </is>
      </c>
      <c r="Q3" s="52" t="inlineStr">
        <is>
          <t>https://www.colgate.com/en-my/products/toothbrush/colgate-proclinical-150-deepclean-battery-powered-toothbrush</t>
        </is>
      </c>
      <c r="R3" s="53" t="inlineStr">
        <is>
          <t>2026-09-03</t>
        </is>
      </c>
      <c r="S3" s="49" t="inlineStr">
        <is>
          <t>Concurrent de référence du segment SEAGO à piles : marque installée, prix d'entrée, tête remplaçable.</t>
        </is>
      </c>
    </row>
    <row r="4">
      <c r="A4" s="45" t="inlineStr">
        <is>
          <t>FW_D7</t>
        </is>
      </c>
      <c r="B4" s="45" t="inlineStr">
        <is>
          <t>Fairywill</t>
        </is>
      </c>
      <c r="C4" s="45" t="inlineStr">
        <is>
          <t>D7 Sonic (4 têtes)</t>
        </is>
      </c>
      <c r="D4" s="45" t="inlineStr">
        <is>
          <t>Brosse à dents</t>
        </is>
      </c>
      <c r="E4" s="45" t="inlineStr">
        <is>
          <t>Sonique</t>
        </is>
      </c>
      <c r="F4" s="54" t="inlineStr">
        <is>
          <t>N/D</t>
        </is>
      </c>
      <c r="G4" s="45" t="inlineStr">
        <is>
          <t>5 modes</t>
        </is>
      </c>
      <c r="H4" s="45" t="n">
        <v>30</v>
      </c>
      <c r="I4" s="45" t="inlineStr">
        <is>
          <t>IPX7</t>
        </is>
      </c>
      <c r="J4" s="45" t="inlineStr">
        <is>
          <t>Non</t>
        </is>
      </c>
      <c r="K4" s="45" t="inlineStr">
        <is>
          <t>USB</t>
        </is>
      </c>
      <c r="L4" s="46" t="inlineStr">
        <is>
          <t>N/D</t>
        </is>
      </c>
      <c r="M4" s="54" t="inlineStr">
        <is>
          <t>N/D</t>
        </is>
      </c>
      <c r="N4" s="45" t="inlineStr">
        <is>
          <t>Non vérifié sur CI, SN, BF, CM, BJ. Marque référencée sur Jumia Maroc.</t>
        </is>
      </c>
      <c r="O4" s="45" t="inlineStr">
        <is>
          <t>Jumia, Amazon</t>
        </is>
      </c>
      <c r="P4" s="47" t="inlineStr">
        <is>
          <t>https://www.fairywill.com/products/fairywill-electric-toothbrush-d7-sonic-rechargeable-4-heads-usb-ipx7-5-modes</t>
        </is>
      </c>
      <c r="Q4" s="47" t="inlineStr">
        <is>
          <t>https://www.jumia.ma/brosse-a-dents-electrique/fairywill/</t>
        </is>
      </c>
      <c r="R4" s="48" t="inlineStr">
        <is>
          <t>2026-09-03</t>
        </is>
      </c>
      <c r="S4" s="45" t="inlineStr">
        <is>
          <t>Pack manche + 4 têtes, équivalent des packs SEAGO 1 brosse + 3 têtes.</t>
        </is>
      </c>
    </row>
    <row r="5">
      <c r="A5" s="49" t="inlineStr">
        <is>
          <t>FW507</t>
        </is>
      </c>
      <c r="B5" s="49" t="inlineStr">
        <is>
          <t>Fairywill</t>
        </is>
      </c>
      <c r="C5" s="49" t="inlineStr">
        <is>
          <t>FW-507 Sonic</t>
        </is>
      </c>
      <c r="D5" s="49" t="inlineStr">
        <is>
          <t>Brosse à dents</t>
        </is>
      </c>
      <c r="E5" s="49" t="inlineStr">
        <is>
          <t>Sonique</t>
        </is>
      </c>
      <c r="F5" s="49" t="inlineStr">
        <is>
          <t>40 000 strokes/min</t>
        </is>
      </c>
      <c r="G5" s="49" t="inlineStr">
        <is>
          <t>5 modes (Clean, Sensitive, Massage, White, Polish)</t>
        </is>
      </c>
      <c r="H5" s="49" t="n">
        <v>30</v>
      </c>
      <c r="I5" s="49" t="inlineStr">
        <is>
          <t>IPX7</t>
        </is>
      </c>
      <c r="J5" s="49" t="inlineStr">
        <is>
          <t>Non</t>
        </is>
      </c>
      <c r="K5" s="49" t="inlineStr">
        <is>
          <t>USB, charge 4 h</t>
        </is>
      </c>
      <c r="L5" s="51" t="inlineStr">
        <is>
          <t>N/D</t>
        </is>
      </c>
      <c r="M5" s="50" t="inlineStr">
        <is>
          <t>N/D</t>
        </is>
      </c>
      <c r="N5" s="49" t="inlineStr">
        <is>
          <t>Non vérifié sur CI, SN, BF, CM, BJ. Marque référencée sur Jumia Maroc.</t>
        </is>
      </c>
      <c r="O5" s="49" t="inlineStr">
        <is>
          <t>Jumia, Amazon, marketplaces</t>
        </is>
      </c>
      <c r="P5" s="52" t="inlineStr">
        <is>
          <t>https://www.fairywill.com/products/fairywill-electric-toothbrush-30-days-usage-5-modes-changeable-heads-timer</t>
        </is>
      </c>
      <c r="Q5" s="52" t="inlineStr">
        <is>
          <t>https://www.jumia.ma/brosse-a-dents-electrique/fairywill/</t>
        </is>
      </c>
      <c r="R5" s="53" t="inlineStr">
        <is>
          <t>2026-09-03</t>
        </is>
      </c>
      <c r="S5" s="49" t="inlineStr">
        <is>
          <t>Concurrent le plus proche du coeur de gamme SEAGO : mêmes 5 modes, même fréquence, même architecture USB.</t>
        </is>
      </c>
    </row>
    <row r="6">
      <c r="A6" s="45" t="inlineStr">
        <is>
          <t>GEN_JUMIA_CI</t>
        </is>
      </c>
      <c r="B6" s="45" t="inlineStr">
        <is>
          <t>Generic (marketplace)</t>
        </is>
      </c>
      <c r="C6" s="45" t="inlineStr">
        <is>
          <t>Brosse à dents électrique intelligente ultra sonique</t>
        </is>
      </c>
      <c r="D6" s="45" t="inlineStr">
        <is>
          <t>Brosse à dents</t>
        </is>
      </c>
      <c r="E6" s="45" t="inlineStr">
        <is>
          <t>Sonique à lévitation magnétique</t>
        </is>
      </c>
      <c r="F6" s="54" t="inlineStr">
        <is>
          <t>N/D</t>
        </is>
      </c>
      <c r="G6" s="45" t="inlineStr">
        <is>
          <t>5 modes</t>
        </is>
      </c>
      <c r="H6" s="45" t="n">
        <v>15</v>
      </c>
      <c r="I6" s="54" t="inlineStr">
        <is>
          <t>N/D</t>
        </is>
      </c>
      <c r="J6" s="45" t="inlineStr">
        <is>
          <t>Non</t>
        </is>
      </c>
      <c r="K6" s="45" t="inlineStr">
        <is>
          <t>USB rapide, 2 h</t>
        </is>
      </c>
      <c r="L6" s="46" t="inlineStr">
        <is>
          <t>N/D</t>
        </is>
      </c>
      <c r="M6" s="45" t="inlineStr">
        <is>
          <t>XOF</t>
        </is>
      </c>
      <c r="N6" s="45" t="inlineStr">
        <is>
          <t>CI vérifié (Jumia). SN vérifié via l'offre générique équivalente. BF, CM, BJ non vérifiés.</t>
        </is>
      </c>
      <c r="O6" s="45" t="inlineStr">
        <is>
          <t>Jumia CI</t>
        </is>
      </c>
      <c r="P6" s="47" t="inlineStr">
        <is>
          <t>https://www.jumia.ci/generic-brosse-a-dents-electrique-intelligente-ultra-sonique-bleuvert-20003595.html</t>
        </is>
      </c>
      <c r="Q6" s="47" t="inlineStr">
        <is>
          <t>https://www.jumia.ci/generic-brosse-a-dents-electrique-a-ultrasons-intelligente-4-tetes-de-brosse-30336847.html</t>
        </is>
      </c>
      <c r="R6" s="48" t="inlineStr">
        <is>
          <t>2026-09-03</t>
        </is>
      </c>
      <c r="S6" s="45" t="inlineStr">
        <is>
          <t>Offre sans marque la plus visible sur Jumia CI, référence du plancher de prix du marché ivoirien.</t>
        </is>
      </c>
    </row>
    <row r="7">
      <c r="A7" s="49" t="inlineStr">
        <is>
          <t>OCLEAN_XPRO</t>
        </is>
      </c>
      <c r="B7" s="49" t="inlineStr">
        <is>
          <t>Oclean</t>
        </is>
      </c>
      <c r="C7" s="49" t="inlineStr">
        <is>
          <t>X Pro Elite</t>
        </is>
      </c>
      <c r="D7" s="49" t="inlineStr">
        <is>
          <t>Brosse à dents</t>
        </is>
      </c>
      <c r="E7" s="49" t="inlineStr">
        <is>
          <t>Sonique à lévitation magnétique</t>
        </is>
      </c>
      <c r="F7" s="49" t="inlineStr">
        <is>
          <t>42 000 mouvements/min</t>
        </is>
      </c>
      <c r="G7" s="49" t="inlineStr">
        <is>
          <t>4 modes x 32 intensités</t>
        </is>
      </c>
      <c r="H7" s="49" t="n">
        <v>35</v>
      </c>
      <c r="I7" s="50" t="inlineStr">
        <is>
          <t>N/D</t>
        </is>
      </c>
      <c r="J7" s="50" t="inlineStr">
        <is>
          <t>N/D</t>
        </is>
      </c>
      <c r="K7" s="49" t="inlineStr">
        <is>
          <t>Inductive, batterie 800 mAh</t>
        </is>
      </c>
      <c r="L7" s="51" t="inlineStr">
        <is>
          <t>N/D</t>
        </is>
      </c>
      <c r="M7" s="50" t="inlineStr">
        <is>
          <t>N/D</t>
        </is>
      </c>
      <c r="N7" s="49" t="inlineStr">
        <is>
          <t>Non vérifié sur CI, SN, BF, CM, BJ.</t>
        </is>
      </c>
      <c r="O7" s="49" t="inlineStr">
        <is>
          <t>Marketplaces, e-commerce spécialisé</t>
        </is>
      </c>
      <c r="P7" s="52" t="inlineStr">
        <is>
          <t>https://www.electricteeth.com/oclean-x-pro-elite-review/</t>
        </is>
      </c>
      <c r="Q7" s="52" t="inlineStr">
        <is>
          <t>https://www.techradar.com/reviews/oclean-x-pro-elite</t>
        </is>
      </c>
      <c r="R7" s="53" t="inlineStr">
        <is>
          <t>2026-09-03</t>
        </is>
      </c>
      <c r="S7" s="49" t="inlineStr">
        <is>
          <t>Écran tactile couleur et pilotage par application, équivalent des SEAGO à écran LCD.</t>
        </is>
      </c>
    </row>
    <row r="8">
      <c r="A8" s="45" t="inlineStr">
        <is>
          <t>OB_KIDS_PILE</t>
        </is>
      </c>
      <c r="B8" s="45" t="inlineStr">
        <is>
          <t>Oral-B</t>
        </is>
      </c>
      <c r="C8" s="45" t="inlineStr">
        <is>
          <t>Kids Battery Disney (Frozen / Princess)</t>
        </is>
      </c>
      <c r="D8" s="45" t="inlineStr">
        <is>
          <t>Brosse à dents</t>
        </is>
      </c>
      <c r="E8" s="45" t="inlineStr">
        <is>
          <t>Oscillo-rotative enfant</t>
        </is>
      </c>
      <c r="F8" s="45" t="inlineStr">
        <is>
          <t>7 600 oscillations/min</t>
        </is>
      </c>
      <c r="G8" s="45" t="inlineStr">
        <is>
          <t>1 mode</t>
        </is>
      </c>
      <c r="H8" s="54" t="inlineStr">
        <is>
          <t>N/D</t>
        </is>
      </c>
      <c r="I8" s="54" t="inlineStr">
        <is>
          <t>N/D</t>
        </is>
      </c>
      <c r="J8" s="45" t="inlineStr">
        <is>
          <t>Non</t>
        </is>
      </c>
      <c r="K8" s="45" t="inlineStr">
        <is>
          <t>2 piles AA</t>
        </is>
      </c>
      <c r="L8" s="46" t="inlineStr">
        <is>
          <t>N/D</t>
        </is>
      </c>
      <c r="M8" s="54" t="inlineStr">
        <is>
          <t>N/D</t>
        </is>
      </c>
      <c r="N8" s="45" t="inlineStr">
        <is>
          <t>Non vérifié sur CI, SN, BF, CM, BJ. Marque Oral-B présente en CI et SN.</t>
        </is>
      </c>
      <c r="O8" s="45" t="inlineStr">
        <is>
          <t>Amazon, GMS</t>
        </is>
      </c>
      <c r="P8" s="47" t="inlineStr">
        <is>
          <t>https://www.amazon.com/Oral-B-Pro-Health-Battery-Toothbrush-featuring/dp/B01AKGRSCG</t>
        </is>
      </c>
      <c r="Q8" s="47" t="inlineStr">
        <is>
          <t>https://oralb.com/en-us/products/more-products/kids-products/kids-battery-toothbrush-featuring-disney-princess/</t>
        </is>
      </c>
      <c r="R8" s="48" t="inlineStr">
        <is>
          <t>2026-09-03</t>
        </is>
      </c>
      <c r="S8" s="45" t="inlineStr">
        <is>
          <t>Tête extra-souple, application Disney Magic Timer. Concurrent direct des SEAGO enfant à piles.</t>
        </is>
      </c>
    </row>
    <row r="9">
      <c r="A9" s="49" t="inlineStr">
        <is>
          <t>OB_KIDS_RECH</t>
        </is>
      </c>
      <c r="B9" s="49" t="inlineStr">
        <is>
          <t>Oral-B</t>
        </is>
      </c>
      <c r="C9" s="49" t="inlineStr">
        <is>
          <t>Kids rechargeable Disney Frozen</t>
        </is>
      </c>
      <c r="D9" s="49" t="inlineStr">
        <is>
          <t>Brosse à dents</t>
        </is>
      </c>
      <c r="E9" s="49" t="inlineStr">
        <is>
          <t>Oscillo-rotative enfant</t>
        </is>
      </c>
      <c r="F9" s="49" t="inlineStr">
        <is>
          <t>7 600 oscillations/min</t>
        </is>
      </c>
      <c r="G9" s="49" t="inlineStr">
        <is>
          <t>1 mode doux</t>
        </is>
      </c>
      <c r="H9" s="49" t="n">
        <v>8</v>
      </c>
      <c r="I9" s="50" t="inlineStr">
        <is>
          <t>N/D</t>
        </is>
      </c>
      <c r="J9" s="49" t="inlineStr">
        <is>
          <t>Non</t>
        </is>
      </c>
      <c r="K9" s="49" t="inlineStr">
        <is>
          <t>Socle</t>
        </is>
      </c>
      <c r="L9" s="51" t="inlineStr">
        <is>
          <t>N/D</t>
        </is>
      </c>
      <c r="M9" s="50" t="inlineStr">
        <is>
          <t>N/D</t>
        </is>
      </c>
      <c r="N9" s="49" t="inlineStr">
        <is>
          <t>Non vérifié sur CI, SN, BF, CM, BJ. Marque Oral-B présente en CI et SN.</t>
        </is>
      </c>
      <c r="O9" s="49" t="inlineStr">
        <is>
          <t>Oral-B, GMS</t>
        </is>
      </c>
      <c r="P9" s="52" t="inlineStr">
        <is>
          <t>https://oralb.com/en-us/products/kids-products/oral-b-kids-electric-toothbrush-bundle-featuring-disney-s-frozen/</t>
        </is>
      </c>
      <c r="Q9" s="52" t="inlineStr">
        <is>
          <t>https://www.livescience.com/oral-b-kids-electric-toothbrush-review</t>
        </is>
      </c>
      <c r="R9" s="53" t="inlineStr">
        <is>
          <t>2026-09-03</t>
        </is>
      </c>
      <c r="S9" s="49" t="inlineStr">
        <is>
          <t>Version rechargeable de la gamme enfant Oral-B, autonomie annoncée autour de 8 jours.</t>
        </is>
      </c>
    </row>
    <row r="10">
      <c r="A10" s="45" t="inlineStr">
        <is>
          <t>PRO3</t>
        </is>
      </c>
      <c r="B10" s="45" t="inlineStr">
        <is>
          <t>Oral-B</t>
        </is>
      </c>
      <c r="C10" s="45" t="inlineStr">
        <is>
          <t>Pro 3 3000</t>
        </is>
      </c>
      <c r="D10" s="45" t="inlineStr">
        <is>
          <t>Brosse à dents</t>
        </is>
      </c>
      <c r="E10" s="45" t="inlineStr">
        <is>
          <t>Oscillo-rotative</t>
        </is>
      </c>
      <c r="F10" s="45" t="inlineStr">
        <is>
          <t>8 800 oscillations/min</t>
        </is>
      </c>
      <c r="G10" s="45" t="inlineStr">
        <is>
          <t>2 à 3 modes selon la version régionale</t>
        </is>
      </c>
      <c r="H10" s="45" t="n">
        <v>14</v>
      </c>
      <c r="I10" s="54" t="inlineStr">
        <is>
          <t>N/D</t>
        </is>
      </c>
      <c r="J10" s="45" t="inlineStr">
        <is>
          <t>Oui (voyant lumineux, ralentissement automatique)</t>
        </is>
      </c>
      <c r="K10" s="45" t="inlineStr">
        <is>
          <t>Socle</t>
        </is>
      </c>
      <c r="L10" s="46" t="inlineStr">
        <is>
          <t>N/D</t>
        </is>
      </c>
      <c r="M10" s="54" t="inlineStr">
        <is>
          <t>N/D</t>
        </is>
      </c>
      <c r="N10" s="45" t="inlineStr">
        <is>
          <t>CI vérifié pour la marque Oral-B (gamme Pro Series). SN vérifié pour la marque. BF, CM, BJ non vérifiés.</t>
        </is>
      </c>
      <c r="O10" s="45" t="inlineStr">
        <is>
          <t>Amazon UK, pharmacies</t>
        </is>
      </c>
      <c r="P10" s="47" t="inlineStr">
        <is>
          <t>https://www.amazon.co.uk/Oral-B-CrossAction-Electric-Toothbrush-Rechargeable/dp/B072DTPBHF</t>
        </is>
      </c>
      <c r="Q10" s="47" t="inlineStr">
        <is>
          <t>https://www.electricteeth.com/uk/oral-b-pro-3-3000-review/</t>
        </is>
      </c>
      <c r="R10" s="48" t="inlineStr">
        <is>
          <t>2026-09-03</t>
        </is>
      </c>
      <c r="S10" s="45" t="inlineStr">
        <is>
          <t>Nombre de modes variable selon le pays de commercialisation, à confirmer sur la fiche locale.</t>
        </is>
      </c>
    </row>
    <row r="11">
      <c r="A11" s="49" t="inlineStr">
        <is>
          <t>VITALITY</t>
        </is>
      </c>
      <c r="B11" s="49" t="inlineStr">
        <is>
          <t>Oral-B</t>
        </is>
      </c>
      <c r="C11" s="49" t="inlineStr">
        <is>
          <t>Vitality 100 CrossAction</t>
        </is>
      </c>
      <c r="D11" s="49" t="inlineStr">
        <is>
          <t>Brosse à dents</t>
        </is>
      </c>
      <c r="E11" s="49" t="inlineStr">
        <is>
          <t>Oscillo-rotative (2D)</t>
        </is>
      </c>
      <c r="F11" s="49" t="inlineStr">
        <is>
          <t>7 600 oscillations/min</t>
        </is>
      </c>
      <c r="G11" s="49" t="inlineStr">
        <is>
          <t>1 mode</t>
        </is>
      </c>
      <c r="H11" s="50" t="inlineStr">
        <is>
          <t>N/D</t>
        </is>
      </c>
      <c r="I11" s="50" t="inlineStr">
        <is>
          <t>N/D</t>
        </is>
      </c>
      <c r="J11" s="49" t="inlineStr">
        <is>
          <t>Non</t>
        </is>
      </c>
      <c r="K11" s="49" t="inlineStr">
        <is>
          <t>Socle</t>
        </is>
      </c>
      <c r="L11" s="51" t="inlineStr">
        <is>
          <t>N/D</t>
        </is>
      </c>
      <c r="M11" s="50" t="inlineStr">
        <is>
          <t>N/D</t>
        </is>
      </c>
      <c r="N11" s="49" t="inlineStr">
        <is>
          <t>CI vérifié (Jumia, fiche produit). SN vérifié (Jumia, fiche produit Vitality D12). BF, CM, BJ non vérifiés.</t>
        </is>
      </c>
      <c r="O11" s="49" t="inlineStr">
        <is>
          <t>Jumia CI, pharmacies, GMS</t>
        </is>
      </c>
      <c r="P11" s="52" t="inlineStr">
        <is>
          <t>https://www.oral-b.co.in/en-in/products/electric-toothbrushes/or/vitality-cross-action</t>
        </is>
      </c>
      <c r="Q11" s="52" t="inlineStr">
        <is>
          <t>https://www.jumia.ci/mlp-oral-b-brosse-a-dent/</t>
        </is>
      </c>
      <c r="R11" s="53" t="inlineStr">
        <is>
          <t>2026-09-03</t>
        </is>
      </c>
      <c r="S11" s="49" t="inlineStr">
        <is>
          <t>Entrée de gamme rotative la plus distribuée. Minuteur 2 min avec quadpacer 30 s.</t>
        </is>
      </c>
    </row>
    <row r="12">
      <c r="A12" s="45" t="inlineStr">
        <is>
          <t>IO3</t>
        </is>
      </c>
      <c r="B12" s="45" t="inlineStr">
        <is>
          <t>Oral-B</t>
        </is>
      </c>
      <c r="C12" s="45" t="inlineStr">
        <is>
          <t>iO Series 3</t>
        </is>
      </c>
      <c r="D12" s="45" t="inlineStr">
        <is>
          <t>Brosse à dents</t>
        </is>
      </c>
      <c r="E12" s="45" t="inlineStr">
        <is>
          <t>Oscillo-rotative + micro-vibrations</t>
        </is>
      </c>
      <c r="F12" s="54" t="inlineStr">
        <is>
          <t>N/D</t>
        </is>
      </c>
      <c r="G12" s="45" t="inlineStr">
        <is>
          <t>3 modes (Daily Clean, Sensitive, Whitening)</t>
        </is>
      </c>
      <c r="H12" s="54" t="inlineStr">
        <is>
          <t>N/D</t>
        </is>
      </c>
      <c r="I12" s="54" t="inlineStr">
        <is>
          <t>N/D</t>
        </is>
      </c>
      <c r="J12" s="45" t="inlineStr">
        <is>
          <t>Oui (anneau lumineux blanc / vert / rouge)</t>
        </is>
      </c>
      <c r="K12" s="45" t="inlineStr">
        <is>
          <t>Socle magnétique</t>
        </is>
      </c>
      <c r="L12" s="46" t="inlineStr">
        <is>
          <t>N/D</t>
        </is>
      </c>
      <c r="M12" s="54" t="inlineStr">
        <is>
          <t>N/D</t>
        </is>
      </c>
      <c r="N12" s="45" t="inlineStr">
        <is>
          <t>CI vérifié (Jumia, gamme iO référencée). SN vérifié pour la marque Oral-B. BF, CM, BJ non vérifiés.</t>
        </is>
      </c>
      <c r="O12" s="45" t="inlineStr">
        <is>
          <t>Jumia CI, pharmacies</t>
        </is>
      </c>
      <c r="P12" s="47" t="inlineStr">
        <is>
          <t>https://oralb.com/en-us/products/io-series-3-rechargeable-electric-toothbrush-white/</t>
        </is>
      </c>
      <c r="Q12" s="47" t="inlineStr">
        <is>
          <t>https://www.jumia.ci/slp/brosse-a-dents-electrique-oral-b-io3</t>
        </is>
      </c>
      <c r="R12" s="48" t="inlineStr">
        <is>
          <t>2026-09-03</t>
        </is>
      </c>
      <c r="S12" s="45" t="inlineStr">
        <is>
          <t>Capteur de pression tricolore, équivalent direct des modèles SEAGO à écran et capteur.</t>
        </is>
      </c>
    </row>
    <row r="13">
      <c r="A13" s="49" t="inlineStr">
        <is>
          <t>SONICARE_KIDS</t>
        </is>
      </c>
      <c r="B13" s="49" t="inlineStr">
        <is>
          <t>Philips</t>
        </is>
      </c>
      <c r="C13" s="49" t="inlineStr">
        <is>
          <t>Sonicare For Kids HX6321/02</t>
        </is>
      </c>
      <c r="D13" s="49" t="inlineStr">
        <is>
          <t>Brosse à dents</t>
        </is>
      </c>
      <c r="E13" s="49" t="inlineStr">
        <is>
          <t>Sonique enfant</t>
        </is>
      </c>
      <c r="F13" s="49" t="inlineStr">
        <is>
          <t>62 000 mouvements/min</t>
        </is>
      </c>
      <c r="G13" s="49" t="inlineStr">
        <is>
          <t>2 modes</t>
        </is>
      </c>
      <c r="H13" s="49" t="n">
        <v>21</v>
      </c>
      <c r="I13" s="50" t="inlineStr">
        <is>
          <t>N/D</t>
        </is>
      </c>
      <c r="J13" s="49" t="inlineStr">
        <is>
          <t>Non</t>
        </is>
      </c>
      <c r="K13" s="49" t="inlineStr">
        <is>
          <t>Socle inductif</t>
        </is>
      </c>
      <c r="L13" s="51" t="inlineStr">
        <is>
          <t>N/D</t>
        </is>
      </c>
      <c r="M13" s="50" t="inlineStr">
        <is>
          <t>N/D</t>
        </is>
      </c>
      <c r="N13" s="49" t="inlineStr">
        <is>
          <t>Non vérifié sur CI, SN, BF, CM, BJ. Présence confirmée aux EAU (Noon).</t>
        </is>
      </c>
      <c r="O13" s="49" t="inlineStr">
        <is>
          <t>Noon UAE, pharmacies</t>
        </is>
      </c>
      <c r="P13" s="52" t="inlineStr">
        <is>
          <t>https://www.usa.philips.com/c-p/HX6321_02/sonicare-for-kids-sonic-electric-toothbrush</t>
        </is>
      </c>
      <c r="Q13" s="52" t="inlineStr">
        <is>
          <t>https://www.philips.com/c-dam/b2c/category-pages/personal-care/POHC/resource-library-docs/HX6321-03%20LEAFLET-Sonicare-%20For-Kids-%20Connected-Electric-Toothbrush.pdf</t>
        </is>
      </c>
      <c r="R13" s="53" t="inlineStr">
        <is>
          <t>2026-09-03</t>
        </is>
      </c>
      <c r="S13" s="49" t="inlineStr">
        <is>
          <t>Connectivité Bluetooth et application de coaching enfant. Indicateur de batterie.</t>
        </is>
      </c>
    </row>
    <row r="14">
      <c r="A14" s="45" t="inlineStr">
        <is>
          <t>SONICARE_4100</t>
        </is>
      </c>
      <c r="B14" s="45" t="inlineStr">
        <is>
          <t>Philips</t>
        </is>
      </c>
      <c r="C14" s="45" t="inlineStr">
        <is>
          <t>Sonicare ProtectiveClean 4100 (HX6817)</t>
        </is>
      </c>
      <c r="D14" s="45" t="inlineStr">
        <is>
          <t>Brosse à dents</t>
        </is>
      </c>
      <c r="E14" s="45" t="inlineStr">
        <is>
          <t>Sonique</t>
        </is>
      </c>
      <c r="F14" s="45" t="inlineStr">
        <is>
          <t>31 000 strokes/min (62 000 mouvements/min)</t>
        </is>
      </c>
      <c r="G14" s="45" t="inlineStr">
        <is>
          <t>1 mode Clean (2 intensités selon version)</t>
        </is>
      </c>
      <c r="H14" s="45" t="n">
        <v>14</v>
      </c>
      <c r="I14" s="45" t="inlineStr">
        <is>
          <t>IPX7</t>
        </is>
      </c>
      <c r="J14" s="45" t="inlineStr">
        <is>
          <t>Oui (alerte sonore)</t>
        </is>
      </c>
      <c r="K14" s="45" t="inlineStr">
        <is>
          <t>Socle inductif</t>
        </is>
      </c>
      <c r="L14" s="46" t="inlineStr">
        <is>
          <t>N/D</t>
        </is>
      </c>
      <c r="M14" s="54" t="inlineStr">
        <is>
          <t>N/D</t>
        </is>
      </c>
      <c r="N14" s="45" t="inlineStr">
        <is>
          <t>Non vérifié sur CI, SN, BF, CM, BJ. Présence confirmée aux EAU (Noon).</t>
        </is>
      </c>
      <c r="O14" s="45" t="inlineStr">
        <is>
          <t>Noon UAE, pharmacies et GMS</t>
        </is>
      </c>
      <c r="P14" s="47" t="inlineStr">
        <is>
          <t>https://www.usa.philips.com/c-p/HX6817_01/sonicare-protectiveclean-4100-sonic-electric-toothbrush</t>
        </is>
      </c>
      <c r="Q14" s="47" t="inlineStr">
        <is>
          <t>https://www.noon.com/uae-en/beauty/personal-care-16343/oral-hygiene/power-toothbrushes/philips_sonicare/</t>
        </is>
      </c>
      <c r="R14" s="48" t="inlineStr">
        <is>
          <t>2026-09-03</t>
        </is>
      </c>
      <c r="S14" s="45" t="inlineStr">
        <is>
          <t>Technologie BrushSync (rappel de remplacement de tête). Référence premium du segment sonique.</t>
        </is>
      </c>
    </row>
    <row r="15">
      <c r="A15" s="49" t="inlineStr">
        <is>
          <t>SURI_JUMIA</t>
        </is>
      </c>
      <c r="B15" s="49" t="inlineStr">
        <is>
          <t>Suri (marketplace)</t>
        </is>
      </c>
      <c r="C15" s="49" t="inlineStr">
        <is>
          <t>Brosse à dents électrique sonique durable</t>
        </is>
      </c>
      <c r="D15" s="49" t="inlineStr">
        <is>
          <t>Brosse à dents</t>
        </is>
      </c>
      <c r="E15" s="49" t="inlineStr">
        <is>
          <t>Sonique</t>
        </is>
      </c>
      <c r="F15" s="49" t="inlineStr">
        <is>
          <t>40 000 VPM</t>
        </is>
      </c>
      <c r="G15" s="49" t="inlineStr">
        <is>
          <t>5 modes (Clean, White, Polish, Soft, Gum Care)</t>
        </is>
      </c>
      <c r="H15" s="49" t="n">
        <v>30</v>
      </c>
      <c r="I15" s="50" t="inlineStr">
        <is>
          <t>N/D</t>
        </is>
      </c>
      <c r="J15" s="49" t="inlineStr">
        <is>
          <t>Non</t>
        </is>
      </c>
      <c r="K15" s="49" t="inlineStr">
        <is>
          <t>Li-ion, charge rapide 4 h</t>
        </is>
      </c>
      <c r="L15" s="51" t="inlineStr">
        <is>
          <t>N/D</t>
        </is>
      </c>
      <c r="M15" s="49" t="inlineStr">
        <is>
          <t>XOF</t>
        </is>
      </c>
      <c r="N15" s="49" t="inlineStr">
        <is>
          <t>CI vérifié (Jumia). SN, BF, CM, BJ non vérifiés.</t>
        </is>
      </c>
      <c r="O15" s="49" t="inlineStr">
        <is>
          <t>Jumia CI</t>
        </is>
      </c>
      <c r="P15" s="52" t="inlineStr">
        <is>
          <t>https://www.jumia.ci/slp/brosse-a-dents-electrique-durable-suri</t>
        </is>
      </c>
      <c r="Q15" s="52" t="inlineStr">
        <is>
          <t>https://www.jumia.ci/brosse-a-dents-electrique/</t>
        </is>
      </c>
      <c r="R15" s="53" t="inlineStr">
        <is>
          <t>2026-09-03</t>
        </is>
      </c>
      <c r="S15" s="49" t="inlineStr">
        <is>
          <t>Offre marketplace au positionnement identique à SEAGO : mêmes specs annoncées, marque non installée.</t>
        </is>
      </c>
    </row>
    <row r="16">
      <c r="A16" s="45" t="inlineStr">
        <is>
          <t>XIAOMI_T500</t>
        </is>
      </c>
      <c r="B16" s="45" t="inlineStr">
        <is>
          <t>Xiaomi</t>
        </is>
      </c>
      <c r="C16" s="45" t="inlineStr">
        <is>
          <t>Mi Smart Electric Toothbrush T500</t>
        </is>
      </c>
      <c r="D16" s="45" t="inlineStr">
        <is>
          <t>Brosse à dents</t>
        </is>
      </c>
      <c r="E16" s="45" t="inlineStr">
        <is>
          <t>Sonique à lévitation magnétique</t>
        </is>
      </c>
      <c r="F16" s="45" t="inlineStr">
        <is>
          <t>31 000 vibrations/min</t>
        </is>
      </c>
      <c r="G16" s="45" t="inlineStr">
        <is>
          <t>3 modes (Standard, Gentle, Custom)</t>
        </is>
      </c>
      <c r="H16" s="45" t="n">
        <v>18</v>
      </c>
      <c r="I16" s="45" t="inlineStr">
        <is>
          <t>IPX7</t>
        </is>
      </c>
      <c r="J16" s="45" t="inlineStr">
        <is>
          <t>Oui (protection de surpression, réduction automatique)</t>
        </is>
      </c>
      <c r="K16" s="45" t="inlineStr">
        <is>
          <t>USB</t>
        </is>
      </c>
      <c r="L16" s="46" t="inlineStr">
        <is>
          <t>N/D</t>
        </is>
      </c>
      <c r="M16" s="54" t="inlineStr">
        <is>
          <t>N/D</t>
        </is>
      </c>
      <c r="N16" s="45" t="inlineStr">
        <is>
          <t>Non vérifié sur CI, SN, BF, CM, BJ.</t>
        </is>
      </c>
      <c r="O16" s="45" t="inlineStr">
        <is>
          <t>Marketplaces, distribution Xiaomi</t>
        </is>
      </c>
      <c r="P16" s="47" t="inlineStr">
        <is>
          <t>https://www.mi.com/global/product/mi-smart-electric-toothbrush-t500/specs/</t>
        </is>
      </c>
      <c r="Q16" s="47" t="inlineStr">
        <is>
          <t>https://www.electricteeth.com/uk/xiaomi-mi-review/</t>
        </is>
      </c>
      <c r="R16" s="48" t="inlineStr">
        <is>
          <t>2026-09-03</t>
        </is>
      </c>
      <c r="S16" s="45" t="inlineStr">
        <is>
          <t>Pilotage par application et protection de surpression, positionnement milieu de gamme connecté.</t>
        </is>
      </c>
    </row>
    <row r="17">
      <c r="A17" s="49" t="inlineStr">
        <is>
          <t>USMILE_Y1S</t>
        </is>
      </c>
      <c r="B17" s="49" t="inlineStr">
        <is>
          <t>usmile</t>
        </is>
      </c>
      <c r="C17" s="49" t="inlineStr">
        <is>
          <t>Y1S Sonic</t>
        </is>
      </c>
      <c r="D17" s="49" t="inlineStr">
        <is>
          <t>Brosse à dents</t>
        </is>
      </c>
      <c r="E17" s="49" t="inlineStr">
        <is>
          <t>Sonique</t>
        </is>
      </c>
      <c r="F17" s="49" t="inlineStr">
        <is>
          <t>38 000 vibrations/min</t>
        </is>
      </c>
      <c r="G17" s="49" t="inlineStr">
        <is>
          <t>3 modes (Clean, White, Soft)</t>
        </is>
      </c>
      <c r="H17" s="49" t="n">
        <v>180</v>
      </c>
      <c r="I17" s="49" t="inlineStr">
        <is>
          <t>IPX7</t>
        </is>
      </c>
      <c r="J17" s="49" t="inlineStr">
        <is>
          <t>Non</t>
        </is>
      </c>
      <c r="K17" s="49" t="inlineStr">
        <is>
          <t>USB Type-C</t>
        </is>
      </c>
      <c r="L17" s="51" t="inlineStr">
        <is>
          <t>N/D</t>
        </is>
      </c>
      <c r="M17" s="50" t="inlineStr">
        <is>
          <t>N/D</t>
        </is>
      </c>
      <c r="N17" s="49" t="inlineStr">
        <is>
          <t>Non vérifié sur CI, SN, BF, CM, BJ.</t>
        </is>
      </c>
      <c r="O17" s="49" t="inlineStr">
        <is>
          <t>Marketplaces, retail spécialisé</t>
        </is>
      </c>
      <c r="P17" s="52" t="inlineStr">
        <is>
          <t>https://www.usmile.com/electrictoothbrush/info.html?id=4</t>
        </is>
      </c>
      <c r="Q17" s="52" t="inlineStr">
        <is>
          <t>https://www.ada.org/resources/research/science/ada-seal-of-acceptance/product-search/a065e00000BWImYAAX/usmile-sonic-electric-toothbrush-y1s</t>
        </is>
      </c>
      <c r="R17" s="53" t="inlineStr">
        <is>
          <t>2026-09-03</t>
        </is>
      </c>
      <c r="S17" s="49" t="inlineStr">
        <is>
          <t>Référence de l'argument longue autonomie (180 jours), acceptée par l'American Dental Association.</t>
        </is>
      </c>
    </row>
    <row r="18">
      <c r="A18" s="45" t="inlineStr">
        <is>
          <t>WP_TIPS</t>
        </is>
      </c>
      <c r="B18" s="45" t="inlineStr">
        <is>
          <t>Waterpik</t>
        </is>
      </c>
      <c r="C18" s="45" t="inlineStr">
        <is>
          <t>Buses de rechange (pack livré avec WP-560)</t>
        </is>
      </c>
      <c r="D18" s="45" t="inlineStr">
        <is>
          <t>Buse hydropulseur</t>
        </is>
      </c>
      <c r="E18" s="45" t="inlineStr">
        <is>
          <t>Buses spécialisées (standard, orthodontique, plaque, parodontale)</t>
        </is>
      </c>
      <c r="F18" s="54" t="inlineStr">
        <is>
          <t>N/D</t>
        </is>
      </c>
      <c r="G18" s="54" t="inlineStr">
        <is>
          <t>N/D</t>
        </is>
      </c>
      <c r="H18" s="54" t="inlineStr">
        <is>
          <t>N/D</t>
        </is>
      </c>
      <c r="I18" s="54" t="inlineStr">
        <is>
          <t>N/D</t>
        </is>
      </c>
      <c r="J18" s="54" t="inlineStr">
        <is>
          <t>N/D</t>
        </is>
      </c>
      <c r="K18" s="54" t="inlineStr">
        <is>
          <t>N/D</t>
        </is>
      </c>
      <c r="L18" s="46" t="inlineStr">
        <is>
          <t>N/D</t>
        </is>
      </c>
      <c r="M18" s="54" t="inlineStr">
        <is>
          <t>N/D</t>
        </is>
      </c>
      <c r="N18" s="45" t="inlineStr">
        <is>
          <t>Non vérifié sur CI, SN, BF, CM, BJ.</t>
        </is>
      </c>
      <c r="O18" s="45" t="inlineStr">
        <is>
          <t>Retail spécialisé, pharmacies</t>
        </is>
      </c>
      <c r="P18" s="47" t="inlineStr">
        <is>
          <t>https://www.waterpik.ch/en/oral-health/products/dental-water-flosser/WP-560/</t>
        </is>
      </c>
      <c r="Q18" s="47" t="inlineStr">
        <is>
          <t>https://www.electricteeth.com/waterpik-cordless-advanced-wp560-review/</t>
        </is>
      </c>
      <c r="R18" s="48" t="inlineStr">
        <is>
          <t>2026-09-03</t>
        </is>
      </c>
      <c r="S18" s="45" t="inlineStr">
        <is>
          <t>Gamme de buses la plus large du marché, référence de comparaison pour les buses SEAGO SG-P0xx.</t>
        </is>
      </c>
    </row>
    <row r="19">
      <c r="A19" s="49" t="inlineStr">
        <is>
          <t>GEN_HYDRO_CI</t>
        </is>
      </c>
      <c r="B19" s="49" t="inlineStr">
        <is>
          <t>Generic (marketplace)</t>
        </is>
      </c>
      <c r="C19" s="49" t="inlineStr">
        <is>
          <t>Hydropulseur portatif rechargeable USB 280 mL</t>
        </is>
      </c>
      <c r="D19" s="49" t="inlineStr">
        <is>
          <t>Hydropulseur</t>
        </is>
      </c>
      <c r="E19" s="49" t="inlineStr">
        <is>
          <t>Hydropulseur portable sans fil</t>
        </is>
      </c>
      <c r="F19" s="50" t="inlineStr">
        <is>
          <t>N/D</t>
        </is>
      </c>
      <c r="G19" s="49" t="inlineStr">
        <is>
          <t>3 modes (Normal, Soft, Pulse)</t>
        </is>
      </c>
      <c r="H19" s="50" t="inlineStr">
        <is>
          <t>N/D</t>
        </is>
      </c>
      <c r="I19" s="49" t="inlineStr">
        <is>
          <t>Étanche (indice non précisé)</t>
        </is>
      </c>
      <c r="J19" s="50" t="inlineStr">
        <is>
          <t>N/D</t>
        </is>
      </c>
      <c r="K19" s="49" t="inlineStr">
        <is>
          <t>USB</t>
        </is>
      </c>
      <c r="L19" s="51" t="inlineStr">
        <is>
          <t>N/D</t>
        </is>
      </c>
      <c r="M19" s="49" t="inlineStr">
        <is>
          <t>XOF</t>
        </is>
      </c>
      <c r="N19" s="49" t="inlineStr">
        <is>
          <t>CI vérifié (Jumia). SN vérifié au niveau catégorie. BF, CM, BJ non vérifiés.</t>
        </is>
      </c>
      <c r="O19" s="49" t="inlineStr">
        <is>
          <t>Jumia CI</t>
        </is>
      </c>
      <c r="P19" s="52" t="inlineStr">
        <is>
          <t>https://www.jumia.ci/generic-1-piece-hydropulseur-portatif-rechargeable-usb-irrigateur-oral-280-ml-31831284.html</t>
        </is>
      </c>
      <c r="Q19" s="52" t="inlineStr">
        <is>
          <t>https://www.jumia.ci/soins-bucco-dentaires-power-flosser-dentaire/</t>
        </is>
      </c>
      <c r="R19" s="53" t="inlineStr">
        <is>
          <t>2026-09-03</t>
        </is>
      </c>
      <c r="S19" s="49" t="inlineStr">
        <is>
          <t>Réservoir 280 mL, buse rotative 360 degrés. Plancher de prix du segment sur Jumia CI.</t>
        </is>
      </c>
    </row>
    <row r="20">
      <c r="A20" s="45" t="inlineStr">
        <is>
          <t>GEN_HYDRO_CI2</t>
        </is>
      </c>
      <c r="B20" s="45" t="inlineStr">
        <is>
          <t>Generic (marketplace)</t>
        </is>
      </c>
      <c r="C20" s="45" t="inlineStr">
        <is>
          <t>Jet dentaire électrique portable rechargeable</t>
        </is>
      </c>
      <c r="D20" s="45" t="inlineStr">
        <is>
          <t>Hydropulseur</t>
        </is>
      </c>
      <c r="E20" s="45" t="inlineStr">
        <is>
          <t>Hydropulseur portable sans fil</t>
        </is>
      </c>
      <c r="F20" s="54" t="inlineStr">
        <is>
          <t>N/D</t>
        </is>
      </c>
      <c r="G20" s="45" t="inlineStr">
        <is>
          <t>3 modes</t>
        </is>
      </c>
      <c r="H20" s="54" t="inlineStr">
        <is>
          <t>N/D</t>
        </is>
      </c>
      <c r="I20" s="45" t="inlineStr">
        <is>
          <t>Étanche (indice non précisé)</t>
        </is>
      </c>
      <c r="J20" s="54" t="inlineStr">
        <is>
          <t>N/D</t>
        </is>
      </c>
      <c r="K20" s="45" t="inlineStr">
        <is>
          <t>USB</t>
        </is>
      </c>
      <c r="L20" s="46" t="inlineStr">
        <is>
          <t>N/D</t>
        </is>
      </c>
      <c r="M20" s="45" t="inlineStr">
        <is>
          <t>XOF</t>
        </is>
      </c>
      <c r="N20" s="45" t="inlineStr">
        <is>
          <t>CI vérifié (Jumia). SN vérifié au niveau catégorie. BF, CM, BJ non vérifiés.</t>
        </is>
      </c>
      <c r="O20" s="45" t="inlineStr">
        <is>
          <t>Jumia CI</t>
        </is>
      </c>
      <c r="P20" s="47" t="inlineStr">
        <is>
          <t>https://www.jumia.ci/jet-dentaire-electrique-portable-hydropulseur-rechargeable-etanche-generic-mpg1033399.html</t>
        </is>
      </c>
      <c r="Q20" s="47" t="inlineStr">
        <is>
          <t>https://www.jumia.ci/generic-irrigateur-oral-portable-nettoyeur-dentaire-hydropulseur-puissant-pour-le-soin-buccal-31064524.html</t>
        </is>
      </c>
      <c r="R20" s="48" t="inlineStr">
        <is>
          <t>2026-09-03</t>
        </is>
      </c>
      <c r="S20" s="45" t="inlineStr">
        <is>
          <t>Deuxième référence marketplace du segment, utile pour borner la fourchette de prix locale.</t>
        </is>
      </c>
    </row>
    <row r="21">
      <c r="A21" s="49" t="inlineStr">
        <is>
          <t>PANA_DJ10</t>
        </is>
      </c>
      <c r="B21" s="49" t="inlineStr">
        <is>
          <t>Panasonic</t>
        </is>
      </c>
      <c r="C21" s="49" t="inlineStr">
        <is>
          <t>EW-DJ10 Dentacare</t>
        </is>
      </c>
      <c r="D21" s="49" t="inlineStr">
        <is>
          <t>Hydropulseur</t>
        </is>
      </c>
      <c r="E21" s="49" t="inlineStr">
        <is>
          <t>Hydropulseur portable pliable</t>
        </is>
      </c>
      <c r="F21" s="49" t="inlineStr">
        <is>
          <t>1 400 pulsations/min</t>
        </is>
      </c>
      <c r="G21" s="49" t="inlineStr">
        <is>
          <t>2 vitesses</t>
        </is>
      </c>
      <c r="H21" s="50" t="inlineStr">
        <is>
          <t>N/D</t>
        </is>
      </c>
      <c r="I21" s="49" t="inlineStr">
        <is>
          <t>100 % lavable</t>
        </is>
      </c>
      <c r="J21" s="50" t="inlineStr">
        <is>
          <t>N/D</t>
        </is>
      </c>
      <c r="K21" s="49" t="inlineStr">
        <is>
          <t>2 piles AA</t>
        </is>
      </c>
      <c r="L21" s="51" t="inlineStr">
        <is>
          <t>N/D</t>
        </is>
      </c>
      <c r="M21" s="50" t="inlineStr">
        <is>
          <t>N/D</t>
        </is>
      </c>
      <c r="N21" s="49" t="inlineStr">
        <is>
          <t>Non vérifié sur CI, SN, BF, CM, BJ.</t>
        </is>
      </c>
      <c r="O21" s="49" t="inlineStr">
        <is>
          <t>Retail spécialisé</t>
        </is>
      </c>
      <c r="P21" s="52" t="inlineStr">
        <is>
          <t>https://www.panasonic.com/uk/support/discontinued-products/personal-care/ew-dj10.specs.html</t>
        </is>
      </c>
      <c r="Q21" s="52" t="inlineStr">
        <is>
          <t>https://www.amazon.com/Panasonic-EW-DJ10-A-Portable-Oral-Irrigator/dp/B00H2H9J4C</t>
        </is>
      </c>
      <c r="R21" s="53" t="inlineStr">
        <is>
          <t>2026-09-03</t>
        </is>
      </c>
      <c r="S21" s="49" t="inlineStr">
        <is>
          <t>Réservoir 165 mL, environ 40 s d'autonomie d'eau, design pliable. Équivalent des SEAGO mini pliables.</t>
        </is>
      </c>
    </row>
    <row r="22">
      <c r="A22" s="45" t="inlineStr">
        <is>
          <t>WP560</t>
        </is>
      </c>
      <c r="B22" s="45" t="inlineStr">
        <is>
          <t>Waterpik</t>
        </is>
      </c>
      <c r="C22" s="45" t="inlineStr">
        <is>
          <t>Cordless Advanced WP-560</t>
        </is>
      </c>
      <c r="D22" s="45" t="inlineStr">
        <is>
          <t>Hydropulseur</t>
        </is>
      </c>
      <c r="E22" s="45" t="inlineStr">
        <is>
          <t>Hydropulseur portable sans fil</t>
        </is>
      </c>
      <c r="F22" s="54" t="inlineStr">
        <is>
          <t>N/D</t>
        </is>
      </c>
      <c r="G22" s="45" t="inlineStr">
        <is>
          <t>3 réglages de pression</t>
        </is>
      </c>
      <c r="H22" s="54" t="inlineStr">
        <is>
          <t>N/D</t>
        </is>
      </c>
      <c r="I22" s="54" t="inlineStr">
        <is>
          <t>N/D</t>
        </is>
      </c>
      <c r="J22" s="54" t="inlineStr">
        <is>
          <t>N/D</t>
        </is>
      </c>
      <c r="K22" s="45" t="inlineStr">
        <is>
          <t>Charge magnétique, 4 h</t>
        </is>
      </c>
      <c r="L22" s="46" t="inlineStr">
        <is>
          <t>N/D</t>
        </is>
      </c>
      <c r="M22" s="54" t="inlineStr">
        <is>
          <t>N/D</t>
        </is>
      </c>
      <c r="N22" s="45" t="inlineStr">
        <is>
          <t>Non vérifié sur CI, SN, BF, CM, BJ.</t>
        </is>
      </c>
      <c r="O22" s="45" t="inlineStr">
        <is>
          <t>Retail spécialisé, pharmacies</t>
        </is>
      </c>
      <c r="P22" s="47" t="inlineStr">
        <is>
          <t>https://www.waterpik.ch/en/oral-health/products/dental-water-flosser/WP-560/</t>
        </is>
      </c>
      <c r="Q22" s="47" t="inlineStr">
        <is>
          <t>https://www.electricteeth.com/waterpik-cordless-advanced-wp560-review/</t>
        </is>
      </c>
      <c r="R22" s="48" t="inlineStr">
        <is>
          <t>2026-09-03</t>
        </is>
      </c>
      <c r="S22" s="45" t="inlineStr">
        <is>
          <t>Pression 45-75 PSI, réservoir 207 mL (7 oz), 4 buses, rotation 360 degrés. Référence du segment.</t>
        </is>
      </c>
    </row>
    <row r="23">
      <c r="A23" s="49" t="inlineStr">
        <is>
          <t>WP450</t>
        </is>
      </c>
      <c r="B23" s="49" t="inlineStr">
        <is>
          <t>Waterpik</t>
        </is>
      </c>
      <c r="C23" s="49" t="inlineStr">
        <is>
          <t>Cordless Plus WP-450</t>
        </is>
      </c>
      <c r="D23" s="49" t="inlineStr">
        <is>
          <t>Hydropulseur</t>
        </is>
      </c>
      <c r="E23" s="49" t="inlineStr">
        <is>
          <t>Hydropulseur portable sans fil</t>
        </is>
      </c>
      <c r="F23" s="49" t="inlineStr">
        <is>
          <t>1 200 pulsations/min (20 Hz)</t>
        </is>
      </c>
      <c r="G23" s="49" t="inlineStr">
        <is>
          <t>2 réglages de pression</t>
        </is>
      </c>
      <c r="H23" s="49" t="n">
        <v>7</v>
      </c>
      <c r="I23" s="50" t="inlineStr">
        <is>
          <t>N/D</t>
        </is>
      </c>
      <c r="J23" s="50" t="inlineStr">
        <is>
          <t>N/D</t>
        </is>
      </c>
      <c r="K23" s="49" t="inlineStr">
        <is>
          <t>Batterie Ni-MH rechargeable</t>
        </is>
      </c>
      <c r="L23" s="51" t="inlineStr">
        <is>
          <t>N/D</t>
        </is>
      </c>
      <c r="M23" s="50" t="inlineStr">
        <is>
          <t>N/D</t>
        </is>
      </c>
      <c r="N23" s="49" t="inlineStr">
        <is>
          <t>Non vérifié sur CI, SN, BF, CM, BJ.</t>
        </is>
      </c>
      <c r="O23" s="49" t="inlineStr">
        <is>
          <t>Retail spécialisé, pharmacies</t>
        </is>
      </c>
      <c r="P23" s="52" t="inlineStr">
        <is>
          <t>https://www.amazon.com/Waterpik-Ultra-Cordless-Water-Flosser/dp/B000UWAWQU</t>
        </is>
      </c>
      <c r="Q23" s="52" t="inlineStr">
        <is>
          <t>https://www.bestbuy.com/site/waterpik-cordless-plus-water-flosser-white/9984479.p?skuId=9984479</t>
        </is>
      </c>
      <c r="R23" s="53" t="inlineStr">
        <is>
          <t>2026-09-03</t>
        </is>
      </c>
      <c r="S23" s="49" t="inlineStr">
        <is>
          <t>Pression 2,8 à 5,8 bar (environ 40 à 84 PSI), réservoir 207 mL, 4 buses. Autonomie une semaine.</t>
        </is>
      </c>
    </row>
    <row r="24">
      <c r="A24" s="45" t="inlineStr">
        <is>
          <t>COLGATE_HEADS</t>
        </is>
      </c>
      <c r="B24" s="45" t="inlineStr">
        <is>
          <t>Colgate</t>
        </is>
      </c>
      <c r="C24" s="45" t="inlineStr">
        <is>
          <t>360 Deep Clean, têtes de rechange</t>
        </is>
      </c>
      <c r="D24" s="45" t="inlineStr">
        <is>
          <t>Tête de rechange</t>
        </is>
      </c>
      <c r="E24" s="45" t="inlineStr">
        <is>
          <t>Tête sonique pour brosse à piles</t>
        </is>
      </c>
      <c r="F24" s="54" t="inlineStr">
        <is>
          <t>N/D</t>
        </is>
      </c>
      <c r="G24" s="54" t="inlineStr">
        <is>
          <t>N/D</t>
        </is>
      </c>
      <c r="H24" s="54" t="inlineStr">
        <is>
          <t>N/D</t>
        </is>
      </c>
      <c r="I24" s="54" t="inlineStr">
        <is>
          <t>N/D</t>
        </is>
      </c>
      <c r="J24" s="54" t="inlineStr">
        <is>
          <t>N/D</t>
        </is>
      </c>
      <c r="K24" s="54" t="inlineStr">
        <is>
          <t>N/D</t>
        </is>
      </c>
      <c r="L24" s="46" t="inlineStr">
        <is>
          <t>N/D</t>
        </is>
      </c>
      <c r="M24" s="54" t="inlineStr">
        <is>
          <t>N/D</t>
        </is>
      </c>
      <c r="N24" s="45" t="inlineStr">
        <is>
          <t>Non vérifié sur CI, SN, BF, CM, BJ. Marque Colgate largement distribuée en GMS et pharmacie.</t>
        </is>
      </c>
      <c r="O24" s="45" t="inlineStr">
        <is>
          <t>GMS, pharmacies</t>
        </is>
      </c>
      <c r="P24" s="47" t="inlineStr">
        <is>
          <t>https://www.colgate.com/en-my/products/toothbrush/colgate-proclinical-150-deepclean-battery-powered-toothbrush</t>
        </is>
      </c>
      <c r="Q24" s="47" t="inlineStr">
        <is>
          <t>https://www.colgate.com/en-my/products/toothbrush/colgate-proclinical-150-charcoal-battery-powered-toothbrush</t>
        </is>
      </c>
      <c r="R24" s="48" t="inlineStr">
        <is>
          <t>2026-09-03</t>
        </is>
      </c>
      <c r="S24" s="45" t="inlineStr">
        <is>
          <t>Tête de rechange du segment brosses à piles, benchmark du prix par tête en entrée de gamme.</t>
        </is>
      </c>
    </row>
    <row r="25">
      <c r="A25" s="49" t="inlineStr">
        <is>
          <t>OB_CROSSACTION</t>
        </is>
      </c>
      <c r="B25" s="49" t="inlineStr">
        <is>
          <t>Oral-B</t>
        </is>
      </c>
      <c r="C25" s="49" t="inlineStr">
        <is>
          <t>CrossAction X-Filaments (pack de 3)</t>
        </is>
      </c>
      <c r="D25" s="49" t="inlineStr">
        <is>
          <t>Tête de rechange</t>
        </is>
      </c>
      <c r="E25" s="49" t="inlineStr">
        <is>
          <t>Tête rotative</t>
        </is>
      </c>
      <c r="F25" s="50" t="inlineStr">
        <is>
          <t>N/D</t>
        </is>
      </c>
      <c r="G25" s="50" t="inlineStr">
        <is>
          <t>N/D</t>
        </is>
      </c>
      <c r="H25" s="50" t="inlineStr">
        <is>
          <t>N/D</t>
        </is>
      </c>
      <c r="I25" s="50" t="inlineStr">
        <is>
          <t>N/D</t>
        </is>
      </c>
      <c r="J25" s="50" t="inlineStr">
        <is>
          <t>N/D</t>
        </is>
      </c>
      <c r="K25" s="50" t="inlineStr">
        <is>
          <t>N/D</t>
        </is>
      </c>
      <c r="L25" s="51" t="inlineStr">
        <is>
          <t>N/D</t>
        </is>
      </c>
      <c r="M25" s="50" t="inlineStr">
        <is>
          <t>N/D</t>
        </is>
      </c>
      <c r="N25" s="49" t="inlineStr">
        <is>
          <t>CI vérifié (Jumia, rayon têtes de remplacement Oral-B). SN vérifié pour la marque. BF, CM, BJ non vérifiés.</t>
        </is>
      </c>
      <c r="O25" s="49" t="inlineStr">
        <is>
          <t>Jumia CI, pharmacies, GMS</t>
        </is>
      </c>
      <c r="P25" s="52" t="inlineStr">
        <is>
          <t>https://oralb.com/en-us/products/replacement-brush-heads/oral-b-crossaction-x-filaments-replacement-brush-heads-refill-black-3-count/</t>
        </is>
      </c>
      <c r="Q25" s="52" t="inlineStr">
        <is>
          <t>https://www.amazon.com/clp/B077B5GCF8</t>
        </is>
      </c>
      <c r="R25" s="53" t="inlineStr">
        <is>
          <t>2026-09-03</t>
        </is>
      </c>
      <c r="S25" s="49" t="inlineStr">
        <is>
          <t>Brins en X inclinés à 16 degrés. Benchmark du prix par tête sur le segment rotatif.</t>
        </is>
      </c>
    </row>
    <row r="26">
      <c r="A26" s="45" t="inlineStr">
        <is>
          <t>SONICARE_C3</t>
        </is>
      </c>
      <c r="B26" s="45" t="inlineStr">
        <is>
          <t>Philips</t>
        </is>
      </c>
      <c r="C26" s="45" t="inlineStr">
        <is>
          <t>Sonicare C3 Premium Plaque Control (pack de 4)</t>
        </is>
      </c>
      <c r="D26" s="45" t="inlineStr">
        <is>
          <t>Tête de rechange</t>
        </is>
      </c>
      <c r="E26" s="45" t="inlineStr">
        <is>
          <t>Tête sonique standard</t>
        </is>
      </c>
      <c r="F26" s="54" t="inlineStr">
        <is>
          <t>N/D</t>
        </is>
      </c>
      <c r="G26" s="54" t="inlineStr">
        <is>
          <t>N/D</t>
        </is>
      </c>
      <c r="H26" s="54" t="inlineStr">
        <is>
          <t>N/D</t>
        </is>
      </c>
      <c r="I26" s="54" t="inlineStr">
        <is>
          <t>N/D</t>
        </is>
      </c>
      <c r="J26" s="54" t="inlineStr">
        <is>
          <t>N/D</t>
        </is>
      </c>
      <c r="K26" s="54" t="inlineStr">
        <is>
          <t>N/D</t>
        </is>
      </c>
      <c r="L26" s="46" t="inlineStr">
        <is>
          <t>N/D</t>
        </is>
      </c>
      <c r="M26" s="54" t="inlineStr">
        <is>
          <t>N/D</t>
        </is>
      </c>
      <c r="N26" s="45" t="inlineStr">
        <is>
          <t>Non vérifié sur CI, SN, BF, CM, BJ.</t>
        </is>
      </c>
      <c r="O26" s="45" t="inlineStr">
        <is>
          <t>Noon UAE, pharmacies</t>
        </is>
      </c>
      <c r="P26" s="47" t="inlineStr">
        <is>
          <t>https://www.usa.philips.com/c-p/HX6810_50/sonicare-protectiveclean-4100-sonic-electric-toothbrush/partsandaccessories</t>
        </is>
      </c>
      <c r="Q26" s="47" t="inlineStr">
        <is>
          <t>https://www.ebay.com/itm/277611730525</t>
        </is>
      </c>
      <c r="R26" s="48" t="inlineStr">
        <is>
          <t>2026-09-03</t>
        </is>
      </c>
      <c r="S26" s="45" t="inlineStr">
        <is>
          <t>Tête à puce BrushSync. Benchmark du prix par tête sur le segment sonique premium.</t>
        </is>
      </c>
    </row>
    <row r="27">
      <c r="A27" s="49" t="inlineStr">
        <is>
          <t>USMILE_HEADS</t>
        </is>
      </c>
      <c r="B27" s="49" t="inlineStr">
        <is>
          <t>usmile</t>
        </is>
      </c>
      <c r="C27" s="49" t="inlineStr">
        <is>
          <t>Têtes de rechange P1 / Y1S / U3 / P4</t>
        </is>
      </c>
      <c r="D27" s="49" t="inlineStr">
        <is>
          <t>Tête de rechange</t>
        </is>
      </c>
      <c r="E27" s="49" t="inlineStr">
        <is>
          <t>Tête sonique avec brins témoins d'usure</t>
        </is>
      </c>
      <c r="F27" s="50" t="inlineStr">
        <is>
          <t>N/D</t>
        </is>
      </c>
      <c r="G27" s="50" t="inlineStr">
        <is>
          <t>N/D</t>
        </is>
      </c>
      <c r="H27" s="50" t="inlineStr">
        <is>
          <t>N/D</t>
        </is>
      </c>
      <c r="I27" s="50" t="inlineStr">
        <is>
          <t>N/D</t>
        </is>
      </c>
      <c r="J27" s="50" t="inlineStr">
        <is>
          <t>N/D</t>
        </is>
      </c>
      <c r="K27" s="50" t="inlineStr">
        <is>
          <t>N/D</t>
        </is>
      </c>
      <c r="L27" s="51" t="inlineStr">
        <is>
          <t>N/D</t>
        </is>
      </c>
      <c r="M27" s="50" t="inlineStr">
        <is>
          <t>N/D</t>
        </is>
      </c>
      <c r="N27" s="49" t="inlineStr">
        <is>
          <t>Non vérifié sur CI, SN, BF, CM, BJ.</t>
        </is>
      </c>
      <c r="O27" s="49" t="inlineStr">
        <is>
          <t>Marketplaces</t>
        </is>
      </c>
      <c r="P27" s="52" t="inlineStr">
        <is>
          <t>https://www.amazon.com/usmile-Replacement-Toothbrush-Electric-Reminder/dp/B09D3SHP7K</t>
        </is>
      </c>
      <c r="Q27" s="52" t="inlineStr">
        <is>
          <t>https://usmile.us/products/usmile-whitening-brush-head-2-packs</t>
        </is>
      </c>
      <c r="R27" s="53" t="inlineStr">
        <is>
          <t>2026-09-03</t>
        </is>
      </c>
      <c r="S27" s="49" t="inlineStr">
        <is>
          <t>Brins témoins qui décolorent à l'usure, argument de renouvellement récurrent.</t>
        </is>
      </c>
    </row>
  </sheetData>
  <autoFilter ref="A1:S27"/>
  <hyperlinks>
    <hyperlink xmlns:r="http://schemas.openxmlformats.org/officeDocument/2006/relationships" ref="P2" r:id="rId1"/>
    <hyperlink xmlns:r="http://schemas.openxmlformats.org/officeDocument/2006/relationships" ref="Q2" r:id="rId2"/>
    <hyperlink xmlns:r="http://schemas.openxmlformats.org/officeDocument/2006/relationships" ref="P3" r:id="rId3"/>
    <hyperlink xmlns:r="http://schemas.openxmlformats.org/officeDocument/2006/relationships" ref="Q3" r:id="rId4"/>
    <hyperlink xmlns:r="http://schemas.openxmlformats.org/officeDocument/2006/relationships" ref="P4" r:id="rId5"/>
    <hyperlink xmlns:r="http://schemas.openxmlformats.org/officeDocument/2006/relationships" ref="Q4" r:id="rId6"/>
    <hyperlink xmlns:r="http://schemas.openxmlformats.org/officeDocument/2006/relationships" ref="P5" r:id="rId7"/>
    <hyperlink xmlns:r="http://schemas.openxmlformats.org/officeDocument/2006/relationships" ref="Q5" r:id="rId8"/>
    <hyperlink xmlns:r="http://schemas.openxmlformats.org/officeDocument/2006/relationships" ref="P6" r:id="rId9"/>
    <hyperlink xmlns:r="http://schemas.openxmlformats.org/officeDocument/2006/relationships" ref="Q6" r:id="rId10"/>
    <hyperlink xmlns:r="http://schemas.openxmlformats.org/officeDocument/2006/relationships" ref="P7" r:id="rId11"/>
    <hyperlink xmlns:r="http://schemas.openxmlformats.org/officeDocument/2006/relationships" ref="Q7" r:id="rId12"/>
    <hyperlink xmlns:r="http://schemas.openxmlformats.org/officeDocument/2006/relationships" ref="P8" r:id="rId13"/>
    <hyperlink xmlns:r="http://schemas.openxmlformats.org/officeDocument/2006/relationships" ref="Q8" r:id="rId14"/>
    <hyperlink xmlns:r="http://schemas.openxmlformats.org/officeDocument/2006/relationships" ref="P9" r:id="rId15"/>
    <hyperlink xmlns:r="http://schemas.openxmlformats.org/officeDocument/2006/relationships" ref="Q9" r:id="rId16"/>
    <hyperlink xmlns:r="http://schemas.openxmlformats.org/officeDocument/2006/relationships" ref="P10" r:id="rId17"/>
    <hyperlink xmlns:r="http://schemas.openxmlformats.org/officeDocument/2006/relationships" ref="Q10" r:id="rId18"/>
    <hyperlink xmlns:r="http://schemas.openxmlformats.org/officeDocument/2006/relationships" ref="P11" r:id="rId19"/>
    <hyperlink xmlns:r="http://schemas.openxmlformats.org/officeDocument/2006/relationships" ref="Q11" r:id="rId20"/>
    <hyperlink xmlns:r="http://schemas.openxmlformats.org/officeDocument/2006/relationships" ref="P12" r:id="rId21"/>
    <hyperlink xmlns:r="http://schemas.openxmlformats.org/officeDocument/2006/relationships" ref="Q12" r:id="rId22"/>
    <hyperlink xmlns:r="http://schemas.openxmlformats.org/officeDocument/2006/relationships" ref="P13" r:id="rId23"/>
    <hyperlink xmlns:r="http://schemas.openxmlformats.org/officeDocument/2006/relationships" ref="Q13" r:id="rId24"/>
    <hyperlink xmlns:r="http://schemas.openxmlformats.org/officeDocument/2006/relationships" ref="P14" r:id="rId25"/>
    <hyperlink xmlns:r="http://schemas.openxmlformats.org/officeDocument/2006/relationships" ref="Q14" r:id="rId26"/>
    <hyperlink xmlns:r="http://schemas.openxmlformats.org/officeDocument/2006/relationships" ref="P15" r:id="rId27"/>
    <hyperlink xmlns:r="http://schemas.openxmlformats.org/officeDocument/2006/relationships" ref="Q15" r:id="rId28"/>
    <hyperlink xmlns:r="http://schemas.openxmlformats.org/officeDocument/2006/relationships" ref="P16" r:id="rId29"/>
    <hyperlink xmlns:r="http://schemas.openxmlformats.org/officeDocument/2006/relationships" ref="Q16" r:id="rId30"/>
    <hyperlink xmlns:r="http://schemas.openxmlformats.org/officeDocument/2006/relationships" ref="P17" r:id="rId31"/>
    <hyperlink xmlns:r="http://schemas.openxmlformats.org/officeDocument/2006/relationships" ref="Q17" r:id="rId32"/>
    <hyperlink xmlns:r="http://schemas.openxmlformats.org/officeDocument/2006/relationships" ref="P18" r:id="rId33"/>
    <hyperlink xmlns:r="http://schemas.openxmlformats.org/officeDocument/2006/relationships" ref="Q18" r:id="rId34"/>
    <hyperlink xmlns:r="http://schemas.openxmlformats.org/officeDocument/2006/relationships" ref="P19" r:id="rId35"/>
    <hyperlink xmlns:r="http://schemas.openxmlformats.org/officeDocument/2006/relationships" ref="Q19" r:id="rId36"/>
    <hyperlink xmlns:r="http://schemas.openxmlformats.org/officeDocument/2006/relationships" ref="P20" r:id="rId37"/>
    <hyperlink xmlns:r="http://schemas.openxmlformats.org/officeDocument/2006/relationships" ref="Q20" r:id="rId38"/>
    <hyperlink xmlns:r="http://schemas.openxmlformats.org/officeDocument/2006/relationships" ref="P21" r:id="rId39"/>
    <hyperlink xmlns:r="http://schemas.openxmlformats.org/officeDocument/2006/relationships" ref="Q21" r:id="rId40"/>
    <hyperlink xmlns:r="http://schemas.openxmlformats.org/officeDocument/2006/relationships" ref="P22" r:id="rId41"/>
    <hyperlink xmlns:r="http://schemas.openxmlformats.org/officeDocument/2006/relationships" ref="Q22" r:id="rId42"/>
    <hyperlink xmlns:r="http://schemas.openxmlformats.org/officeDocument/2006/relationships" ref="P23" r:id="rId43"/>
    <hyperlink xmlns:r="http://schemas.openxmlformats.org/officeDocument/2006/relationships" ref="Q23" r:id="rId44"/>
    <hyperlink xmlns:r="http://schemas.openxmlformats.org/officeDocument/2006/relationships" ref="P24" r:id="rId45"/>
    <hyperlink xmlns:r="http://schemas.openxmlformats.org/officeDocument/2006/relationships" ref="Q24" r:id="rId46"/>
    <hyperlink xmlns:r="http://schemas.openxmlformats.org/officeDocument/2006/relationships" ref="P25" r:id="rId47"/>
    <hyperlink xmlns:r="http://schemas.openxmlformats.org/officeDocument/2006/relationships" ref="Q25" r:id="rId48"/>
    <hyperlink xmlns:r="http://schemas.openxmlformats.org/officeDocument/2006/relationships" ref="P26" r:id="rId49"/>
    <hyperlink xmlns:r="http://schemas.openxmlformats.org/officeDocument/2006/relationships" ref="Q26" r:id="rId50"/>
    <hyperlink xmlns:r="http://schemas.openxmlformats.org/officeDocument/2006/relationships" ref="P27" r:id="rId51"/>
    <hyperlink xmlns:r="http://schemas.openxmlformats.org/officeDocument/2006/relationships" ref="Q27" r:id="rId5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9"/>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16" customWidth="1" min="2" max="2"/>
    <col width="42" customWidth="1" min="3" max="3"/>
    <col width="18" customWidth="1" min="4" max="4"/>
    <col width="58" customWidth="1" min="5" max="5"/>
    <col width="40" customWidth="1" min="6" max="6"/>
    <col width="14" customWidth="1" min="7" max="7"/>
    <col width="16" customWidth="1" min="8" max="8"/>
    <col width="58" customWidth="1" min="9" max="9"/>
    <col width="40" customWidth="1" min="10" max="10"/>
    <col width="14" customWidth="1" min="11" max="11"/>
    <col width="16" customWidth="1" min="12" max="12"/>
    <col width="18" customWidth="1" min="13" max="13"/>
    <col width="40" customWidth="1" min="14" max="14"/>
  </cols>
  <sheetData>
    <row r="1" ht="46" customHeight="1">
      <c r="A1" s="55" t="inlineStr">
        <is>
          <t>Marché de référence utilisé dans les onglets produits :</t>
        </is>
      </c>
      <c r="B1" s="56" t="inlineStr">
        <is>
          <t>CI</t>
        </is>
      </c>
      <c r="C1" s="2" t="inlineStr">
        <is>
          <t>Saisir les prix relevés dans les colonnes G (Côte d'Ivoire) et K (Sénégal). Le prix se propage automatiquement sur les 186 lignes des onglets produits via la clé concurrent, et les écarts se calculent seuls. Aucun prix n'a pu être relevé automatiquement : la politique réseau de la session bloque l'accès aux sites marchands.</t>
        </is>
      </c>
    </row>
    <row r="3" ht="46" customHeight="1">
      <c r="A3" s="10" t="inlineStr">
        <is>
          <t>Clé concurrent</t>
        </is>
      </c>
      <c r="B3" s="10" t="inlineStr">
        <is>
          <t>Marque</t>
        </is>
      </c>
      <c r="C3" s="10" t="inlineStr">
        <is>
          <t>Modèle</t>
        </is>
      </c>
      <c r="D3" s="10" t="inlineStr">
        <is>
          <t>Catégorie</t>
        </is>
      </c>
      <c r="E3" s="10" t="inlineStr">
        <is>
          <t>Lien produit ou recherche Côte d'Ivoire</t>
        </is>
      </c>
      <c r="F3" s="10" t="inlineStr">
        <is>
          <t>Statut du lien CI</t>
        </is>
      </c>
      <c r="G3" s="11" t="inlineStr">
        <is>
          <t>Prix CI (XOF)</t>
        </is>
      </c>
      <c r="H3" s="11" t="inlineStr">
        <is>
          <t>Date du relevé CI</t>
        </is>
      </c>
      <c r="I3" s="10" t="inlineStr">
        <is>
          <t>Lien produit ou recherche Sénégal</t>
        </is>
      </c>
      <c r="J3" s="10" t="inlineStr">
        <is>
          <t>Statut du lien SN</t>
        </is>
      </c>
      <c r="K3" s="11" t="inlineStr">
        <is>
          <t>Prix SN (XOF)</t>
        </is>
      </c>
      <c r="L3" s="11" t="inlineStr">
        <is>
          <t>Date du relevé SN</t>
        </is>
      </c>
      <c r="M3" s="11" t="inlineStr">
        <is>
          <t>Releveur</t>
        </is>
      </c>
      <c r="N3" s="11" t="inlineStr">
        <is>
          <t>Notes</t>
        </is>
      </c>
    </row>
    <row r="4">
      <c r="A4" s="57" t="inlineStr">
        <is>
          <t>ADDIGOES</t>
        </is>
      </c>
      <c r="B4" s="57" t="inlineStr">
        <is>
          <t>Addigoes (marketplace)</t>
        </is>
      </c>
      <c r="C4" s="57" t="inlineStr">
        <is>
          <t>Brosse sonique USB 6 modes, 4 têtes</t>
        </is>
      </c>
      <c r="D4" s="57" t="inlineStr">
        <is>
          <t>Brosse à dents</t>
        </is>
      </c>
      <c r="E4" s="58" t="inlineStr">
        <is>
          <t>https://www.jumia.ci/addigoes-brosse-a-dents-electrique-sonique-rechargeable-usb-6-modes-etanche-haute-frequence-4-tetes-de-brosse-nettoyage-dentaire-professionnel-noir-30497266.html</t>
        </is>
      </c>
      <c r="F4" s="57" t="inlineStr">
        <is>
          <t>Lien produit vérifié</t>
        </is>
      </c>
      <c r="G4" s="59" t="n"/>
      <c r="H4" s="60" t="n"/>
      <c r="I4" s="58" t="inlineStr">
        <is>
          <t>https://www.jumia.sn/generic-brosse-a-dents-electrique-sonique-x3-avec-8-tetes-de-brosse-support-etui-de-voyage-noir-12293395.html</t>
        </is>
      </c>
      <c r="J4" s="57" t="inlineStr">
        <is>
          <t>Lien produit vérifié (équivalent générique)</t>
        </is>
      </c>
      <c r="K4" s="59" t="n"/>
      <c r="L4" s="60" t="n"/>
      <c r="M4" s="61" t="n"/>
      <c r="N4" s="61" t="inlineStr">
        <is>
          <t>Amplitude 6 mm annoncée et pack 4 têtes, concurrent frontal des SEAGO à moteur magnétique.</t>
        </is>
      </c>
    </row>
    <row r="5">
      <c r="A5" s="57" t="inlineStr">
        <is>
          <t>COLGATE_150</t>
        </is>
      </c>
      <c r="B5" s="57" t="inlineStr">
        <is>
          <t>Colgate</t>
        </is>
      </c>
      <c r="C5" s="57" t="inlineStr">
        <is>
          <t>ProClinical 150 (Charcoal / Deep Clean)</t>
        </is>
      </c>
      <c r="D5" s="57" t="inlineStr">
        <is>
          <t>Brosse à dents</t>
        </is>
      </c>
      <c r="E5" s="58" t="inlineStr">
        <is>
          <t>https://www.jumia.ci/brosses-dents-brosses-dents-electriques/</t>
        </is>
      </c>
      <c r="F5" s="57" t="inlineStr">
        <is>
          <t>Lien de catégorie vérifié, produit à rechercher</t>
        </is>
      </c>
      <c r="G5" s="59" t="n"/>
      <c r="H5" s="60" t="n"/>
      <c r="I5" s="58" t="inlineStr">
        <is>
          <t>https://www.jumia.sn/brosses-dents-brosses-dents-electriques/</t>
        </is>
      </c>
      <c r="J5" s="57" t="inlineStr">
        <is>
          <t>Lien de catégorie vérifié, produit à rechercher</t>
        </is>
      </c>
      <c r="K5" s="59" t="n"/>
      <c r="L5" s="60" t="n"/>
      <c r="M5" s="61" t="n"/>
      <c r="N5" s="61" t="inlineStr">
        <is>
          <t>Concurrent de référence du segment SEAGO à piles : marque installée, prix d'entrée, tête remplaçable.</t>
        </is>
      </c>
    </row>
    <row r="6">
      <c r="A6" s="57" t="inlineStr">
        <is>
          <t>FW_D7</t>
        </is>
      </c>
      <c r="B6" s="57" t="inlineStr">
        <is>
          <t>Fairywill</t>
        </is>
      </c>
      <c r="C6" s="57" t="inlineStr">
        <is>
          <t>D7 Sonic (4 têtes)</t>
        </is>
      </c>
      <c r="D6" s="57" t="inlineStr">
        <is>
          <t>Brosse à dents</t>
        </is>
      </c>
      <c r="E6" s="58" t="inlineStr">
        <is>
          <t>https://www.jumia.ci/brosses-dents-brosses-dents-electriques/</t>
        </is>
      </c>
      <c r="F6" s="57" t="inlineStr">
        <is>
          <t>Lien de catégorie vérifié, produit à rechercher</t>
        </is>
      </c>
      <c r="G6" s="59" t="n"/>
      <c r="H6" s="60" t="n"/>
      <c r="I6" s="58" t="inlineStr">
        <is>
          <t>https://www.jumia.sn/brosses-dents-brosses-dents-electriques/</t>
        </is>
      </c>
      <c r="J6" s="57" t="inlineStr">
        <is>
          <t>Lien de catégorie vérifié, produit à rechercher</t>
        </is>
      </c>
      <c r="K6" s="59" t="n"/>
      <c r="L6" s="60" t="n"/>
      <c r="M6" s="61" t="n"/>
      <c r="N6" s="61" t="inlineStr">
        <is>
          <t>Pack manche + 4 têtes, équivalent des packs SEAGO 1 brosse + 3 têtes.</t>
        </is>
      </c>
    </row>
    <row r="7">
      <c r="A7" s="57" t="inlineStr">
        <is>
          <t>FW507</t>
        </is>
      </c>
      <c r="B7" s="57" t="inlineStr">
        <is>
          <t>Fairywill</t>
        </is>
      </c>
      <c r="C7" s="57" t="inlineStr">
        <is>
          <t>FW-507 Sonic</t>
        </is>
      </c>
      <c r="D7" s="57" t="inlineStr">
        <is>
          <t>Brosse à dents</t>
        </is>
      </c>
      <c r="E7" s="58" t="inlineStr">
        <is>
          <t>https://www.jumia.ci/brosses-dents-brosses-dents-electriques/</t>
        </is>
      </c>
      <c r="F7" s="57" t="inlineStr">
        <is>
          <t>Lien de catégorie vérifié, produit à rechercher</t>
        </is>
      </c>
      <c r="G7" s="59" t="n"/>
      <c r="H7" s="60" t="n"/>
      <c r="I7" s="58" t="inlineStr">
        <is>
          <t>https://www.jumia.sn/brosses-dents-brosses-dents-electriques/</t>
        </is>
      </c>
      <c r="J7" s="57" t="inlineStr">
        <is>
          <t>Lien de catégorie vérifié, produit à rechercher</t>
        </is>
      </c>
      <c r="K7" s="59" t="n"/>
      <c r="L7" s="60" t="n"/>
      <c r="M7" s="61" t="n"/>
      <c r="N7" s="61" t="inlineStr">
        <is>
          <t>Concurrent le plus proche du coeur de gamme SEAGO : mêmes 5 modes, même fréquence, même architecture USB.</t>
        </is>
      </c>
    </row>
    <row r="8">
      <c r="A8" s="57" t="inlineStr">
        <is>
          <t>GEN_JUMIA_CI</t>
        </is>
      </c>
      <c r="B8" s="57" t="inlineStr">
        <is>
          <t>Generic (marketplace)</t>
        </is>
      </c>
      <c r="C8" s="57" t="inlineStr">
        <is>
          <t>Brosse à dents électrique intelligente ultra sonique</t>
        </is>
      </c>
      <c r="D8" s="57" t="inlineStr">
        <is>
          <t>Brosse à dents</t>
        </is>
      </c>
      <c r="E8" s="58" t="inlineStr">
        <is>
          <t>https://www.jumia.ci/generic-brosse-a-dents-electrique-intelligente-ultra-sonique-bleuvert-20003595.html</t>
        </is>
      </c>
      <c r="F8" s="57" t="inlineStr">
        <is>
          <t>Lien produit vérifié</t>
        </is>
      </c>
      <c r="G8" s="59" t="n"/>
      <c r="H8" s="60" t="n"/>
      <c r="I8" s="58" t="inlineStr">
        <is>
          <t>https://www.jumia.sn/generic-brosse-a-dents-electrique-sonique-x3-avec-8-tetes-de-brosse-support-etui-de-voyage-noir-12293395.html</t>
        </is>
      </c>
      <c r="J8" s="57" t="inlineStr">
        <is>
          <t>Lien produit vérifié (équivalent générique)</t>
        </is>
      </c>
      <c r="K8" s="59" t="n"/>
      <c r="L8" s="60" t="n"/>
      <c r="M8" s="61" t="n"/>
      <c r="N8" s="61" t="inlineStr">
        <is>
          <t>Offre sans marque la plus visible sur Jumia CI, référence du plancher de prix du marché ivoirien.</t>
        </is>
      </c>
    </row>
    <row r="9">
      <c r="A9" s="57" t="inlineStr">
        <is>
          <t>OCLEAN_XPRO</t>
        </is>
      </c>
      <c r="B9" s="57" t="inlineStr">
        <is>
          <t>Oclean</t>
        </is>
      </c>
      <c r="C9" s="57" t="inlineStr">
        <is>
          <t>X Pro Elite</t>
        </is>
      </c>
      <c r="D9" s="57" t="inlineStr">
        <is>
          <t>Brosse à dents</t>
        </is>
      </c>
      <c r="E9" s="58" t="inlineStr">
        <is>
          <t>https://www.jumia.ci/brosses-dents-brosses-dents-electriques/</t>
        </is>
      </c>
      <c r="F9" s="57" t="inlineStr">
        <is>
          <t>Lien de catégorie vérifié, produit à rechercher</t>
        </is>
      </c>
      <c r="G9" s="59" t="n"/>
      <c r="H9" s="60" t="n"/>
      <c r="I9" s="58" t="inlineStr">
        <is>
          <t>https://www.jumia.sn/brosses-dents-brosses-dents-electriques/</t>
        </is>
      </c>
      <c r="J9" s="57" t="inlineStr">
        <is>
          <t>Lien de catégorie vérifié, produit à rechercher</t>
        </is>
      </c>
      <c r="K9" s="59" t="n"/>
      <c r="L9" s="60" t="n"/>
      <c r="M9" s="61" t="n"/>
      <c r="N9" s="61" t="inlineStr">
        <is>
          <t>Écran tactile couleur et pilotage par application, équivalent des SEAGO à écran LCD.</t>
        </is>
      </c>
    </row>
    <row r="10">
      <c r="A10" s="57" t="inlineStr">
        <is>
          <t>OB_KIDS_PILE</t>
        </is>
      </c>
      <c r="B10" s="57" t="inlineStr">
        <is>
          <t>Oral-B</t>
        </is>
      </c>
      <c r="C10" s="57" t="inlineStr">
        <is>
          <t>Kids Battery Disney (Frozen / Princess)</t>
        </is>
      </c>
      <c r="D10" s="57" t="inlineStr">
        <is>
          <t>Brosse à dents</t>
        </is>
      </c>
      <c r="E10" s="58" t="inlineStr">
        <is>
          <t>https://www.jumia.ci/brand-oral-b/</t>
        </is>
      </c>
      <c r="F10" s="57" t="inlineStr">
        <is>
          <t>Lien de marque vérifié, produit à rechercher</t>
        </is>
      </c>
      <c r="G10" s="59" t="n"/>
      <c r="H10" s="60" t="n"/>
      <c r="I10" s="58" t="inlineStr">
        <is>
          <t>https://www.jumia.sn/brosse-a-dents/</t>
        </is>
      </c>
      <c r="J10" s="57" t="inlineStr">
        <is>
          <t>Lien de catégorie vérifié, produit à rechercher</t>
        </is>
      </c>
      <c r="K10" s="59" t="n"/>
      <c r="L10" s="60" t="n"/>
      <c r="M10" s="61" t="n"/>
      <c r="N10" s="61" t="inlineStr">
        <is>
          <t>Tête extra-souple, application Disney Magic Timer. Concurrent direct des SEAGO enfant à piles.</t>
        </is>
      </c>
    </row>
    <row r="11">
      <c r="A11" s="57" t="inlineStr">
        <is>
          <t>OB_KIDS_RECH</t>
        </is>
      </c>
      <c r="B11" s="57" t="inlineStr">
        <is>
          <t>Oral-B</t>
        </is>
      </c>
      <c r="C11" s="57" t="inlineStr">
        <is>
          <t>Kids rechargeable Disney Frozen</t>
        </is>
      </c>
      <c r="D11" s="57" t="inlineStr">
        <is>
          <t>Brosse à dents</t>
        </is>
      </c>
      <c r="E11" s="58" t="inlineStr">
        <is>
          <t>https://www.jumia.ci/brand-oral-b/</t>
        </is>
      </c>
      <c r="F11" s="57" t="inlineStr">
        <is>
          <t>Lien de marque vérifié, produit à rechercher</t>
        </is>
      </c>
      <c r="G11" s="59" t="n"/>
      <c r="H11" s="60" t="n"/>
      <c r="I11" s="58" t="inlineStr">
        <is>
          <t>https://www.jumia.sn/brosse-a-dents/</t>
        </is>
      </c>
      <c r="J11" s="57" t="inlineStr">
        <is>
          <t>Lien de catégorie vérifié, produit à rechercher</t>
        </is>
      </c>
      <c r="K11" s="59" t="n"/>
      <c r="L11" s="60" t="n"/>
      <c r="M11" s="61" t="n"/>
      <c r="N11" s="61" t="inlineStr">
        <is>
          <t>Version rechargeable de la gamme enfant Oral-B, autonomie annoncée autour de 8 jours.</t>
        </is>
      </c>
    </row>
    <row r="12">
      <c r="A12" s="57" t="inlineStr">
        <is>
          <t>PRO3</t>
        </is>
      </c>
      <c r="B12" s="57" t="inlineStr">
        <is>
          <t>Oral-B</t>
        </is>
      </c>
      <c r="C12" s="57" t="inlineStr">
        <is>
          <t>Pro 3 3000</t>
        </is>
      </c>
      <c r="D12" s="57" t="inlineStr">
        <is>
          <t>Brosse à dents</t>
        </is>
      </c>
      <c r="E12" s="58" t="inlineStr">
        <is>
          <t>https://www.jumia.ci/oral-b-brosse-a-dents-electrique-pro-series-1-31878636.html</t>
        </is>
      </c>
      <c r="F12" s="57" t="inlineStr">
        <is>
          <t>Lien produit vérifié</t>
        </is>
      </c>
      <c r="G12" s="59" t="n"/>
      <c r="H12" s="60" t="n"/>
      <c r="I12" s="58" t="inlineStr">
        <is>
          <t>https://www.jumia.sn/brosses-dents-brosses-dents-electriques/</t>
        </is>
      </c>
      <c r="J12" s="57" t="inlineStr">
        <is>
          <t>Lien de catégorie vérifié, produit à rechercher</t>
        </is>
      </c>
      <c r="K12" s="59" t="n"/>
      <c r="L12" s="60" t="n"/>
      <c r="M12" s="61" t="n"/>
      <c r="N12" s="61" t="inlineStr">
        <is>
          <t>Nombre de modes variable selon le pays de commercialisation, à confirmer sur la fiche locale.</t>
        </is>
      </c>
    </row>
    <row r="13">
      <c r="A13" s="57" t="inlineStr">
        <is>
          <t>VITALITY</t>
        </is>
      </c>
      <c r="B13" s="57" t="inlineStr">
        <is>
          <t>Oral-B</t>
        </is>
      </c>
      <c r="C13" s="57" t="inlineStr">
        <is>
          <t>Vitality 100 CrossAction</t>
        </is>
      </c>
      <c r="D13" s="57" t="inlineStr">
        <is>
          <t>Brosse à dents</t>
        </is>
      </c>
      <c r="E13" s="58" t="inlineStr">
        <is>
          <t>https://www.jumia.ci/oral-b-vitality-pro-brosse-a-dents-electrique-noire-3-modes-de-nettoyage-avec-sensibilite-plus-1-brossette-de-rechange-1-chargeur-31949657.html</t>
        </is>
      </c>
      <c r="F13" s="57" t="inlineStr">
        <is>
          <t>Lien produit vérifié</t>
        </is>
      </c>
      <c r="G13" s="59" t="n"/>
      <c r="H13" s="60" t="n"/>
      <c r="I13" s="58" t="inlineStr">
        <is>
          <t>https://www.jumia.sn/oral-b-brosse-a-dents-electrique-serie-oral-b-vitalite-d12-ensemble-au-choix-avec-remplacements-appropries-oscillation-rotation-de-la-tete-de-brosse4-heads-eb50-2762041.html</t>
        </is>
      </c>
      <c r="J13" s="57" t="inlineStr">
        <is>
          <t>Lien produit vérifié</t>
        </is>
      </c>
      <c r="K13" s="59" t="n"/>
      <c r="L13" s="60" t="n"/>
      <c r="M13" s="61" t="n"/>
      <c r="N13" s="61" t="inlineStr">
        <is>
          <t>Entrée de gamme rotative la plus distribuée. Minuteur 2 min avec quadpacer 30 s.</t>
        </is>
      </c>
    </row>
    <row r="14">
      <c r="A14" s="57" t="inlineStr">
        <is>
          <t>IO3</t>
        </is>
      </c>
      <c r="B14" s="57" t="inlineStr">
        <is>
          <t>Oral-B</t>
        </is>
      </c>
      <c r="C14" s="57" t="inlineStr">
        <is>
          <t>iO Series 3</t>
        </is>
      </c>
      <c r="D14" s="57" t="inlineStr">
        <is>
          <t>Brosse à dents</t>
        </is>
      </c>
      <c r="E14" s="58" t="inlineStr">
        <is>
          <t>https://www.jumia.ci/slp/brosse-a-dents-electrique-oral-b-io3</t>
        </is>
      </c>
      <c r="F14" s="57" t="inlineStr">
        <is>
          <t>Lien produit vérifié</t>
        </is>
      </c>
      <c r="G14" s="59" t="n"/>
      <c r="H14" s="60" t="n"/>
      <c r="I14" s="58" t="inlineStr">
        <is>
          <t>https://www.jumia.sn/brosses-dents-brosses-dents-electriques/</t>
        </is>
      </c>
      <c r="J14" s="57" t="inlineStr">
        <is>
          <t>Lien de catégorie vérifié, produit à rechercher</t>
        </is>
      </c>
      <c r="K14" s="59" t="n"/>
      <c r="L14" s="60" t="n"/>
      <c r="M14" s="61" t="n"/>
      <c r="N14" s="61" t="inlineStr">
        <is>
          <t>Capteur de pression tricolore, équivalent direct des modèles SEAGO à écran et capteur.</t>
        </is>
      </c>
    </row>
    <row r="15">
      <c r="A15" s="57" t="inlineStr">
        <is>
          <t>SONICARE_KIDS</t>
        </is>
      </c>
      <c r="B15" s="57" t="inlineStr">
        <is>
          <t>Philips</t>
        </is>
      </c>
      <c r="C15" s="57" t="inlineStr">
        <is>
          <t>Sonicare For Kids HX6321/02</t>
        </is>
      </c>
      <c r="D15" s="57" t="inlineStr">
        <is>
          <t>Brosse à dents</t>
        </is>
      </c>
      <c r="E15" s="58" t="inlineStr">
        <is>
          <t>https://www.jumia.ci/brosses-dents-brosses-dents-electriques/</t>
        </is>
      </c>
      <c r="F15" s="57" t="inlineStr">
        <is>
          <t>Lien de catégorie vérifié, produit à rechercher</t>
        </is>
      </c>
      <c r="G15" s="59" t="n"/>
      <c r="H15" s="60" t="n"/>
      <c r="I15" s="58" t="inlineStr">
        <is>
          <t>https://www.jumia.sn/brosses-dents-brosses-dents-electriques/</t>
        </is>
      </c>
      <c r="J15" s="57" t="inlineStr">
        <is>
          <t>Lien de catégorie vérifié, produit à rechercher</t>
        </is>
      </c>
      <c r="K15" s="59" t="n"/>
      <c r="L15" s="60" t="n"/>
      <c r="M15" s="61" t="n"/>
      <c r="N15" s="61" t="inlineStr">
        <is>
          <t>Connectivité Bluetooth et application de coaching enfant. Indicateur de batterie.</t>
        </is>
      </c>
    </row>
    <row r="16">
      <c r="A16" s="57" t="inlineStr">
        <is>
          <t>SONICARE_4100</t>
        </is>
      </c>
      <c r="B16" s="57" t="inlineStr">
        <is>
          <t>Philips</t>
        </is>
      </c>
      <c r="C16" s="57" t="inlineStr">
        <is>
          <t>Sonicare ProtectiveClean 4100 (HX6817)</t>
        </is>
      </c>
      <c r="D16" s="57" t="inlineStr">
        <is>
          <t>Brosse à dents</t>
        </is>
      </c>
      <c r="E16" s="58" t="inlineStr">
        <is>
          <t>https://www.jumia.ci/brosses-dents-brosses-dents-electriques/</t>
        </is>
      </c>
      <c r="F16" s="57" t="inlineStr">
        <is>
          <t>Lien de catégorie vérifié, produit à rechercher</t>
        </is>
      </c>
      <c r="G16" s="59" t="n"/>
      <c r="H16" s="60" t="n"/>
      <c r="I16" s="58" t="inlineStr">
        <is>
          <t>https://www.jumia.sn/brosses-dents-brosses-dents-electriques/</t>
        </is>
      </c>
      <c r="J16" s="57" t="inlineStr">
        <is>
          <t>Lien de catégorie vérifié, produit à rechercher</t>
        </is>
      </c>
      <c r="K16" s="59" t="n"/>
      <c r="L16" s="60" t="n"/>
      <c r="M16" s="61" t="n"/>
      <c r="N16" s="61" t="inlineStr">
        <is>
          <t>Technologie BrushSync (rappel de remplacement de tête). Référence premium du segment sonique.</t>
        </is>
      </c>
    </row>
    <row r="17">
      <c r="A17" s="57" t="inlineStr">
        <is>
          <t>SURI_JUMIA</t>
        </is>
      </c>
      <c r="B17" s="57" t="inlineStr">
        <is>
          <t>Suri (marketplace)</t>
        </is>
      </c>
      <c r="C17" s="57" t="inlineStr">
        <is>
          <t>Brosse à dents électrique sonique durable</t>
        </is>
      </c>
      <c r="D17" s="57" t="inlineStr">
        <is>
          <t>Brosse à dents</t>
        </is>
      </c>
      <c r="E17" s="58" t="inlineStr">
        <is>
          <t>https://www.jumia.ci/slp/brosse-a-dents-electrique-durable-suri</t>
        </is>
      </c>
      <c r="F17" s="57" t="inlineStr">
        <is>
          <t>Lien produit vérifié</t>
        </is>
      </c>
      <c r="G17" s="59" t="n"/>
      <c r="H17" s="60" t="n"/>
      <c r="I17" s="58" t="inlineStr">
        <is>
          <t>https://www.jumia.sn/brosses-dents-brosses-dents-electriques/</t>
        </is>
      </c>
      <c r="J17" s="57" t="inlineStr">
        <is>
          <t>Lien de catégorie vérifié, produit à rechercher</t>
        </is>
      </c>
      <c r="K17" s="59" t="n"/>
      <c r="L17" s="60" t="n"/>
      <c r="M17" s="61" t="n"/>
      <c r="N17" s="61" t="inlineStr">
        <is>
          <t>Offre marketplace au positionnement identique à SEAGO : mêmes specs annoncées, marque non installée.</t>
        </is>
      </c>
    </row>
    <row r="18">
      <c r="A18" s="57" t="inlineStr">
        <is>
          <t>XIAOMI_T500</t>
        </is>
      </c>
      <c r="B18" s="57" t="inlineStr">
        <is>
          <t>Xiaomi</t>
        </is>
      </c>
      <c r="C18" s="57" t="inlineStr">
        <is>
          <t>Mi Smart Electric Toothbrush T500</t>
        </is>
      </c>
      <c r="D18" s="57" t="inlineStr">
        <is>
          <t>Brosse à dents</t>
        </is>
      </c>
      <c r="E18" s="58" t="inlineStr">
        <is>
          <t>https://www.jumia.ci/brosses-dents-brosses-dents-electriques/</t>
        </is>
      </c>
      <c r="F18" s="57" t="inlineStr">
        <is>
          <t>Lien de catégorie vérifié, produit à rechercher</t>
        </is>
      </c>
      <c r="G18" s="59" t="n"/>
      <c r="H18" s="60" t="n"/>
      <c r="I18" s="58" t="inlineStr">
        <is>
          <t>https://www.jumia.sn/brosses-dents-brosses-dents-electriques/</t>
        </is>
      </c>
      <c r="J18" s="57" t="inlineStr">
        <is>
          <t>Lien de catégorie vérifié, produit à rechercher</t>
        </is>
      </c>
      <c r="K18" s="59" t="n"/>
      <c r="L18" s="60" t="n"/>
      <c r="M18" s="61" t="n"/>
      <c r="N18" s="61" t="inlineStr">
        <is>
          <t>Pilotage par application et protection de surpression, positionnement milieu de gamme connecté.</t>
        </is>
      </c>
    </row>
    <row r="19">
      <c r="A19" s="57" t="inlineStr">
        <is>
          <t>USMILE_Y1S</t>
        </is>
      </c>
      <c r="B19" s="57" t="inlineStr">
        <is>
          <t>usmile</t>
        </is>
      </c>
      <c r="C19" s="57" t="inlineStr">
        <is>
          <t>Y1S Sonic</t>
        </is>
      </c>
      <c r="D19" s="57" t="inlineStr">
        <is>
          <t>Brosse à dents</t>
        </is>
      </c>
      <c r="E19" s="58" t="inlineStr">
        <is>
          <t>https://www.jumia.ci/brosses-dents-brosses-dents-electriques/</t>
        </is>
      </c>
      <c r="F19" s="57" t="inlineStr">
        <is>
          <t>Lien de catégorie vérifié, produit à rechercher</t>
        </is>
      </c>
      <c r="G19" s="59" t="n"/>
      <c r="H19" s="60" t="n"/>
      <c r="I19" s="58" t="inlineStr">
        <is>
          <t>https://www.jumia.sn/brosses-dents-brosses-dents-electriques/</t>
        </is>
      </c>
      <c r="J19" s="57" t="inlineStr">
        <is>
          <t>Lien de catégorie vérifié, produit à rechercher</t>
        </is>
      </c>
      <c r="K19" s="59" t="n"/>
      <c r="L19" s="60" t="n"/>
      <c r="M19" s="61" t="n"/>
      <c r="N19" s="61" t="inlineStr">
        <is>
          <t>Référence de l'argument longue autonomie (180 jours), acceptée par l'American Dental Association.</t>
        </is>
      </c>
    </row>
    <row r="20">
      <c r="A20" s="57" t="inlineStr">
        <is>
          <t>WP_TIPS</t>
        </is>
      </c>
      <c r="B20" s="57" t="inlineStr">
        <is>
          <t>Waterpik</t>
        </is>
      </c>
      <c r="C20" s="57" t="inlineStr">
        <is>
          <t>Buses de rechange (pack livré avec WP-560)</t>
        </is>
      </c>
      <c r="D20" s="57" t="inlineStr">
        <is>
          <t>Buse hydropulseur</t>
        </is>
      </c>
      <c r="E20" s="58" t="inlineStr">
        <is>
          <t>https://www.jumia.ci/soins-bucco-dentaires-power-flosser-dentaire/</t>
        </is>
      </c>
      <c r="F20" s="57" t="inlineStr">
        <is>
          <t>Lien de catégorie vérifié, produit à rechercher</t>
        </is>
      </c>
      <c r="G20" s="59" t="n"/>
      <c r="H20" s="60" t="n"/>
      <c r="I20" s="58" t="inlineStr">
        <is>
          <t>https://www.jumia.sn/soins-bucco-dentaires-power-flosser-dentaire/</t>
        </is>
      </c>
      <c r="J20" s="57" t="inlineStr">
        <is>
          <t>Lien de catégorie vérifié, produit à rechercher</t>
        </is>
      </c>
      <c r="K20" s="59" t="n"/>
      <c r="L20" s="60" t="n"/>
      <c r="M20" s="61" t="n"/>
      <c r="N20" s="61" t="inlineStr">
        <is>
          <t>Gamme de buses la plus large du marché, référence de comparaison pour les buses SEAGO SG-P0xx.</t>
        </is>
      </c>
    </row>
    <row r="21">
      <c r="A21" s="57" t="inlineStr">
        <is>
          <t>GEN_HYDRO_CI</t>
        </is>
      </c>
      <c r="B21" s="57" t="inlineStr">
        <is>
          <t>Generic (marketplace)</t>
        </is>
      </c>
      <c r="C21" s="57" t="inlineStr">
        <is>
          <t>Hydropulseur portatif rechargeable USB 280 mL</t>
        </is>
      </c>
      <c r="D21" s="57" t="inlineStr">
        <is>
          <t>Hydropulseur</t>
        </is>
      </c>
      <c r="E21" s="58" t="inlineStr">
        <is>
          <t>https://www.jumia.ci/generic-1-piece-hydropulseur-portatif-rechargeable-usb-irrigateur-oral-280-ml-31831284.html</t>
        </is>
      </c>
      <c r="F21" s="57" t="inlineStr">
        <is>
          <t>Lien produit vérifié</t>
        </is>
      </c>
      <c r="G21" s="59" t="n"/>
      <c r="H21" s="60" t="n"/>
      <c r="I21" s="58" t="inlineStr">
        <is>
          <t>https://www.jumia.sn/soins-bucco-dentaires-power-flosser-dentaire/</t>
        </is>
      </c>
      <c r="J21" s="57" t="inlineStr">
        <is>
          <t>Lien de catégorie vérifié, produit à rechercher</t>
        </is>
      </c>
      <c r="K21" s="59" t="n"/>
      <c r="L21" s="60" t="n"/>
      <c r="M21" s="61" t="n"/>
      <c r="N21" s="61" t="inlineStr">
        <is>
          <t>Réservoir 280 mL, buse rotative 360 degrés. Plancher de prix du segment sur Jumia CI.</t>
        </is>
      </c>
    </row>
    <row r="22">
      <c r="A22" s="57" t="inlineStr">
        <is>
          <t>GEN_HYDRO_CI2</t>
        </is>
      </c>
      <c r="B22" s="57" t="inlineStr">
        <is>
          <t>Generic (marketplace)</t>
        </is>
      </c>
      <c r="C22" s="57" t="inlineStr">
        <is>
          <t>Jet dentaire électrique portable rechargeable</t>
        </is>
      </c>
      <c r="D22" s="57" t="inlineStr">
        <is>
          <t>Hydropulseur</t>
        </is>
      </c>
      <c r="E22" s="58" t="inlineStr">
        <is>
          <t>https://www.jumia.ci/jet-dentaire-electrique-portable-hydropulseur-rechargeable-etanche-generic-mpg1033399.html</t>
        </is>
      </c>
      <c r="F22" s="57" t="inlineStr">
        <is>
          <t>Lien produit vérifié</t>
        </is>
      </c>
      <c r="G22" s="59" t="n"/>
      <c r="H22" s="60" t="n"/>
      <c r="I22" s="58" t="inlineStr">
        <is>
          <t>https://www.jumia.sn/soins-bucco-dentaires-power-flosser-dentaire/</t>
        </is>
      </c>
      <c r="J22" s="57" t="inlineStr">
        <is>
          <t>Lien de catégorie vérifié, produit à rechercher</t>
        </is>
      </c>
      <c r="K22" s="59" t="n"/>
      <c r="L22" s="60" t="n"/>
      <c r="M22" s="61" t="n"/>
      <c r="N22" s="61" t="inlineStr">
        <is>
          <t>Deuxième référence marketplace du segment, utile pour borner la fourchette de prix locale.</t>
        </is>
      </c>
    </row>
    <row r="23">
      <c r="A23" s="57" t="inlineStr">
        <is>
          <t>PANA_DJ10</t>
        </is>
      </c>
      <c r="B23" s="57" t="inlineStr">
        <is>
          <t>Panasonic</t>
        </is>
      </c>
      <c r="C23" s="57" t="inlineStr">
        <is>
          <t>EW-DJ10 Dentacare</t>
        </is>
      </c>
      <c r="D23" s="57" t="inlineStr">
        <is>
          <t>Hydropulseur</t>
        </is>
      </c>
      <c r="E23" s="58" t="inlineStr">
        <is>
          <t>https://www.jumia.ci/soins-bucco-dentaires-power-flosser-dentaire/</t>
        </is>
      </c>
      <c r="F23" s="57" t="inlineStr">
        <is>
          <t>Lien de catégorie vérifié, produit à rechercher</t>
        </is>
      </c>
      <c r="G23" s="59" t="n"/>
      <c r="H23" s="60" t="n"/>
      <c r="I23" s="58" t="inlineStr">
        <is>
          <t>https://www.jumia.sn/soins-bucco-dentaires-power-flosser-dentaire/</t>
        </is>
      </c>
      <c r="J23" s="57" t="inlineStr">
        <is>
          <t>Lien de catégorie vérifié, produit à rechercher</t>
        </is>
      </c>
      <c r="K23" s="59" t="n"/>
      <c r="L23" s="60" t="n"/>
      <c r="M23" s="61" t="n"/>
      <c r="N23" s="61" t="inlineStr">
        <is>
          <t>Réservoir 165 mL, environ 40 s d'autonomie d'eau, design pliable. Équivalent des SEAGO mini pliables.</t>
        </is>
      </c>
    </row>
    <row r="24">
      <c r="A24" s="57" t="inlineStr">
        <is>
          <t>WP560</t>
        </is>
      </c>
      <c r="B24" s="57" t="inlineStr">
        <is>
          <t>Waterpik</t>
        </is>
      </c>
      <c r="C24" s="57" t="inlineStr">
        <is>
          <t>Cordless Advanced WP-560</t>
        </is>
      </c>
      <c r="D24" s="57" t="inlineStr">
        <is>
          <t>Hydropulseur</t>
        </is>
      </c>
      <c r="E24" s="58" t="inlineStr">
        <is>
          <t>https://www.jumia.ci/soins-bucco-dentaires-power-flosser-dentaire/</t>
        </is>
      </c>
      <c r="F24" s="57" t="inlineStr">
        <is>
          <t>Lien de catégorie vérifié, produit à rechercher</t>
        </is>
      </c>
      <c r="G24" s="59" t="n"/>
      <c r="H24" s="60" t="n"/>
      <c r="I24" s="58" t="inlineStr">
        <is>
          <t>https://www.jumia.sn/soins-bucco-dentaires-power-flosser-dentaire/</t>
        </is>
      </c>
      <c r="J24" s="57" t="inlineStr">
        <is>
          <t>Lien de catégorie vérifié, produit à rechercher</t>
        </is>
      </c>
      <c r="K24" s="59" t="n"/>
      <c r="L24" s="60" t="n"/>
      <c r="M24" s="61" t="n"/>
      <c r="N24" s="61" t="inlineStr">
        <is>
          <t>Pression 45-75 PSI, réservoir 207 mL (7 oz), 4 buses, rotation 360 degrés. Référence du segment.</t>
        </is>
      </c>
    </row>
    <row r="25">
      <c r="A25" s="57" t="inlineStr">
        <is>
          <t>WP450</t>
        </is>
      </c>
      <c r="B25" s="57" t="inlineStr">
        <is>
          <t>Waterpik</t>
        </is>
      </c>
      <c r="C25" s="57" t="inlineStr">
        <is>
          <t>Cordless Plus WP-450</t>
        </is>
      </c>
      <c r="D25" s="57" t="inlineStr">
        <is>
          <t>Hydropulseur</t>
        </is>
      </c>
      <c r="E25" s="58" t="inlineStr">
        <is>
          <t>https://www.jumia.ci/soins-bucco-dentaires-power-flosser-dentaire/</t>
        </is>
      </c>
      <c r="F25" s="57" t="inlineStr">
        <is>
          <t>Lien de catégorie vérifié, produit à rechercher</t>
        </is>
      </c>
      <c r="G25" s="59" t="n"/>
      <c r="H25" s="60" t="n"/>
      <c r="I25" s="58" t="inlineStr">
        <is>
          <t>https://www.jumia.sn/soins-bucco-dentaires-power-flosser-dentaire/</t>
        </is>
      </c>
      <c r="J25" s="57" t="inlineStr">
        <is>
          <t>Lien de catégorie vérifié, produit à rechercher</t>
        </is>
      </c>
      <c r="K25" s="59" t="n"/>
      <c r="L25" s="60" t="n"/>
      <c r="M25" s="61" t="n"/>
      <c r="N25" s="61" t="inlineStr">
        <is>
          <t>Pression 2,8 à 5,8 bar (environ 40 à 84 PSI), réservoir 207 mL, 4 buses. Autonomie une semaine.</t>
        </is>
      </c>
    </row>
    <row r="26">
      <c r="A26" s="57" t="inlineStr">
        <is>
          <t>COLGATE_HEADS</t>
        </is>
      </c>
      <c r="B26" s="57" t="inlineStr">
        <is>
          <t>Colgate</t>
        </is>
      </c>
      <c r="C26" s="57" t="inlineStr">
        <is>
          <t>360 Deep Clean, têtes de rechange</t>
        </is>
      </c>
      <c r="D26" s="57" t="inlineStr">
        <is>
          <t>Tête de rechange</t>
        </is>
      </c>
      <c r="E26" s="58" t="inlineStr">
        <is>
          <t>https://www.jumia.ci/brosses-dents-tetes-remplacement-brosse-dents/brand-oral-b/</t>
        </is>
      </c>
      <c r="F26" s="57" t="inlineStr">
        <is>
          <t>Lien de catégorie vérifié, produit à rechercher</t>
        </is>
      </c>
      <c r="G26" s="59" t="n"/>
      <c r="H26" s="60" t="n"/>
      <c r="I26" s="58" t="inlineStr">
        <is>
          <t>https://www.jumia.sn/brosse-a-dents/</t>
        </is>
      </c>
      <c r="J26" s="57" t="inlineStr">
        <is>
          <t>Lien de catégorie vérifié, produit à rechercher</t>
        </is>
      </c>
      <c r="K26" s="59" t="n"/>
      <c r="L26" s="60" t="n"/>
      <c r="M26" s="61" t="n"/>
      <c r="N26" s="61" t="inlineStr">
        <is>
          <t>Tête de rechange du segment brosses à piles, benchmark du prix par tête en entrée de gamme.</t>
        </is>
      </c>
    </row>
    <row r="27">
      <c r="A27" s="57" t="inlineStr">
        <is>
          <t>OB_CROSSACTION</t>
        </is>
      </c>
      <c r="B27" s="57" t="inlineStr">
        <is>
          <t>Oral-B</t>
        </is>
      </c>
      <c r="C27" s="57" t="inlineStr">
        <is>
          <t>CrossAction X-Filaments (pack de 3)</t>
        </is>
      </c>
      <c r="D27" s="57" t="inlineStr">
        <is>
          <t>Tête de rechange</t>
        </is>
      </c>
      <c r="E27" s="58" t="inlineStr">
        <is>
          <t>https://www.jumia.ci/brosses-dents-tetes-remplacement-brosse-dents/brand-oral-b/</t>
        </is>
      </c>
      <c r="F27" s="57" t="inlineStr">
        <is>
          <t>Lien de catégorie vérifié</t>
        </is>
      </c>
      <c r="G27" s="59" t="n"/>
      <c r="H27" s="60" t="n"/>
      <c r="I27" s="58" t="inlineStr">
        <is>
          <t>https://www.jumia.sn/brosse-a-dents/</t>
        </is>
      </c>
      <c r="J27" s="57" t="inlineStr">
        <is>
          <t>Lien de catégorie vérifié, produit à rechercher</t>
        </is>
      </c>
      <c r="K27" s="59" t="n"/>
      <c r="L27" s="60" t="n"/>
      <c r="M27" s="61" t="n"/>
      <c r="N27" s="61" t="inlineStr">
        <is>
          <t>Brins en X inclinés à 16 degrés. Benchmark du prix par tête sur le segment rotatif.</t>
        </is>
      </c>
    </row>
    <row r="28">
      <c r="A28" s="57" t="inlineStr">
        <is>
          <t>SONICARE_C3</t>
        </is>
      </c>
      <c r="B28" s="57" t="inlineStr">
        <is>
          <t>Philips</t>
        </is>
      </c>
      <c r="C28" s="57" t="inlineStr">
        <is>
          <t>Sonicare C3 Premium Plaque Control (pack de 4)</t>
        </is>
      </c>
      <c r="D28" s="57" t="inlineStr">
        <is>
          <t>Tête de rechange</t>
        </is>
      </c>
      <c r="E28" s="58" t="inlineStr">
        <is>
          <t>https://www.jumia.ci/brosses-dents-tetes-remplacement-brosse-dents/brand-oral-b/</t>
        </is>
      </c>
      <c r="F28" s="57" t="inlineStr">
        <is>
          <t>Lien de catégorie vérifié, produit à rechercher</t>
        </is>
      </c>
      <c r="G28" s="59" t="n"/>
      <c r="H28" s="60" t="n"/>
      <c r="I28" s="58" t="inlineStr">
        <is>
          <t>https://www.jumia.sn/brosse-a-dents/</t>
        </is>
      </c>
      <c r="J28" s="57" t="inlineStr">
        <is>
          <t>Lien de catégorie vérifié, produit à rechercher</t>
        </is>
      </c>
      <c r="K28" s="59" t="n"/>
      <c r="L28" s="60" t="n"/>
      <c r="M28" s="61" t="n"/>
      <c r="N28" s="61" t="inlineStr">
        <is>
          <t>Tête à puce BrushSync. Benchmark du prix par tête sur le segment sonique premium.</t>
        </is>
      </c>
    </row>
    <row r="29">
      <c r="A29" s="57" t="inlineStr">
        <is>
          <t>USMILE_HEADS</t>
        </is>
      </c>
      <c r="B29" s="57" t="inlineStr">
        <is>
          <t>usmile</t>
        </is>
      </c>
      <c r="C29" s="57" t="inlineStr">
        <is>
          <t>Têtes de rechange P1 / Y1S / U3 / P4</t>
        </is>
      </c>
      <c r="D29" s="57" t="inlineStr">
        <is>
          <t>Tête de rechange</t>
        </is>
      </c>
      <c r="E29" s="58" t="inlineStr">
        <is>
          <t>https://www.jumia.ci/brosses-dents-tetes-remplacement-brosse-dents/brand-oral-b/</t>
        </is>
      </c>
      <c r="F29" s="57" t="inlineStr">
        <is>
          <t>Lien de catégorie vérifié, produit à rechercher</t>
        </is>
      </c>
      <c r="G29" s="59" t="n"/>
      <c r="H29" s="60" t="n"/>
      <c r="I29" s="58" t="inlineStr">
        <is>
          <t>https://www.jumia.sn/brosse-a-dents/</t>
        </is>
      </c>
      <c r="J29" s="57" t="inlineStr">
        <is>
          <t>Lien de catégorie vérifié, produit à rechercher</t>
        </is>
      </c>
      <c r="K29" s="59" t="n"/>
      <c r="L29" s="60" t="n"/>
      <c r="M29" s="61" t="n"/>
      <c r="N29" s="61" t="inlineStr">
        <is>
          <t>Brins témoins qui décolorent à l'usure, argument de renouvellement récurrent.</t>
        </is>
      </c>
    </row>
  </sheetData>
  <sheetProtection selectLockedCells="0" selectUnlockedCells="0" sheet="1" objects="0" insertRows="0" insertHyperlinks="1" autoFilter="0" scenarios="0" formatColumns="0" deleteColumns="1" insertColumns="1" pivotTables="1" deleteRows="0" formatCells="0" formatRows="0" sort="0"/>
  <autoFilter ref="A3:N29"/>
  <dataValidations count="1">
    <dataValidation sqref="B1" showDropDown="0" showInputMessage="0" showErrorMessage="0" allowBlank="0" type="list">
      <formula1>"CI,SN"</formula1>
    </dataValidation>
  </dataValidations>
  <hyperlinks>
    <hyperlink xmlns:r="http://schemas.openxmlformats.org/officeDocument/2006/relationships" ref="E4" r:id="rId1"/>
    <hyperlink xmlns:r="http://schemas.openxmlformats.org/officeDocument/2006/relationships" ref="I4" r:id="rId2"/>
    <hyperlink xmlns:r="http://schemas.openxmlformats.org/officeDocument/2006/relationships" ref="E5" r:id="rId3"/>
    <hyperlink xmlns:r="http://schemas.openxmlformats.org/officeDocument/2006/relationships" ref="I5" r:id="rId4"/>
    <hyperlink xmlns:r="http://schemas.openxmlformats.org/officeDocument/2006/relationships" ref="E6" r:id="rId5"/>
    <hyperlink xmlns:r="http://schemas.openxmlformats.org/officeDocument/2006/relationships" ref="I6" r:id="rId6"/>
    <hyperlink xmlns:r="http://schemas.openxmlformats.org/officeDocument/2006/relationships" ref="E7" r:id="rId7"/>
    <hyperlink xmlns:r="http://schemas.openxmlformats.org/officeDocument/2006/relationships" ref="I7" r:id="rId8"/>
    <hyperlink xmlns:r="http://schemas.openxmlformats.org/officeDocument/2006/relationships" ref="E8" r:id="rId9"/>
    <hyperlink xmlns:r="http://schemas.openxmlformats.org/officeDocument/2006/relationships" ref="I8" r:id="rId10"/>
    <hyperlink xmlns:r="http://schemas.openxmlformats.org/officeDocument/2006/relationships" ref="E9" r:id="rId11"/>
    <hyperlink xmlns:r="http://schemas.openxmlformats.org/officeDocument/2006/relationships" ref="I9" r:id="rId12"/>
    <hyperlink xmlns:r="http://schemas.openxmlformats.org/officeDocument/2006/relationships" ref="E10" r:id="rId13"/>
    <hyperlink xmlns:r="http://schemas.openxmlformats.org/officeDocument/2006/relationships" ref="I10" r:id="rId14"/>
    <hyperlink xmlns:r="http://schemas.openxmlformats.org/officeDocument/2006/relationships" ref="E11" r:id="rId15"/>
    <hyperlink xmlns:r="http://schemas.openxmlformats.org/officeDocument/2006/relationships" ref="I11" r:id="rId16"/>
    <hyperlink xmlns:r="http://schemas.openxmlformats.org/officeDocument/2006/relationships" ref="E12" r:id="rId17"/>
    <hyperlink xmlns:r="http://schemas.openxmlformats.org/officeDocument/2006/relationships" ref="I12" r:id="rId18"/>
    <hyperlink xmlns:r="http://schemas.openxmlformats.org/officeDocument/2006/relationships" ref="E13" r:id="rId19"/>
    <hyperlink xmlns:r="http://schemas.openxmlformats.org/officeDocument/2006/relationships" ref="I13" r:id="rId20"/>
    <hyperlink xmlns:r="http://schemas.openxmlformats.org/officeDocument/2006/relationships" ref="E14" r:id="rId21"/>
    <hyperlink xmlns:r="http://schemas.openxmlformats.org/officeDocument/2006/relationships" ref="I14" r:id="rId22"/>
    <hyperlink xmlns:r="http://schemas.openxmlformats.org/officeDocument/2006/relationships" ref="E15" r:id="rId23"/>
    <hyperlink xmlns:r="http://schemas.openxmlformats.org/officeDocument/2006/relationships" ref="I15" r:id="rId24"/>
    <hyperlink xmlns:r="http://schemas.openxmlformats.org/officeDocument/2006/relationships" ref="E16" r:id="rId25"/>
    <hyperlink xmlns:r="http://schemas.openxmlformats.org/officeDocument/2006/relationships" ref="I16" r:id="rId26"/>
    <hyperlink xmlns:r="http://schemas.openxmlformats.org/officeDocument/2006/relationships" ref="E17" r:id="rId27"/>
    <hyperlink xmlns:r="http://schemas.openxmlformats.org/officeDocument/2006/relationships" ref="I17" r:id="rId28"/>
    <hyperlink xmlns:r="http://schemas.openxmlformats.org/officeDocument/2006/relationships" ref="E18" r:id="rId29"/>
    <hyperlink xmlns:r="http://schemas.openxmlformats.org/officeDocument/2006/relationships" ref="I18" r:id="rId30"/>
    <hyperlink xmlns:r="http://schemas.openxmlformats.org/officeDocument/2006/relationships" ref="E19" r:id="rId31"/>
    <hyperlink xmlns:r="http://schemas.openxmlformats.org/officeDocument/2006/relationships" ref="I19" r:id="rId32"/>
    <hyperlink xmlns:r="http://schemas.openxmlformats.org/officeDocument/2006/relationships" ref="E20" r:id="rId33"/>
    <hyperlink xmlns:r="http://schemas.openxmlformats.org/officeDocument/2006/relationships" ref="I20" r:id="rId34"/>
    <hyperlink xmlns:r="http://schemas.openxmlformats.org/officeDocument/2006/relationships" ref="E21" r:id="rId35"/>
    <hyperlink xmlns:r="http://schemas.openxmlformats.org/officeDocument/2006/relationships" ref="I21" r:id="rId36"/>
    <hyperlink xmlns:r="http://schemas.openxmlformats.org/officeDocument/2006/relationships" ref="E22" r:id="rId37"/>
    <hyperlink xmlns:r="http://schemas.openxmlformats.org/officeDocument/2006/relationships" ref="I22" r:id="rId38"/>
    <hyperlink xmlns:r="http://schemas.openxmlformats.org/officeDocument/2006/relationships" ref="E23" r:id="rId39"/>
    <hyperlink xmlns:r="http://schemas.openxmlformats.org/officeDocument/2006/relationships" ref="I23" r:id="rId40"/>
    <hyperlink xmlns:r="http://schemas.openxmlformats.org/officeDocument/2006/relationships" ref="E24" r:id="rId41"/>
    <hyperlink xmlns:r="http://schemas.openxmlformats.org/officeDocument/2006/relationships" ref="I24" r:id="rId42"/>
    <hyperlink xmlns:r="http://schemas.openxmlformats.org/officeDocument/2006/relationships" ref="E25" r:id="rId43"/>
    <hyperlink xmlns:r="http://schemas.openxmlformats.org/officeDocument/2006/relationships" ref="I25" r:id="rId44"/>
    <hyperlink xmlns:r="http://schemas.openxmlformats.org/officeDocument/2006/relationships" ref="E26" r:id="rId45"/>
    <hyperlink xmlns:r="http://schemas.openxmlformats.org/officeDocument/2006/relationships" ref="I26" r:id="rId46"/>
    <hyperlink xmlns:r="http://schemas.openxmlformats.org/officeDocument/2006/relationships" ref="E27" r:id="rId47"/>
    <hyperlink xmlns:r="http://schemas.openxmlformats.org/officeDocument/2006/relationships" ref="I27" r:id="rId48"/>
    <hyperlink xmlns:r="http://schemas.openxmlformats.org/officeDocument/2006/relationships" ref="E28" r:id="rId49"/>
    <hyperlink xmlns:r="http://schemas.openxmlformats.org/officeDocument/2006/relationships" ref="I28" r:id="rId50"/>
    <hyperlink xmlns:r="http://schemas.openxmlformats.org/officeDocument/2006/relationships" ref="E29" r:id="rId51"/>
    <hyperlink xmlns:r="http://schemas.openxmlformats.org/officeDocument/2006/relationships" ref="I29" r:id="rId5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2026-09-03T18:03:22Z</dcterms:created>
  <dcterms:modified xsi:type="dcterms:W3CDTF">2026-09-03T18:03:23Z</dcterms:modified>
</cp:coreProperties>
</file>