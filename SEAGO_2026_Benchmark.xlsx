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Brosses à dents" sheetId="1" state="visible" r:id="rId1"/>
    <sheet name="Hydropulseurs" sheetId="2" state="visible" r:id="rId2"/>
    <sheet name="Têtes de rechange" sheetId="3" state="visible" r:id="rId3"/>
    <sheet name="Concurrents" sheetId="4" state="visible" r:id="rId4"/>
  </sheets>
  <definedNames>
    <definedName name="_xlnm._FilterDatabase" localSheetId="0" hidden="1">'Brosses à dents'!$A$1:$AP$147</definedName>
    <definedName name="_xlnm._FilterDatabase" localSheetId="1" hidden="1">'Hydropulseurs'!$A$1:$AL$42</definedName>
    <definedName name="_xlnm._FilterDatabase" localSheetId="2" hidden="1">'Têtes de rechange'!$A$1:$AB$90</definedName>
    <definedName name="_xlnm._FilterDatabase" localSheetId="3" hidden="1">'Concurrents'!$A$1:$S$27</definedName>
  </definedNames>
  <calcPr calcId="124519" fullCalcOnLoad="1"/>
</workbook>
</file>

<file path=xl/styles.xml><?xml version="1.0" encoding="utf-8"?>
<styleSheet xmlns="http://schemas.openxmlformats.org/spreadsheetml/2006/main">
  <numFmts count="3">
    <numFmt numFmtId="164" formatCode="0.0"/>
    <numFmt numFmtId="165" formatCode="yyyy-mm-dd"/>
    <numFmt numFmtId="166" formatCode="0.0%"/>
  </numFmts>
  <fonts count="5">
    <font>
      <name val="Calibri"/>
      <family val="2"/>
      <color theme="1"/>
      <sz val="11"/>
      <scheme val="minor"/>
    </font>
    <font>
      <b val="1"/>
      <color rgb="00FFFFFF"/>
      <sz val="10"/>
    </font>
    <font>
      <sz val="10"/>
    </font>
    <font>
      <i val="1"/>
      <color rgb="0098A2B3"/>
      <sz val="10"/>
    </font>
    <font>
      <color rgb="000B57D0"/>
      <sz val="10"/>
      <u val="single"/>
    </font>
  </fonts>
  <fills count="10">
    <fill>
      <patternFill/>
    </fill>
    <fill>
      <patternFill patternType="gray125"/>
    </fill>
    <fill>
      <patternFill patternType="solid">
        <fgColor rgb="001F3864"/>
      </patternFill>
    </fill>
    <fill>
      <patternFill patternType="solid">
        <fgColor rgb="004472A8"/>
      </patternFill>
    </fill>
    <fill>
      <patternFill patternType="solid">
        <fgColor rgb="00C55A11"/>
      </patternFill>
    </fill>
    <fill>
      <patternFill patternType="solid">
        <fgColor rgb="002E7D4F"/>
      </patternFill>
    </fill>
    <fill>
      <patternFill patternType="solid">
        <fgColor rgb="00F5F7FA"/>
      </patternFill>
    </fill>
    <fill>
      <patternFill patternType="solid">
        <fgColor rgb="00EDF3FA"/>
      </patternFill>
    </fill>
    <fill>
      <patternFill patternType="solid">
        <fgColor rgb="00FDF2E3"/>
      </patternFill>
    </fill>
    <fill>
      <patternFill patternType="solid">
        <fgColor rgb="00EAF3EE"/>
      </patternFill>
    </fill>
  </fills>
  <borders count="2">
    <border>
      <left/>
      <right/>
      <top/>
      <bottom/>
      <diagonal/>
    </border>
    <border>
      <left style="thin">
        <color rgb="00D0D5DD"/>
      </left>
      <right style="thin">
        <color rgb="00D0D5DD"/>
      </right>
      <top style="thin">
        <color rgb="00D0D5DD"/>
      </top>
      <bottom style="thin">
        <color rgb="00D0D5DD"/>
      </bottom>
    </border>
  </borders>
  <cellStyleXfs count="1">
    <xf numFmtId="0" fontId="0" fillId="0" borderId="0"/>
  </cellStyleXfs>
  <cellXfs count="47">
    <xf numFmtId="0" fontId="0" fillId="0" borderId="0" pivotButton="0" quotePrefix="0" xfId="0"/>
    <xf numFmtId="0" fontId="1" fillId="2" borderId="1" applyAlignment="1" pivotButton="0" quotePrefix="0" xfId="0">
      <alignment horizontal="center" vertical="center" wrapText="1"/>
    </xf>
    <xf numFmtId="0" fontId="1" fillId="3" borderId="1" applyAlignment="1" pivotButton="0" quotePrefix="0" xfId="0">
      <alignment horizontal="center" vertical="center" wrapText="1"/>
    </xf>
    <xf numFmtId="0" fontId="1" fillId="4" borderId="1" applyAlignment="1" pivotButton="0" quotePrefix="0" xfId="0">
      <alignment horizontal="center" vertical="center" wrapText="1"/>
    </xf>
    <xf numFmtId="0" fontId="1" fillId="5" borderId="1" applyAlignment="1" pivotButton="0" quotePrefix="0" xfId="0">
      <alignment horizontal="center" vertical="center" wrapText="1"/>
    </xf>
    <xf numFmtId="0" fontId="2" fillId="6" borderId="1" applyAlignment="1" applyProtection="1" pivotButton="0" quotePrefix="0" xfId="0">
      <alignment vertical="top"/>
      <protection locked="0" hidden="0"/>
    </xf>
    <xf numFmtId="3" fontId="2" fillId="6" borderId="1" applyAlignment="1" applyProtection="1" pivotButton="0" quotePrefix="0" xfId="0">
      <alignment vertical="top"/>
      <protection locked="0" hidden="0"/>
    </xf>
    <xf numFmtId="1" fontId="2" fillId="6" borderId="1" applyAlignment="1" applyProtection="1" pivotButton="0" quotePrefix="0" xfId="0">
      <alignment vertical="top"/>
      <protection locked="0" hidden="0"/>
    </xf>
    <xf numFmtId="164" fontId="3" fillId="6" borderId="1" applyAlignment="1" applyProtection="1" pivotButton="0" quotePrefix="0" xfId="0">
      <alignment vertical="top"/>
      <protection locked="0" hidden="0"/>
    </xf>
    <xf numFmtId="164" fontId="2" fillId="6" borderId="1" applyAlignment="1" applyProtection="1" pivotButton="0" quotePrefix="0" xfId="0">
      <alignment vertical="top"/>
      <protection locked="0" hidden="0"/>
    </xf>
    <xf numFmtId="0" fontId="2" fillId="6" borderId="1" applyAlignment="1" applyProtection="1" pivotButton="0" quotePrefix="0" xfId="0">
      <alignment vertical="top" wrapText="1"/>
      <protection locked="0" hidden="0"/>
    </xf>
    <xf numFmtId="1" fontId="2" fillId="6" borderId="1" applyAlignment="1" applyProtection="1" pivotButton="0" quotePrefix="0" xfId="0">
      <alignment vertical="top" wrapText="1"/>
      <protection locked="0" hidden="0"/>
    </xf>
    <xf numFmtId="0" fontId="2" fillId="7" borderId="1" applyAlignment="1" applyProtection="1" pivotButton="0" quotePrefix="0" xfId="0">
      <alignment vertical="top" wrapText="1"/>
      <protection locked="0" hidden="0"/>
    </xf>
    <xf numFmtId="0" fontId="4" fillId="7" borderId="1" applyAlignment="1" applyProtection="1" pivotButton="0" quotePrefix="0" xfId="0">
      <alignment vertical="top" wrapText="1"/>
      <protection locked="0" hidden="0"/>
    </xf>
    <xf numFmtId="4" fontId="2" fillId="8" borderId="1" applyProtection="1" pivotButton="0" quotePrefix="0" xfId="0">
      <protection locked="0" hidden="0"/>
    </xf>
    <xf numFmtId="0" fontId="2" fillId="8" borderId="1" applyProtection="1" pivotButton="0" quotePrefix="0" xfId="0">
      <protection locked="0" hidden="0"/>
    </xf>
    <xf numFmtId="165" fontId="2" fillId="8" borderId="1" applyProtection="1" pivotButton="0" quotePrefix="0" xfId="0">
      <protection locked="0" hidden="0"/>
    </xf>
    <xf numFmtId="4" fontId="2" fillId="9" borderId="1" applyAlignment="1" pivotButton="0" quotePrefix="0" xfId="0">
      <alignment horizontal="center" vertical="top"/>
    </xf>
    <xf numFmtId="166" fontId="2" fillId="9" borderId="1" applyAlignment="1" pivotButton="0" quotePrefix="0" xfId="0">
      <alignment horizontal="center" vertical="top"/>
    </xf>
    <xf numFmtId="49" fontId="2" fillId="9" borderId="1" applyAlignment="1" pivotButton="0" quotePrefix="0" xfId="0">
      <alignment horizontal="center" vertical="top"/>
    </xf>
    <xf numFmtId="0" fontId="2" fillId="0" borderId="1" applyAlignment="1" applyProtection="1" pivotButton="0" quotePrefix="0" xfId="0">
      <alignment vertical="top"/>
      <protection locked="0" hidden="0"/>
    </xf>
    <xf numFmtId="3" fontId="2" fillId="0" borderId="1" applyAlignment="1" applyProtection="1" pivotButton="0" quotePrefix="0" xfId="0">
      <alignment vertical="top"/>
      <protection locked="0" hidden="0"/>
    </xf>
    <xf numFmtId="1" fontId="2" fillId="0" borderId="1" applyAlignment="1" applyProtection="1" pivotButton="0" quotePrefix="0" xfId="0">
      <alignment vertical="top"/>
      <protection locked="0" hidden="0"/>
    </xf>
    <xf numFmtId="164" fontId="2" fillId="0" borderId="1" applyAlignment="1" applyProtection="1" pivotButton="0" quotePrefix="0" xfId="0">
      <alignment vertical="top"/>
      <protection locked="0" hidden="0"/>
    </xf>
    <xf numFmtId="0" fontId="2" fillId="0" borderId="1" applyAlignment="1" applyProtection="1" pivotButton="0" quotePrefix="0" xfId="0">
      <alignment vertical="top" wrapText="1"/>
      <protection locked="0" hidden="0"/>
    </xf>
    <xf numFmtId="1" fontId="2" fillId="0" borderId="1" applyAlignment="1" applyProtection="1" pivotButton="0" quotePrefix="0" xfId="0">
      <alignment vertical="top" wrapText="1"/>
      <protection locked="0" hidden="0"/>
    </xf>
    <xf numFmtId="164" fontId="3" fillId="0" borderId="1" applyAlignment="1" applyProtection="1" pivotButton="0" quotePrefix="0" xfId="0">
      <alignment vertical="top"/>
      <protection locked="0" hidden="0"/>
    </xf>
    <xf numFmtId="1" fontId="3" fillId="0" borderId="1" applyAlignment="1" applyProtection="1" pivotButton="0" quotePrefix="0" xfId="0">
      <alignment vertical="top"/>
      <protection locked="0" hidden="0"/>
    </xf>
    <xf numFmtId="0" fontId="3" fillId="0" borderId="1" applyAlignment="1" applyProtection="1" pivotButton="0" quotePrefix="0" xfId="0">
      <alignment vertical="top"/>
      <protection locked="0" hidden="0"/>
    </xf>
    <xf numFmtId="0" fontId="3" fillId="7" borderId="1" applyAlignment="1" applyProtection="1" pivotButton="0" quotePrefix="0" xfId="0">
      <alignment vertical="top" wrapText="1"/>
      <protection locked="0" hidden="0"/>
    </xf>
    <xf numFmtId="1" fontId="3" fillId="6" borderId="1" applyAlignment="1" applyProtection="1" pivotButton="0" quotePrefix="0" xfId="0">
      <alignment vertical="top"/>
      <protection locked="0" hidden="0"/>
    </xf>
    <xf numFmtId="3" fontId="3" fillId="0" borderId="1" applyAlignment="1" applyProtection="1" pivotButton="0" quotePrefix="0" xfId="0">
      <alignment vertical="top"/>
      <protection locked="0" hidden="0"/>
    </xf>
    <xf numFmtId="0" fontId="3" fillId="6" borderId="1" applyAlignment="1" applyProtection="1" pivotButton="0" quotePrefix="0" xfId="0">
      <alignment vertical="top"/>
      <protection locked="0" hidden="0"/>
    </xf>
    <xf numFmtId="0" fontId="0" fillId="0" borderId="1" applyProtection="1" pivotButton="0" quotePrefix="0" xfId="0">
      <protection locked="0" hidden="0"/>
    </xf>
    <xf numFmtId="0" fontId="0" fillId="7" borderId="1" applyProtection="1" pivotButton="0" quotePrefix="0" xfId="0">
      <protection locked="0" hidden="0"/>
    </xf>
    <xf numFmtId="0" fontId="3" fillId="6" borderId="1" applyAlignment="1" applyProtection="1" pivotButton="0" quotePrefix="0" xfId="0">
      <alignment vertical="top" wrapText="1"/>
      <protection locked="0" hidden="0"/>
    </xf>
    <xf numFmtId="0" fontId="3" fillId="0" borderId="1" applyAlignment="1" applyProtection="1" pivotButton="0" quotePrefix="0" xfId="0">
      <alignment vertical="top" wrapText="1"/>
      <protection locked="0" hidden="0"/>
    </xf>
    <xf numFmtId="0" fontId="2" fillId="6" borderId="1" applyAlignment="1" pivotButton="0" quotePrefix="0" xfId="0">
      <alignment vertical="top" wrapText="1"/>
    </xf>
    <xf numFmtId="4" fontId="3" fillId="6" borderId="1" applyAlignment="1" pivotButton="0" quotePrefix="0" xfId="0">
      <alignment vertical="top" wrapText="1"/>
    </xf>
    <xf numFmtId="0" fontId="4" fillId="6" borderId="1" applyAlignment="1" pivotButton="0" quotePrefix="0" xfId="0">
      <alignment vertical="top" wrapText="1"/>
    </xf>
    <xf numFmtId="165" fontId="2" fillId="6" borderId="1" applyAlignment="1" pivotButton="0" quotePrefix="0" xfId="0">
      <alignment vertical="top" wrapText="1"/>
    </xf>
    <xf numFmtId="0" fontId="2" fillId="0" borderId="1" applyAlignment="1" pivotButton="0" quotePrefix="0" xfId="0">
      <alignment vertical="top" wrapText="1"/>
    </xf>
    <xf numFmtId="0" fontId="3" fillId="0" borderId="1" applyAlignment="1" pivotButton="0" quotePrefix="0" xfId="0">
      <alignment vertical="top" wrapText="1"/>
    </xf>
    <xf numFmtId="4" fontId="3" fillId="0" borderId="1" applyAlignment="1" pivotButton="0" quotePrefix="0" xfId="0">
      <alignment vertical="top" wrapText="1"/>
    </xf>
    <xf numFmtId="0" fontId="4" fillId="0" borderId="1" applyAlignment="1" pivotButton="0" quotePrefix="0" xfId="0">
      <alignment vertical="top" wrapText="1"/>
    </xf>
    <xf numFmtId="165" fontId="2" fillId="0" borderId="1" applyAlignment="1" pivotButton="0" quotePrefix="0" xfId="0">
      <alignment vertical="top" wrapText="1"/>
    </xf>
    <xf numFmtId="0" fontId="3" fillId="6" borderId="1" applyAlignment="1" pivotButton="0" quotePrefix="0" xfId="0">
      <alignment vertical="top" wrapText="1"/>
    </xf>
  </cellXfs>
  <cellStyles count="1">
    <cellStyle name="Normal" xfId="0" builtinId="0" hidden="0"/>
  </cellStyles>
  <dxfs count="3">
    <dxf>
      <font>
        <color rgb="009C0006"/>
        <sz val="10"/>
      </font>
      <fill>
        <patternFill patternType="solid">
          <bgColor rgb="00F8CBCB"/>
        </patternFill>
      </fill>
    </dxf>
    <dxf>
      <font>
        <color rgb="00006100"/>
        <sz val="10"/>
      </font>
      <fill>
        <patternFill patternType="solid">
          <bgColor rgb="00C6EFCE"/>
        </patternFill>
      </fill>
    </dxf>
    <dxf>
      <font>
        <color rgb="009C6500"/>
        <sz val="10"/>
      </font>
      <fill>
        <patternFill patternType="solid">
          <bgColor rgb="00FFF2CC"/>
        </patternFill>
      </fill>
    </dxf>
  </dxf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styles" Target="styles.xml" Id="rId5" /><Relationship Type="http://schemas.openxmlformats.org/officeDocument/2006/relationships/theme" Target="theme/theme1.xml" Id="rId6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hyperlink" Target="https://www.jumia.ci/addigoes-brosse-a-dents-electrique-sonique-rechargeable-usb-6-modes-etanche-haute-frequence-4-tetes-de-brosse-nettoyage-dentaire-professionnel-noir-30497266.html" TargetMode="External" Id="rId1" /><Relationship Type="http://schemas.openxmlformats.org/officeDocument/2006/relationships/hyperlink" Target="https://www.jumia.ci/brosse-a-dents-electrique/" TargetMode="External" Id="rId2" /><Relationship Type="http://schemas.openxmlformats.org/officeDocument/2006/relationships/hyperlink" Target="https://www.usmile.com/electrictoothbrush/info.html?id=4" TargetMode="External" Id="rId3" /><Relationship Type="http://schemas.openxmlformats.org/officeDocument/2006/relationships/hyperlink" Target="https://www.ada.org/resources/research/science/ada-seal-of-acceptance/product-search/a065e00000BWImYAAX/usmile-sonic-electric-toothbrush-y1s" TargetMode="External" Id="rId4" /><Relationship Type="http://schemas.openxmlformats.org/officeDocument/2006/relationships/hyperlink" Target="https://www.fairywill.com/products/fairywill-electric-toothbrush-30-days-usage-5-modes-changeable-heads-timer" TargetMode="External" Id="rId5" /><Relationship Type="http://schemas.openxmlformats.org/officeDocument/2006/relationships/hyperlink" Target="https://www.jumia.ma/brosse-a-dents-electrique/fairywill/" TargetMode="External" Id="rId6" /><Relationship Type="http://schemas.openxmlformats.org/officeDocument/2006/relationships/hyperlink" Target="https://www.mi.com/global/product/mi-smart-electric-toothbrush-t500/specs/" TargetMode="External" Id="rId7" /><Relationship Type="http://schemas.openxmlformats.org/officeDocument/2006/relationships/hyperlink" Target="https://www.electricteeth.com/uk/xiaomi-mi-review/" TargetMode="External" Id="rId8" /><Relationship Type="http://schemas.openxmlformats.org/officeDocument/2006/relationships/hyperlink" Target="https://www.fairywill.com/products/fairywill-electric-toothbrush-30-days-usage-5-modes-changeable-heads-timer" TargetMode="External" Id="rId9" /><Relationship Type="http://schemas.openxmlformats.org/officeDocument/2006/relationships/hyperlink" Target="https://www.jumia.ma/brosse-a-dents-electrique/fairywill/" TargetMode="External" Id="rId10" /><Relationship Type="http://schemas.openxmlformats.org/officeDocument/2006/relationships/hyperlink" Target="https://www.usmile.com/electrictoothbrush/info.html?id=4" TargetMode="External" Id="rId11" /><Relationship Type="http://schemas.openxmlformats.org/officeDocument/2006/relationships/hyperlink" Target="https://www.ada.org/resources/research/science/ada-seal-of-acceptance/product-search/a065e00000BWImYAAX/usmile-sonic-electric-toothbrush-y1s" TargetMode="External" Id="rId12" /><Relationship Type="http://schemas.openxmlformats.org/officeDocument/2006/relationships/hyperlink" Target="https://www.usmile.com/electrictoothbrush/info.html?id=4" TargetMode="External" Id="rId13" /><Relationship Type="http://schemas.openxmlformats.org/officeDocument/2006/relationships/hyperlink" Target="https://www.ada.org/resources/research/science/ada-seal-of-acceptance/product-search/a065e00000BWImYAAX/usmile-sonic-electric-toothbrush-y1s" TargetMode="External" Id="rId14" /><Relationship Type="http://schemas.openxmlformats.org/officeDocument/2006/relationships/hyperlink" Target="https://www.amazon.com/Oral-B-Pro-Health-Battery-Toothbrush-featuring/dp/B01AKGRSCG" TargetMode="External" Id="rId15" /><Relationship Type="http://schemas.openxmlformats.org/officeDocument/2006/relationships/hyperlink" Target="https://oralb.com/en-us/products/more-products/kids-products/kids-battery-toothbrush-featuring-disney-princess/" TargetMode="External" Id="rId16" /><Relationship Type="http://schemas.openxmlformats.org/officeDocument/2006/relationships/hyperlink" Target="https://www.colgate.com/en-my/products/toothbrush/colgate-proclinical-150-charcoal-battery-powered-toothbrush" TargetMode="External" Id="rId17" /><Relationship Type="http://schemas.openxmlformats.org/officeDocument/2006/relationships/hyperlink" Target="https://www.colgate.com/en-my/products/toothbrush/colgate-proclinical-150-deepclean-battery-powered-toothbrush" TargetMode="External" Id="rId18" /><Relationship Type="http://schemas.openxmlformats.org/officeDocument/2006/relationships/hyperlink" Target="https://www.usa.philips.com/c-p/HX6321_02/sonicare-for-kids-sonic-electric-toothbrush" TargetMode="External" Id="rId19" /><Relationship Type="http://schemas.openxmlformats.org/officeDocument/2006/relationships/hyperlink" Target="https://www.philips.com/c-dam/b2c/category-pages/personal-care/POHC/resource-library-docs/HX6321-03%20LEAFLET-Sonicare-%20For-Kids-%20Connected-Electric-Toothbrush.pdf" TargetMode="External" Id="rId20" /><Relationship Type="http://schemas.openxmlformats.org/officeDocument/2006/relationships/hyperlink" Target="https://oralb.com/en-us/products/io-series-3-rechargeable-electric-toothbrush-white/" TargetMode="External" Id="rId21" /><Relationship Type="http://schemas.openxmlformats.org/officeDocument/2006/relationships/hyperlink" Target="https://www.jumia.ci/slp/brosse-a-dents-electrique-oral-b-io3" TargetMode="External" Id="rId22" /><Relationship Type="http://schemas.openxmlformats.org/officeDocument/2006/relationships/hyperlink" Target="https://oralb.com/en-us/products/io-series-3-rechargeable-electric-toothbrush-white/" TargetMode="External" Id="rId23" /><Relationship Type="http://schemas.openxmlformats.org/officeDocument/2006/relationships/hyperlink" Target="https://www.jumia.ci/slp/brosse-a-dents-electrique-oral-b-io3" TargetMode="External" Id="rId24" /><Relationship Type="http://schemas.openxmlformats.org/officeDocument/2006/relationships/hyperlink" Target="https://www.electricteeth.com/oclean-x-pro-elite-review/" TargetMode="External" Id="rId25" /><Relationship Type="http://schemas.openxmlformats.org/officeDocument/2006/relationships/hyperlink" Target="https://www.techradar.com/reviews/oclean-x-pro-elite" TargetMode="External" Id="rId26" /><Relationship Type="http://schemas.openxmlformats.org/officeDocument/2006/relationships/hyperlink" Target="https://www.electricteeth.com/oclean-x-pro-elite-review/" TargetMode="External" Id="rId27" /><Relationship Type="http://schemas.openxmlformats.org/officeDocument/2006/relationships/hyperlink" Target="https://www.techradar.com/reviews/oclean-x-pro-elite" TargetMode="External" Id="rId28" /><Relationship Type="http://schemas.openxmlformats.org/officeDocument/2006/relationships/hyperlink" Target="https://www.electricteeth.com/oclean-x-pro-elite-review/" TargetMode="External" Id="rId29" /><Relationship Type="http://schemas.openxmlformats.org/officeDocument/2006/relationships/hyperlink" Target="https://www.techradar.com/reviews/oclean-x-pro-elite" TargetMode="External" Id="rId30" /><Relationship Type="http://schemas.openxmlformats.org/officeDocument/2006/relationships/hyperlink" Target="https://www.electricteeth.com/oclean-x-pro-elite-review/" TargetMode="External" Id="rId31" /><Relationship Type="http://schemas.openxmlformats.org/officeDocument/2006/relationships/hyperlink" Target="https://www.techradar.com/reviews/oclean-x-pro-elite" TargetMode="External" Id="rId32" /><Relationship Type="http://schemas.openxmlformats.org/officeDocument/2006/relationships/hyperlink" Target="https://www.electricteeth.com/oclean-x-pro-elite-review/" TargetMode="External" Id="rId33" /><Relationship Type="http://schemas.openxmlformats.org/officeDocument/2006/relationships/hyperlink" Target="https://www.techradar.com/reviews/oclean-x-pro-elite" TargetMode="External" Id="rId34" /><Relationship Type="http://schemas.openxmlformats.org/officeDocument/2006/relationships/hyperlink" Target="https://www.usa.philips.com/c-p/HX6817_01/sonicare-protectiveclean-4100-sonic-electric-toothbrush" TargetMode="External" Id="rId35" /><Relationship Type="http://schemas.openxmlformats.org/officeDocument/2006/relationships/hyperlink" Target="https://www.noon.com/uae-en/beauty/personal-care-16343/oral-hygiene/power-toothbrushes/philips_sonicare/" TargetMode="External" Id="rId36" /><Relationship Type="http://schemas.openxmlformats.org/officeDocument/2006/relationships/hyperlink" Target="https://www.jumia.ci/addigoes-brosse-a-dents-electrique-sonique-rechargeable-usb-6-modes-etanche-haute-frequence-4-tetes-de-brosse-nettoyage-dentaire-professionnel-noir-30497266.html" TargetMode="External" Id="rId37" /><Relationship Type="http://schemas.openxmlformats.org/officeDocument/2006/relationships/hyperlink" Target="https://www.jumia.ci/brosse-a-dents-electrique/" TargetMode="External" Id="rId38" /><Relationship Type="http://schemas.openxmlformats.org/officeDocument/2006/relationships/hyperlink" Target="https://www.jumia.ci/addigoes-brosse-a-dents-electrique-sonique-rechargeable-usb-6-modes-etanche-haute-frequence-4-tetes-de-brosse-nettoyage-dentaire-professionnel-noir-30497266.html" TargetMode="External" Id="rId39" /><Relationship Type="http://schemas.openxmlformats.org/officeDocument/2006/relationships/hyperlink" Target="https://www.jumia.ci/brosse-a-dents-electrique/" TargetMode="External" Id="rId40" /><Relationship Type="http://schemas.openxmlformats.org/officeDocument/2006/relationships/hyperlink" Target="https://www.jumia.ci/addigoes-brosse-a-dents-electrique-sonique-rechargeable-usb-6-modes-etanche-haute-frequence-4-tetes-de-brosse-nettoyage-dentaire-professionnel-noir-30497266.html" TargetMode="External" Id="rId41" /><Relationship Type="http://schemas.openxmlformats.org/officeDocument/2006/relationships/hyperlink" Target="https://www.jumia.ci/brosse-a-dents-electrique/" TargetMode="External" Id="rId42" /><Relationship Type="http://schemas.openxmlformats.org/officeDocument/2006/relationships/hyperlink" Target="https://www.usa.philips.com/c-p/HX6817_01/sonicare-protectiveclean-4100-sonic-electric-toothbrush" TargetMode="External" Id="rId43" /><Relationship Type="http://schemas.openxmlformats.org/officeDocument/2006/relationships/hyperlink" Target="https://www.noon.com/uae-en/beauty/personal-care-16343/oral-hygiene/power-toothbrushes/philips_sonicare/" TargetMode="External" Id="rId44" /><Relationship Type="http://schemas.openxmlformats.org/officeDocument/2006/relationships/hyperlink" Target="https://www.jumia.ci/addigoes-brosse-a-dents-electrique-sonique-rechargeable-usb-6-modes-etanche-haute-frequence-4-tetes-de-brosse-nettoyage-dentaire-professionnel-noir-30497266.html" TargetMode="External" Id="rId45" /><Relationship Type="http://schemas.openxmlformats.org/officeDocument/2006/relationships/hyperlink" Target="https://www.jumia.ci/brosse-a-dents-electrique/" TargetMode="External" Id="rId46" /><Relationship Type="http://schemas.openxmlformats.org/officeDocument/2006/relationships/hyperlink" Target="https://www.jumia.ci/addigoes-brosse-a-dents-electrique-sonique-rechargeable-usb-6-modes-etanche-haute-frequence-4-tetes-de-brosse-nettoyage-dentaire-professionnel-noir-30497266.html" TargetMode="External" Id="rId47" /><Relationship Type="http://schemas.openxmlformats.org/officeDocument/2006/relationships/hyperlink" Target="https://www.jumia.ci/brosse-a-dents-electrique/" TargetMode="External" Id="rId48" /><Relationship Type="http://schemas.openxmlformats.org/officeDocument/2006/relationships/hyperlink" Target="https://www.jumia.ci/addigoes-brosse-a-dents-electrique-sonique-rechargeable-usb-6-modes-etanche-haute-frequence-4-tetes-de-brosse-nettoyage-dentaire-professionnel-noir-30497266.html" TargetMode="External" Id="rId49" /><Relationship Type="http://schemas.openxmlformats.org/officeDocument/2006/relationships/hyperlink" Target="https://www.jumia.ci/brosse-a-dents-electrique/" TargetMode="External" Id="rId50" /><Relationship Type="http://schemas.openxmlformats.org/officeDocument/2006/relationships/hyperlink" Target="https://www.electricteeth.com/oclean-x-pro-elite-review/" TargetMode="External" Id="rId51" /><Relationship Type="http://schemas.openxmlformats.org/officeDocument/2006/relationships/hyperlink" Target="https://www.techradar.com/reviews/oclean-x-pro-elite" TargetMode="External" Id="rId52" /><Relationship Type="http://schemas.openxmlformats.org/officeDocument/2006/relationships/hyperlink" Target="https://www.electricteeth.com/oclean-x-pro-elite-review/" TargetMode="External" Id="rId53" /><Relationship Type="http://schemas.openxmlformats.org/officeDocument/2006/relationships/hyperlink" Target="https://www.techradar.com/reviews/oclean-x-pro-elite" TargetMode="External" Id="rId54" /><Relationship Type="http://schemas.openxmlformats.org/officeDocument/2006/relationships/hyperlink" Target="https://www.usa.philips.com/c-p/HX6817_01/sonicare-protectiveclean-4100-sonic-electric-toothbrush" TargetMode="External" Id="rId55" /><Relationship Type="http://schemas.openxmlformats.org/officeDocument/2006/relationships/hyperlink" Target="https://www.noon.com/uae-en/beauty/personal-care-16343/oral-hygiene/power-toothbrushes/philips_sonicare/" TargetMode="External" Id="rId56" /><Relationship Type="http://schemas.openxmlformats.org/officeDocument/2006/relationships/hyperlink" Target="https://www.usa.philips.com/c-p/HX6817_01/sonicare-protectiveclean-4100-sonic-electric-toothbrush" TargetMode="External" Id="rId57" /><Relationship Type="http://schemas.openxmlformats.org/officeDocument/2006/relationships/hyperlink" Target="https://www.noon.com/uae-en/beauty/personal-care-16343/oral-hygiene/power-toothbrushes/philips_sonicare/" TargetMode="External" Id="rId58" /><Relationship Type="http://schemas.openxmlformats.org/officeDocument/2006/relationships/hyperlink" Target="https://www.usa.philips.com/c-p/HX6817_01/sonicare-protectiveclean-4100-sonic-electric-toothbrush" TargetMode="External" Id="rId59" /><Relationship Type="http://schemas.openxmlformats.org/officeDocument/2006/relationships/hyperlink" Target="https://www.noon.com/uae-en/beauty/personal-care-16343/oral-hygiene/power-toothbrushes/philips_sonicare/" TargetMode="External" Id="rId60" /><Relationship Type="http://schemas.openxmlformats.org/officeDocument/2006/relationships/hyperlink" Target="https://www.usa.philips.com/c-p/HX6817_01/sonicare-protectiveclean-4100-sonic-electric-toothbrush" TargetMode="External" Id="rId61" /><Relationship Type="http://schemas.openxmlformats.org/officeDocument/2006/relationships/hyperlink" Target="https://www.noon.com/uae-en/beauty/personal-care-16343/oral-hygiene/power-toothbrushes/philips_sonicare/" TargetMode="External" Id="rId62" /><Relationship Type="http://schemas.openxmlformats.org/officeDocument/2006/relationships/hyperlink" Target="https://www.usa.philips.com/c-p/HX6817_01/sonicare-protectiveclean-4100-sonic-electric-toothbrush" TargetMode="External" Id="rId63" /><Relationship Type="http://schemas.openxmlformats.org/officeDocument/2006/relationships/hyperlink" Target="https://www.noon.com/uae-en/beauty/personal-care-16343/oral-hygiene/power-toothbrushes/philips_sonicare/" TargetMode="External" Id="rId64" /><Relationship Type="http://schemas.openxmlformats.org/officeDocument/2006/relationships/hyperlink" Target="https://www.jumia.ci/addigoes-brosse-a-dents-electrique-sonique-rechargeable-usb-6-modes-etanche-haute-frequence-4-tetes-de-brosse-nettoyage-dentaire-professionnel-noir-30497266.html" TargetMode="External" Id="rId65" /><Relationship Type="http://schemas.openxmlformats.org/officeDocument/2006/relationships/hyperlink" Target="https://www.jumia.ci/brosse-a-dents-electrique/" TargetMode="External" Id="rId66" /><Relationship Type="http://schemas.openxmlformats.org/officeDocument/2006/relationships/hyperlink" Target="https://www.usa.philips.com/c-p/HX6817_01/sonicare-protectiveclean-4100-sonic-electric-toothbrush" TargetMode="External" Id="rId67" /><Relationship Type="http://schemas.openxmlformats.org/officeDocument/2006/relationships/hyperlink" Target="https://www.noon.com/uae-en/beauty/personal-care-16343/oral-hygiene/power-toothbrushes/philips_sonicare/" TargetMode="External" Id="rId68" /><Relationship Type="http://schemas.openxmlformats.org/officeDocument/2006/relationships/hyperlink" Target="https://www.jumia.ci/slp/brosse-a-dents-electrique-durable-suri" TargetMode="External" Id="rId69" /><Relationship Type="http://schemas.openxmlformats.org/officeDocument/2006/relationships/hyperlink" Target="https://www.jumia.ci/brosse-a-dents-electrique/" TargetMode="External" Id="rId70" /><Relationship Type="http://schemas.openxmlformats.org/officeDocument/2006/relationships/hyperlink" Target="https://www.usa.philips.com/c-p/HX6817_01/sonicare-protectiveclean-4100-sonic-electric-toothbrush" TargetMode="External" Id="rId71" /><Relationship Type="http://schemas.openxmlformats.org/officeDocument/2006/relationships/hyperlink" Target="https://www.noon.com/uae-en/beauty/personal-care-16343/oral-hygiene/power-toothbrushes/philips_sonicare/" TargetMode="External" Id="rId72" /><Relationship Type="http://schemas.openxmlformats.org/officeDocument/2006/relationships/hyperlink" Target="https://www.usa.philips.com/c-p/HX6817_01/sonicare-protectiveclean-4100-sonic-electric-toothbrush" TargetMode="External" Id="rId73" /><Relationship Type="http://schemas.openxmlformats.org/officeDocument/2006/relationships/hyperlink" Target="https://www.noon.com/uae-en/beauty/personal-care-16343/oral-hygiene/power-toothbrushes/philips_sonicare/" TargetMode="External" Id="rId74" /><Relationship Type="http://schemas.openxmlformats.org/officeDocument/2006/relationships/hyperlink" Target="https://www.jumia.ci/slp/brosse-a-dents-electrique-durable-suri" TargetMode="External" Id="rId75" /><Relationship Type="http://schemas.openxmlformats.org/officeDocument/2006/relationships/hyperlink" Target="https://www.jumia.ci/brosse-a-dents-electrique/" TargetMode="External" Id="rId76" /><Relationship Type="http://schemas.openxmlformats.org/officeDocument/2006/relationships/hyperlink" Target="https://www.usmile.com/electrictoothbrush/info.html?id=4" TargetMode="External" Id="rId77" /><Relationship Type="http://schemas.openxmlformats.org/officeDocument/2006/relationships/hyperlink" Target="https://www.ada.org/resources/research/science/ada-seal-of-acceptance/product-search/a065e00000BWImYAAX/usmile-sonic-electric-toothbrush-y1s" TargetMode="External" Id="rId78" /><Relationship Type="http://schemas.openxmlformats.org/officeDocument/2006/relationships/hyperlink" Target="https://www.colgate.com/en-my/products/toothbrush/colgate-proclinical-150-charcoal-battery-powered-toothbrush" TargetMode="External" Id="rId79" /><Relationship Type="http://schemas.openxmlformats.org/officeDocument/2006/relationships/hyperlink" Target="https://www.colgate.com/en-my/products/toothbrush/colgate-proclinical-150-deepclean-battery-powered-toothbrush" TargetMode="External" Id="rId80" /><Relationship Type="http://schemas.openxmlformats.org/officeDocument/2006/relationships/hyperlink" Target="https://www.colgate.com/en-my/products/toothbrush/colgate-proclinical-150-charcoal-battery-powered-toothbrush" TargetMode="External" Id="rId81" /><Relationship Type="http://schemas.openxmlformats.org/officeDocument/2006/relationships/hyperlink" Target="https://www.colgate.com/en-my/products/toothbrush/colgate-proclinical-150-deepclean-battery-powered-toothbrush" TargetMode="External" Id="rId82" /><Relationship Type="http://schemas.openxmlformats.org/officeDocument/2006/relationships/hyperlink" Target="https://www.jumia.ci/slp/brosse-a-dents-electrique-durable-suri" TargetMode="External" Id="rId83" /><Relationship Type="http://schemas.openxmlformats.org/officeDocument/2006/relationships/hyperlink" Target="https://www.jumia.ci/brosse-a-dents-electrique/" TargetMode="External" Id="rId84" /><Relationship Type="http://schemas.openxmlformats.org/officeDocument/2006/relationships/hyperlink" Target="https://www.jumia.ci/addigoes-brosse-a-dents-electrique-sonique-rechargeable-usb-6-modes-etanche-haute-frequence-4-tetes-de-brosse-nettoyage-dentaire-professionnel-noir-30497266.html" TargetMode="External" Id="rId85" /><Relationship Type="http://schemas.openxmlformats.org/officeDocument/2006/relationships/hyperlink" Target="https://www.jumia.ci/brosse-a-dents-electrique/" TargetMode="External" Id="rId86" /><Relationship Type="http://schemas.openxmlformats.org/officeDocument/2006/relationships/hyperlink" Target="https://www.jumia.ci/addigoes-brosse-a-dents-electrique-sonique-rechargeable-usb-6-modes-etanche-haute-frequence-4-tetes-de-brosse-nettoyage-dentaire-professionnel-noir-30497266.html" TargetMode="External" Id="rId87" /><Relationship Type="http://schemas.openxmlformats.org/officeDocument/2006/relationships/hyperlink" Target="https://www.jumia.ci/brosse-a-dents-electrique/" TargetMode="External" Id="rId88" /><Relationship Type="http://schemas.openxmlformats.org/officeDocument/2006/relationships/hyperlink" Target="https://www.usmile.com/electrictoothbrush/info.html?id=4" TargetMode="External" Id="rId89" /><Relationship Type="http://schemas.openxmlformats.org/officeDocument/2006/relationships/hyperlink" Target="https://www.ada.org/resources/research/science/ada-seal-of-acceptance/product-search/a065e00000BWImYAAX/usmile-sonic-electric-toothbrush-y1s" TargetMode="External" Id="rId90" /><Relationship Type="http://schemas.openxmlformats.org/officeDocument/2006/relationships/hyperlink" Target="https://www.jumia.ci/addigoes-brosse-a-dents-electrique-sonique-rechargeable-usb-6-modes-etanche-haute-frequence-4-tetes-de-brosse-nettoyage-dentaire-professionnel-noir-30497266.html" TargetMode="External" Id="rId91" /><Relationship Type="http://schemas.openxmlformats.org/officeDocument/2006/relationships/hyperlink" Target="https://www.jumia.ci/brosse-a-dents-electrique/" TargetMode="External" Id="rId92" /><Relationship Type="http://schemas.openxmlformats.org/officeDocument/2006/relationships/hyperlink" Target="https://www.jumia.ci/addigoes-brosse-a-dents-electrique-sonique-rechargeable-usb-6-modes-etanche-haute-frequence-4-tetes-de-brosse-nettoyage-dentaire-professionnel-noir-30497266.html" TargetMode="External" Id="rId93" /><Relationship Type="http://schemas.openxmlformats.org/officeDocument/2006/relationships/hyperlink" Target="https://www.jumia.ci/brosse-a-dents-electrique/" TargetMode="External" Id="rId94" /><Relationship Type="http://schemas.openxmlformats.org/officeDocument/2006/relationships/hyperlink" Target="https://www.jumia.ci/addigoes-brosse-a-dents-electrique-sonique-rechargeable-usb-6-modes-etanche-haute-frequence-4-tetes-de-brosse-nettoyage-dentaire-professionnel-noir-30497266.html" TargetMode="External" Id="rId95" /><Relationship Type="http://schemas.openxmlformats.org/officeDocument/2006/relationships/hyperlink" Target="https://www.jumia.ci/brosse-a-dents-electrique/" TargetMode="External" Id="rId96" /><Relationship Type="http://schemas.openxmlformats.org/officeDocument/2006/relationships/hyperlink" Target="https://www.fairywill.com/products/fairywill-electric-toothbrush-30-days-usage-5-modes-changeable-heads-timer" TargetMode="External" Id="rId97" /><Relationship Type="http://schemas.openxmlformats.org/officeDocument/2006/relationships/hyperlink" Target="https://www.jumia.ma/brosse-a-dents-electrique/fairywill/" TargetMode="External" Id="rId98" /><Relationship Type="http://schemas.openxmlformats.org/officeDocument/2006/relationships/hyperlink" Target="https://www.jumia.ci/slp/brosse-a-dents-electrique-durable-suri" TargetMode="External" Id="rId99" /><Relationship Type="http://schemas.openxmlformats.org/officeDocument/2006/relationships/hyperlink" Target="https://www.jumia.ci/brosse-a-dents-electrique/" TargetMode="External" Id="rId100" /><Relationship Type="http://schemas.openxmlformats.org/officeDocument/2006/relationships/hyperlink" Target="https://www.jumia.ci/slp/brosse-a-dents-electrique-durable-suri" TargetMode="External" Id="rId101" /><Relationship Type="http://schemas.openxmlformats.org/officeDocument/2006/relationships/hyperlink" Target="https://www.jumia.ci/brosse-a-dents-electrique/" TargetMode="External" Id="rId102" /><Relationship Type="http://schemas.openxmlformats.org/officeDocument/2006/relationships/hyperlink" Target="https://www.fairywill.com/products/fairywill-electric-toothbrush-30-days-usage-5-modes-changeable-heads-timer" TargetMode="External" Id="rId103" /><Relationship Type="http://schemas.openxmlformats.org/officeDocument/2006/relationships/hyperlink" Target="https://www.jumia.ma/brosse-a-dents-electrique/fairywill/" TargetMode="External" Id="rId104" /><Relationship Type="http://schemas.openxmlformats.org/officeDocument/2006/relationships/hyperlink" Target="https://www.jumia.ci/slp/brosse-a-dents-electrique-durable-suri" TargetMode="External" Id="rId105" /><Relationship Type="http://schemas.openxmlformats.org/officeDocument/2006/relationships/hyperlink" Target="https://www.jumia.ci/brosse-a-dents-electrique/" TargetMode="External" Id="rId106" /><Relationship Type="http://schemas.openxmlformats.org/officeDocument/2006/relationships/hyperlink" Target="https://www.colgate.com/en-my/products/toothbrush/colgate-proclinical-150-charcoal-battery-powered-toothbrush" TargetMode="External" Id="rId107" /><Relationship Type="http://schemas.openxmlformats.org/officeDocument/2006/relationships/hyperlink" Target="https://www.colgate.com/en-my/products/toothbrush/colgate-proclinical-150-deepclean-battery-powered-toothbrush" TargetMode="External" Id="rId108" /><Relationship Type="http://schemas.openxmlformats.org/officeDocument/2006/relationships/hyperlink" Target="https://www.colgate.com/en-my/products/toothbrush/colgate-proclinical-150-charcoal-battery-powered-toothbrush" TargetMode="External" Id="rId109" /><Relationship Type="http://schemas.openxmlformats.org/officeDocument/2006/relationships/hyperlink" Target="https://www.colgate.com/en-my/products/toothbrush/colgate-proclinical-150-deepclean-battery-powered-toothbrush" TargetMode="External" Id="rId110" /><Relationship Type="http://schemas.openxmlformats.org/officeDocument/2006/relationships/hyperlink" Target="https://www.colgate.com/en-my/products/toothbrush/colgate-proclinical-150-charcoal-battery-powered-toothbrush" TargetMode="External" Id="rId111" /><Relationship Type="http://schemas.openxmlformats.org/officeDocument/2006/relationships/hyperlink" Target="https://www.colgate.com/en-my/products/toothbrush/colgate-proclinical-150-deepclean-battery-powered-toothbrush" TargetMode="External" Id="rId112" /><Relationship Type="http://schemas.openxmlformats.org/officeDocument/2006/relationships/hyperlink" Target="https://www.colgate.com/en-my/products/toothbrush/colgate-proclinical-150-charcoal-battery-powered-toothbrush" TargetMode="External" Id="rId113" /><Relationship Type="http://schemas.openxmlformats.org/officeDocument/2006/relationships/hyperlink" Target="https://www.colgate.com/en-my/products/toothbrush/colgate-proclinical-150-deepclean-battery-powered-toothbrush" TargetMode="External" Id="rId114" /><Relationship Type="http://schemas.openxmlformats.org/officeDocument/2006/relationships/hyperlink" Target="https://www.colgate.com/en-my/products/toothbrush/colgate-proclinical-150-charcoal-battery-powered-toothbrush" TargetMode="External" Id="rId115" /><Relationship Type="http://schemas.openxmlformats.org/officeDocument/2006/relationships/hyperlink" Target="https://www.colgate.com/en-my/products/toothbrush/colgate-proclinical-150-deepclean-battery-powered-toothbrush" TargetMode="External" Id="rId116" /><Relationship Type="http://schemas.openxmlformats.org/officeDocument/2006/relationships/hyperlink" Target="https://www.colgate.com/en-my/products/toothbrush/colgate-proclinical-150-charcoal-battery-powered-toothbrush" TargetMode="External" Id="rId117" /><Relationship Type="http://schemas.openxmlformats.org/officeDocument/2006/relationships/hyperlink" Target="https://www.colgate.com/en-my/products/toothbrush/colgate-proclinical-150-deepclean-battery-powered-toothbrush" TargetMode="External" Id="rId118" /><Relationship Type="http://schemas.openxmlformats.org/officeDocument/2006/relationships/hyperlink" Target="https://www.colgate.com/en-my/products/toothbrush/colgate-proclinical-150-charcoal-battery-powered-toothbrush" TargetMode="External" Id="rId119" /><Relationship Type="http://schemas.openxmlformats.org/officeDocument/2006/relationships/hyperlink" Target="https://www.colgate.com/en-my/products/toothbrush/colgate-proclinical-150-deepclean-battery-powered-toothbrush" TargetMode="External" Id="rId120" /><Relationship Type="http://schemas.openxmlformats.org/officeDocument/2006/relationships/hyperlink" Target="https://www.colgate.com/en-my/products/toothbrush/colgate-proclinical-150-charcoal-battery-powered-toothbrush" TargetMode="External" Id="rId121" /><Relationship Type="http://schemas.openxmlformats.org/officeDocument/2006/relationships/hyperlink" Target="https://www.colgate.com/en-my/products/toothbrush/colgate-proclinical-150-deepclean-battery-powered-toothbrush" TargetMode="External" Id="rId122" /><Relationship Type="http://schemas.openxmlformats.org/officeDocument/2006/relationships/hyperlink" Target="https://www.usa.philips.com/c-p/HX6817_01/sonicare-protectiveclean-4100-sonic-electric-toothbrush" TargetMode="External" Id="rId123" /><Relationship Type="http://schemas.openxmlformats.org/officeDocument/2006/relationships/hyperlink" Target="https://www.noon.com/uae-en/beauty/personal-care-16343/oral-hygiene/power-toothbrushes/philips_sonicare/" TargetMode="External" Id="rId124" /><Relationship Type="http://schemas.openxmlformats.org/officeDocument/2006/relationships/hyperlink" Target="https://www.colgate.com/en-my/products/toothbrush/colgate-proclinical-150-charcoal-battery-powered-toothbrush" TargetMode="External" Id="rId125" /><Relationship Type="http://schemas.openxmlformats.org/officeDocument/2006/relationships/hyperlink" Target="https://www.colgate.com/en-my/products/toothbrush/colgate-proclinical-150-deepclean-battery-powered-toothbrush" TargetMode="External" Id="rId126" /><Relationship Type="http://schemas.openxmlformats.org/officeDocument/2006/relationships/hyperlink" Target="https://www.colgate.com/en-my/products/toothbrush/colgate-proclinical-150-charcoal-battery-powered-toothbrush" TargetMode="External" Id="rId127" /><Relationship Type="http://schemas.openxmlformats.org/officeDocument/2006/relationships/hyperlink" Target="https://www.colgate.com/en-my/products/toothbrush/colgate-proclinical-150-deepclean-battery-powered-toothbrush" TargetMode="External" Id="rId128" /><Relationship Type="http://schemas.openxmlformats.org/officeDocument/2006/relationships/hyperlink" Target="https://www.colgate.com/en-my/products/toothbrush/colgate-proclinical-150-charcoal-battery-powered-toothbrush" TargetMode="External" Id="rId129" /><Relationship Type="http://schemas.openxmlformats.org/officeDocument/2006/relationships/hyperlink" Target="https://www.colgate.com/en-my/products/toothbrush/colgate-proclinical-150-deepclean-battery-powered-toothbrush" TargetMode="External" Id="rId130" /><Relationship Type="http://schemas.openxmlformats.org/officeDocument/2006/relationships/hyperlink" Target="https://www.colgate.com/en-my/products/toothbrush/colgate-proclinical-150-charcoal-battery-powered-toothbrush" TargetMode="External" Id="rId131" /><Relationship Type="http://schemas.openxmlformats.org/officeDocument/2006/relationships/hyperlink" Target="https://www.colgate.com/en-my/products/toothbrush/colgate-proclinical-150-deepclean-battery-powered-toothbrush" TargetMode="External" Id="rId132" /><Relationship Type="http://schemas.openxmlformats.org/officeDocument/2006/relationships/hyperlink" Target="https://www.colgate.com/en-my/products/toothbrush/colgate-proclinical-150-charcoal-battery-powered-toothbrush" TargetMode="External" Id="rId133" /><Relationship Type="http://schemas.openxmlformats.org/officeDocument/2006/relationships/hyperlink" Target="https://www.colgate.com/en-my/products/toothbrush/colgate-proclinical-150-deepclean-battery-powered-toothbrush" TargetMode="External" Id="rId134" /><Relationship Type="http://schemas.openxmlformats.org/officeDocument/2006/relationships/hyperlink" Target="https://www.colgate.com/en-my/products/toothbrush/colgate-proclinical-150-charcoal-battery-powered-toothbrush" TargetMode="External" Id="rId135" /><Relationship Type="http://schemas.openxmlformats.org/officeDocument/2006/relationships/hyperlink" Target="https://www.colgate.com/en-my/products/toothbrush/colgate-proclinical-150-deepclean-battery-powered-toothbrush" TargetMode="External" Id="rId136" /><Relationship Type="http://schemas.openxmlformats.org/officeDocument/2006/relationships/hyperlink" Target="https://www.colgate.com/en-my/products/toothbrush/colgate-proclinical-150-charcoal-battery-powered-toothbrush" TargetMode="External" Id="rId137" /><Relationship Type="http://schemas.openxmlformats.org/officeDocument/2006/relationships/hyperlink" Target="https://www.colgate.com/en-my/products/toothbrush/colgate-proclinical-150-deepclean-battery-powered-toothbrush" TargetMode="External" Id="rId138" /><Relationship Type="http://schemas.openxmlformats.org/officeDocument/2006/relationships/hyperlink" Target="https://www.colgate.com/en-my/products/toothbrush/colgate-proclinical-150-charcoal-battery-powered-toothbrush" TargetMode="External" Id="rId139" /><Relationship Type="http://schemas.openxmlformats.org/officeDocument/2006/relationships/hyperlink" Target="https://www.colgate.com/en-my/products/toothbrush/colgate-proclinical-150-deepclean-battery-powered-toothbrush" TargetMode="External" Id="rId140" /><Relationship Type="http://schemas.openxmlformats.org/officeDocument/2006/relationships/hyperlink" Target="https://www.colgate.com/en-my/products/toothbrush/colgate-proclinical-150-charcoal-battery-powered-toothbrush" TargetMode="External" Id="rId141" /><Relationship Type="http://schemas.openxmlformats.org/officeDocument/2006/relationships/hyperlink" Target="https://www.colgate.com/en-my/products/toothbrush/colgate-proclinical-150-deepclean-battery-powered-toothbrush" TargetMode="External" Id="rId142" /><Relationship Type="http://schemas.openxmlformats.org/officeDocument/2006/relationships/hyperlink" Target="https://www.colgate.com/en-my/products/toothbrush/colgate-proclinical-150-charcoal-battery-powered-toothbrush" TargetMode="External" Id="rId143" /><Relationship Type="http://schemas.openxmlformats.org/officeDocument/2006/relationships/hyperlink" Target="https://www.colgate.com/en-my/products/toothbrush/colgate-proclinical-150-deepclean-battery-powered-toothbrush" TargetMode="External" Id="rId144" /><Relationship Type="http://schemas.openxmlformats.org/officeDocument/2006/relationships/hyperlink" Target="https://www.colgate.com/en-my/products/toothbrush/colgate-proclinical-150-charcoal-battery-powered-toothbrush" TargetMode="External" Id="rId145" /><Relationship Type="http://schemas.openxmlformats.org/officeDocument/2006/relationships/hyperlink" Target="https://www.colgate.com/en-my/products/toothbrush/colgate-proclinical-150-deepclean-battery-powered-toothbrush" TargetMode="External" Id="rId146" /><Relationship Type="http://schemas.openxmlformats.org/officeDocument/2006/relationships/hyperlink" Target="https://www.colgate.com/en-my/products/toothbrush/colgate-proclinical-150-charcoal-battery-powered-toothbrush" TargetMode="External" Id="rId147" /><Relationship Type="http://schemas.openxmlformats.org/officeDocument/2006/relationships/hyperlink" Target="https://www.colgate.com/en-my/products/toothbrush/colgate-proclinical-150-deepclean-battery-powered-toothbrush" TargetMode="External" Id="rId148" /><Relationship Type="http://schemas.openxmlformats.org/officeDocument/2006/relationships/hyperlink" Target="https://www.colgate.com/en-my/products/toothbrush/colgate-proclinical-150-charcoal-battery-powered-toothbrush" TargetMode="External" Id="rId149" /><Relationship Type="http://schemas.openxmlformats.org/officeDocument/2006/relationships/hyperlink" Target="https://www.colgate.com/en-my/products/toothbrush/colgate-proclinical-150-deepclean-battery-powered-toothbrush" TargetMode="External" Id="rId150" /><Relationship Type="http://schemas.openxmlformats.org/officeDocument/2006/relationships/hyperlink" Target="https://www.colgate.com/en-my/products/toothbrush/colgate-proclinical-150-charcoal-battery-powered-toothbrush" TargetMode="External" Id="rId151" /><Relationship Type="http://schemas.openxmlformats.org/officeDocument/2006/relationships/hyperlink" Target="https://www.colgate.com/en-my/products/toothbrush/colgate-proclinical-150-deepclean-battery-powered-toothbrush" TargetMode="External" Id="rId152" /><Relationship Type="http://schemas.openxmlformats.org/officeDocument/2006/relationships/hyperlink" Target="https://www.colgate.com/en-my/products/toothbrush/colgate-proclinical-150-charcoal-battery-powered-toothbrush" TargetMode="External" Id="rId153" /><Relationship Type="http://schemas.openxmlformats.org/officeDocument/2006/relationships/hyperlink" Target="https://www.colgate.com/en-my/products/toothbrush/colgate-proclinical-150-deepclean-battery-powered-toothbrush" TargetMode="External" Id="rId154" /><Relationship Type="http://schemas.openxmlformats.org/officeDocument/2006/relationships/hyperlink" Target="https://www.colgate.com/en-my/products/toothbrush/colgate-proclinical-150-charcoal-battery-powered-toothbrush" TargetMode="External" Id="rId155" /><Relationship Type="http://schemas.openxmlformats.org/officeDocument/2006/relationships/hyperlink" Target="https://www.colgate.com/en-my/products/toothbrush/colgate-proclinical-150-deepclean-battery-powered-toothbrush" TargetMode="External" Id="rId156" /><Relationship Type="http://schemas.openxmlformats.org/officeDocument/2006/relationships/hyperlink" Target="https://www.colgate.com/en-my/products/toothbrush/colgate-proclinical-150-charcoal-battery-powered-toothbrush" TargetMode="External" Id="rId157" /><Relationship Type="http://schemas.openxmlformats.org/officeDocument/2006/relationships/hyperlink" Target="https://www.colgate.com/en-my/products/toothbrush/colgate-proclinical-150-deepclean-battery-powered-toothbrush" TargetMode="External" Id="rId158" /><Relationship Type="http://schemas.openxmlformats.org/officeDocument/2006/relationships/hyperlink" Target="https://www.colgate.com/en-my/products/toothbrush/colgate-proclinical-150-charcoal-battery-powered-toothbrush" TargetMode="External" Id="rId159" /><Relationship Type="http://schemas.openxmlformats.org/officeDocument/2006/relationships/hyperlink" Target="https://www.colgate.com/en-my/products/toothbrush/colgate-proclinical-150-deepclean-battery-powered-toothbrush" TargetMode="External" Id="rId160" /><Relationship Type="http://schemas.openxmlformats.org/officeDocument/2006/relationships/hyperlink" Target="https://www.colgate.com/en-my/products/toothbrush/colgate-proclinical-150-charcoal-battery-powered-toothbrush" TargetMode="External" Id="rId161" /><Relationship Type="http://schemas.openxmlformats.org/officeDocument/2006/relationships/hyperlink" Target="https://www.colgate.com/en-my/products/toothbrush/colgate-proclinical-150-deepclean-battery-powered-toothbrush" TargetMode="External" Id="rId162" /><Relationship Type="http://schemas.openxmlformats.org/officeDocument/2006/relationships/hyperlink" Target="https://www.colgate.com/en-my/products/toothbrush/colgate-proclinical-150-charcoal-battery-powered-toothbrush" TargetMode="External" Id="rId163" /><Relationship Type="http://schemas.openxmlformats.org/officeDocument/2006/relationships/hyperlink" Target="https://www.colgate.com/en-my/products/toothbrush/colgate-proclinical-150-deepclean-battery-powered-toothbrush" TargetMode="External" Id="rId164" /><Relationship Type="http://schemas.openxmlformats.org/officeDocument/2006/relationships/hyperlink" Target="https://www.colgate.com/en-my/products/toothbrush/colgate-proclinical-150-charcoal-battery-powered-toothbrush" TargetMode="External" Id="rId165" /><Relationship Type="http://schemas.openxmlformats.org/officeDocument/2006/relationships/hyperlink" Target="https://www.colgate.com/en-my/products/toothbrush/colgate-proclinical-150-deepclean-battery-powered-toothbrush" TargetMode="External" Id="rId166" /><Relationship Type="http://schemas.openxmlformats.org/officeDocument/2006/relationships/hyperlink" Target="https://www.colgate.com/en-my/products/toothbrush/colgate-proclinical-150-charcoal-battery-powered-toothbrush" TargetMode="External" Id="rId167" /><Relationship Type="http://schemas.openxmlformats.org/officeDocument/2006/relationships/hyperlink" Target="https://www.colgate.com/en-my/products/toothbrush/colgate-proclinical-150-deepclean-battery-powered-toothbrush" TargetMode="External" Id="rId168" /><Relationship Type="http://schemas.openxmlformats.org/officeDocument/2006/relationships/hyperlink" Target="https://www.jumia.ci/slp/brosse-a-dents-electrique-durable-suri" TargetMode="External" Id="rId169" /><Relationship Type="http://schemas.openxmlformats.org/officeDocument/2006/relationships/hyperlink" Target="https://www.jumia.ci/brosse-a-dents-electrique/" TargetMode="External" Id="rId170" /><Relationship Type="http://schemas.openxmlformats.org/officeDocument/2006/relationships/hyperlink" Target="https://www.jumia.ci/slp/brosse-a-dents-electrique-durable-suri" TargetMode="External" Id="rId171" /><Relationship Type="http://schemas.openxmlformats.org/officeDocument/2006/relationships/hyperlink" Target="https://www.jumia.ci/brosse-a-dents-electrique/" TargetMode="External" Id="rId172" /><Relationship Type="http://schemas.openxmlformats.org/officeDocument/2006/relationships/hyperlink" Target="https://www.usa.philips.com/c-p/HX6321_02/sonicare-for-kids-sonic-electric-toothbrush" TargetMode="External" Id="rId173" /><Relationship Type="http://schemas.openxmlformats.org/officeDocument/2006/relationships/hyperlink" Target="https://www.philips.com/c-dam/b2c/category-pages/personal-care/POHC/resource-library-docs/HX6321-03%20LEAFLET-Sonicare-%20For-Kids-%20Connected-Electric-Toothbrush.pdf" TargetMode="External" Id="rId174" /><Relationship Type="http://schemas.openxmlformats.org/officeDocument/2006/relationships/hyperlink" Target="https://www.usa.philips.com/c-p/HX6321_02/sonicare-for-kids-sonic-electric-toothbrush" TargetMode="External" Id="rId175" /><Relationship Type="http://schemas.openxmlformats.org/officeDocument/2006/relationships/hyperlink" Target="https://www.philips.com/c-dam/b2c/category-pages/personal-care/POHC/resource-library-docs/HX6321-03%20LEAFLET-Sonicare-%20For-Kids-%20Connected-Electric-Toothbrush.pdf" TargetMode="External" Id="rId176" /><Relationship Type="http://schemas.openxmlformats.org/officeDocument/2006/relationships/hyperlink" Target="https://www.usa.philips.com/c-p/HX6321_02/sonicare-for-kids-sonic-electric-toothbrush" TargetMode="External" Id="rId177" /><Relationship Type="http://schemas.openxmlformats.org/officeDocument/2006/relationships/hyperlink" Target="https://www.philips.com/c-dam/b2c/category-pages/personal-care/POHC/resource-library-docs/HX6321-03%20LEAFLET-Sonicare-%20For-Kids-%20Connected-Electric-Toothbrush.pdf" TargetMode="External" Id="rId178" /><Relationship Type="http://schemas.openxmlformats.org/officeDocument/2006/relationships/hyperlink" Target="https://www.usa.philips.com/c-p/HX6321_02/sonicare-for-kids-sonic-electric-toothbrush" TargetMode="External" Id="rId179" /><Relationship Type="http://schemas.openxmlformats.org/officeDocument/2006/relationships/hyperlink" Target="https://www.philips.com/c-dam/b2c/category-pages/personal-care/POHC/resource-library-docs/HX6321-03%20LEAFLET-Sonicare-%20For-Kids-%20Connected-Electric-Toothbrush.pdf" TargetMode="External" Id="rId180" /><Relationship Type="http://schemas.openxmlformats.org/officeDocument/2006/relationships/hyperlink" Target="https://www.usa.philips.com/c-p/HX6321_02/sonicare-for-kids-sonic-electric-toothbrush" TargetMode="External" Id="rId181" /><Relationship Type="http://schemas.openxmlformats.org/officeDocument/2006/relationships/hyperlink" Target="https://www.philips.com/c-dam/b2c/category-pages/personal-care/POHC/resource-library-docs/HX6321-03%20LEAFLET-Sonicare-%20For-Kids-%20Connected-Electric-Toothbrush.pdf" TargetMode="External" Id="rId182" /><Relationship Type="http://schemas.openxmlformats.org/officeDocument/2006/relationships/hyperlink" Target="https://www.usa.philips.com/c-p/HX6321_02/sonicare-for-kids-sonic-electric-toothbrush" TargetMode="External" Id="rId183" /><Relationship Type="http://schemas.openxmlformats.org/officeDocument/2006/relationships/hyperlink" Target="https://www.philips.com/c-dam/b2c/category-pages/personal-care/POHC/resource-library-docs/HX6321-03%20LEAFLET-Sonicare-%20For-Kids-%20Connected-Electric-Toothbrush.pdf" TargetMode="External" Id="rId184" /><Relationship Type="http://schemas.openxmlformats.org/officeDocument/2006/relationships/hyperlink" Target="https://www.amazon.com/Oral-B-Pro-Health-Battery-Toothbrush-featuring/dp/B01AKGRSCG" TargetMode="External" Id="rId185" /><Relationship Type="http://schemas.openxmlformats.org/officeDocument/2006/relationships/hyperlink" Target="https://oralb.com/en-us/products/more-products/kids-products/kids-battery-toothbrush-featuring-disney-princess/" TargetMode="External" Id="rId186" /><Relationship Type="http://schemas.openxmlformats.org/officeDocument/2006/relationships/hyperlink" Target="https://www.amazon.com/Oral-B-Pro-Health-Battery-Toothbrush-featuring/dp/B01AKGRSCG" TargetMode="External" Id="rId187" /><Relationship Type="http://schemas.openxmlformats.org/officeDocument/2006/relationships/hyperlink" Target="https://oralb.com/en-us/products/more-products/kids-products/kids-battery-toothbrush-featuring-disney-princess/" TargetMode="External" Id="rId188" /><Relationship Type="http://schemas.openxmlformats.org/officeDocument/2006/relationships/hyperlink" Target="https://www.amazon.com/Oral-B-Pro-Health-Battery-Toothbrush-featuring/dp/B01AKGRSCG" TargetMode="External" Id="rId189" /><Relationship Type="http://schemas.openxmlformats.org/officeDocument/2006/relationships/hyperlink" Target="https://oralb.com/en-us/products/more-products/kids-products/kids-battery-toothbrush-featuring-disney-princess/" TargetMode="External" Id="rId190" /><Relationship Type="http://schemas.openxmlformats.org/officeDocument/2006/relationships/hyperlink" Target="https://www.amazon.com/Oral-B-Pro-Health-Battery-Toothbrush-featuring/dp/B01AKGRSCG" TargetMode="External" Id="rId191" /><Relationship Type="http://schemas.openxmlformats.org/officeDocument/2006/relationships/hyperlink" Target="https://oralb.com/en-us/products/more-products/kids-products/kids-battery-toothbrush-featuring-disney-princess/" TargetMode="External" Id="rId192" /><Relationship Type="http://schemas.openxmlformats.org/officeDocument/2006/relationships/hyperlink" Target="https://www.amazon.com/Oral-B-Pro-Health-Battery-Toothbrush-featuring/dp/B01AKGRSCG" TargetMode="External" Id="rId193" /><Relationship Type="http://schemas.openxmlformats.org/officeDocument/2006/relationships/hyperlink" Target="https://oralb.com/en-us/products/more-products/kids-products/kids-battery-toothbrush-featuring-disney-princess/" TargetMode="External" Id="rId194" /><Relationship Type="http://schemas.openxmlformats.org/officeDocument/2006/relationships/hyperlink" Target="https://www.amazon.com/Oral-B-Pro-Health-Battery-Toothbrush-featuring/dp/B01AKGRSCG" TargetMode="External" Id="rId195" /><Relationship Type="http://schemas.openxmlformats.org/officeDocument/2006/relationships/hyperlink" Target="https://oralb.com/en-us/products/more-products/kids-products/kids-battery-toothbrush-featuring-disney-princess/" TargetMode="External" Id="rId196" /><Relationship Type="http://schemas.openxmlformats.org/officeDocument/2006/relationships/hyperlink" Target="https://www.amazon.com/Oral-B-Pro-Health-Battery-Toothbrush-featuring/dp/B01AKGRSCG" TargetMode="External" Id="rId197" /><Relationship Type="http://schemas.openxmlformats.org/officeDocument/2006/relationships/hyperlink" Target="https://oralb.com/en-us/products/more-products/kids-products/kids-battery-toothbrush-featuring-disney-princess/" TargetMode="External" Id="rId198" /><Relationship Type="http://schemas.openxmlformats.org/officeDocument/2006/relationships/hyperlink" Target="https://www.amazon.com/Oral-B-Pro-Health-Battery-Toothbrush-featuring/dp/B01AKGRSCG" TargetMode="External" Id="rId199" /><Relationship Type="http://schemas.openxmlformats.org/officeDocument/2006/relationships/hyperlink" Target="https://oralb.com/en-us/products/more-products/kids-products/kids-battery-toothbrush-featuring-disney-princess/" TargetMode="External" Id="rId200" /><Relationship Type="http://schemas.openxmlformats.org/officeDocument/2006/relationships/hyperlink" Target="https://www.amazon.com/Oral-B-Pro-Health-Battery-Toothbrush-featuring/dp/B01AKGRSCG" TargetMode="External" Id="rId201" /><Relationship Type="http://schemas.openxmlformats.org/officeDocument/2006/relationships/hyperlink" Target="https://oralb.com/en-us/products/more-products/kids-products/kids-battery-toothbrush-featuring-disney-princess/" TargetMode="External" Id="rId202" /><Relationship Type="http://schemas.openxmlformats.org/officeDocument/2006/relationships/hyperlink" Target="https://www.amazon.com/Oral-B-Pro-Health-Battery-Toothbrush-featuring/dp/B01AKGRSCG" TargetMode="External" Id="rId203" /><Relationship Type="http://schemas.openxmlformats.org/officeDocument/2006/relationships/hyperlink" Target="https://oralb.com/en-us/products/more-products/kids-products/kids-battery-toothbrush-featuring-disney-princess/" TargetMode="External" Id="rId204" /><Relationship Type="http://schemas.openxmlformats.org/officeDocument/2006/relationships/hyperlink" Target="https://www.usa.philips.com/c-p/HX6321_02/sonicare-for-kids-sonic-electric-toothbrush" TargetMode="External" Id="rId205" /><Relationship Type="http://schemas.openxmlformats.org/officeDocument/2006/relationships/hyperlink" Target="https://www.philips.com/c-dam/b2c/category-pages/personal-care/POHC/resource-library-docs/HX6321-03%20LEAFLET-Sonicare-%20For-Kids-%20Connected-Electric-Toothbrush.pdf" TargetMode="External" Id="rId206" /><Relationship Type="http://schemas.openxmlformats.org/officeDocument/2006/relationships/hyperlink" Target="https://www.usa.philips.com/c-p/HX6321_02/sonicare-for-kids-sonic-electric-toothbrush" TargetMode="External" Id="rId207" /><Relationship Type="http://schemas.openxmlformats.org/officeDocument/2006/relationships/hyperlink" Target="https://www.philips.com/c-dam/b2c/category-pages/personal-care/POHC/resource-library-docs/HX6321-03%20LEAFLET-Sonicare-%20For-Kids-%20Connected-Electric-Toothbrush.pdf" TargetMode="External" Id="rId208" /><Relationship Type="http://schemas.openxmlformats.org/officeDocument/2006/relationships/hyperlink" Target="https://www.usa.philips.com/c-p/HX6321_02/sonicare-for-kids-sonic-electric-toothbrush" TargetMode="External" Id="rId209" /><Relationship Type="http://schemas.openxmlformats.org/officeDocument/2006/relationships/hyperlink" Target="https://www.philips.com/c-dam/b2c/category-pages/personal-care/POHC/resource-library-docs/HX6321-03%20LEAFLET-Sonicare-%20For-Kids-%20Connected-Electric-Toothbrush.pdf" TargetMode="External" Id="rId210" /><Relationship Type="http://schemas.openxmlformats.org/officeDocument/2006/relationships/hyperlink" Target="https://www.usa.philips.com/c-p/HX6321_02/sonicare-for-kids-sonic-electric-toothbrush" TargetMode="External" Id="rId211" /><Relationship Type="http://schemas.openxmlformats.org/officeDocument/2006/relationships/hyperlink" Target="https://www.philips.com/c-dam/b2c/category-pages/personal-care/POHC/resource-library-docs/HX6321-03%20LEAFLET-Sonicare-%20For-Kids-%20Connected-Electric-Toothbrush.pdf" TargetMode="External" Id="rId212" /><Relationship Type="http://schemas.openxmlformats.org/officeDocument/2006/relationships/hyperlink" Target="https://oralb.com/en-us/products/io-series-3-rechargeable-electric-toothbrush-white/" TargetMode="External" Id="rId213" /><Relationship Type="http://schemas.openxmlformats.org/officeDocument/2006/relationships/hyperlink" Target="https://www.jumia.ci/slp/brosse-a-dents-electrique-oral-b-io3" TargetMode="External" Id="rId214" /><Relationship Type="http://schemas.openxmlformats.org/officeDocument/2006/relationships/hyperlink" Target="https://www.oral-b.co.in/en-in/products/electric-toothbrushes/or/vitality-cross-action" TargetMode="External" Id="rId215" /><Relationship Type="http://schemas.openxmlformats.org/officeDocument/2006/relationships/hyperlink" Target="https://www.jumia.ci/mlp-oral-b-brosse-a-dent/" TargetMode="External" Id="rId216" /><Relationship Type="http://schemas.openxmlformats.org/officeDocument/2006/relationships/hyperlink" Target="https://www.amazon.co.uk/Oral-B-CrossAction-Electric-Toothbrush-Rechargeable/dp/B072DTPBHF" TargetMode="External" Id="rId217" /><Relationship Type="http://schemas.openxmlformats.org/officeDocument/2006/relationships/hyperlink" Target="https://www.electricteeth.com/uk/oral-b-pro-3-3000-review/" TargetMode="External" Id="rId218" /><Relationship Type="http://schemas.openxmlformats.org/officeDocument/2006/relationships/hyperlink" Target="https://www.amazon.com/Oral-B-Pro-Health-Battery-Toothbrush-featuring/dp/B01AKGRSCG" TargetMode="External" Id="rId219" /><Relationship Type="http://schemas.openxmlformats.org/officeDocument/2006/relationships/hyperlink" Target="https://oralb.com/en-us/products/more-products/kids-products/kids-battery-toothbrush-featuring-disney-princess/" TargetMode="External" Id="rId220" /><Relationship Type="http://schemas.openxmlformats.org/officeDocument/2006/relationships/hyperlink" Target="https://www.oral-b.co.in/en-in/products/electric-toothbrushes/or/vitality-cross-action" TargetMode="External" Id="rId221" /><Relationship Type="http://schemas.openxmlformats.org/officeDocument/2006/relationships/hyperlink" Target="https://www.jumia.ci/mlp-oral-b-brosse-a-dent/" TargetMode="External" Id="rId222" /><Relationship Type="http://schemas.openxmlformats.org/officeDocument/2006/relationships/hyperlink" Target="https://www.amazon.com/Oral-B-Pro-Health-Battery-Toothbrush-featuring/dp/B01AKGRSCG" TargetMode="External" Id="rId223" /><Relationship Type="http://schemas.openxmlformats.org/officeDocument/2006/relationships/hyperlink" Target="https://oralb.com/en-us/products/more-products/kids-products/kids-battery-toothbrush-featuring-disney-princess/" TargetMode="External" Id="rId224" /><Relationship Type="http://schemas.openxmlformats.org/officeDocument/2006/relationships/hyperlink" Target="https://www.amazon.com/Oral-B-Pro-Health-Battery-Toothbrush-featuring/dp/B01AKGRSCG" TargetMode="External" Id="rId225" /><Relationship Type="http://schemas.openxmlformats.org/officeDocument/2006/relationships/hyperlink" Target="https://oralb.com/en-us/products/more-products/kids-products/kids-battery-toothbrush-featuring-disney-princess/" TargetMode="External" Id="rId226" /><Relationship Type="http://schemas.openxmlformats.org/officeDocument/2006/relationships/hyperlink" Target="https://www.oral-b.co.in/en-in/products/electric-toothbrushes/or/vitality-cross-action" TargetMode="External" Id="rId227" /><Relationship Type="http://schemas.openxmlformats.org/officeDocument/2006/relationships/hyperlink" Target="https://www.jumia.ci/mlp-oral-b-brosse-a-dent/" TargetMode="External" Id="rId228" /><Relationship Type="http://schemas.openxmlformats.org/officeDocument/2006/relationships/hyperlink" Target="https://www.amazon.co.uk/Oral-B-CrossAction-Electric-Toothbrush-Rechargeable/dp/B072DTPBHF" TargetMode="External" Id="rId229" /><Relationship Type="http://schemas.openxmlformats.org/officeDocument/2006/relationships/hyperlink" Target="https://www.electricteeth.com/uk/oral-b-pro-3-3000-review/" TargetMode="External" Id="rId230" /><Relationship Type="http://schemas.openxmlformats.org/officeDocument/2006/relationships/hyperlink" Target="https://www.amazon.co.uk/Oral-B-CrossAction-Electric-Toothbrush-Rechargeable/dp/B072DTPBHF" TargetMode="External" Id="rId231" /><Relationship Type="http://schemas.openxmlformats.org/officeDocument/2006/relationships/hyperlink" Target="https://www.electricteeth.com/uk/oral-b-pro-3-3000-review/" TargetMode="External" Id="rId232" /></Relationships>
</file>

<file path=xl/worksheets/_rels/sheet2.xml.rels><Relationships xmlns="http://schemas.openxmlformats.org/package/2006/relationships"><Relationship Type="http://schemas.openxmlformats.org/officeDocument/2006/relationships/hyperlink" Target="https://www.waterpik.ch/en/oral-health/products/dental-water-flosser/WP-560/" TargetMode="External" Id="rId1" /><Relationship Type="http://schemas.openxmlformats.org/officeDocument/2006/relationships/hyperlink" Target="https://www.electricteeth.com/waterpik-cordless-advanced-wp560-review/" TargetMode="External" Id="rId2" /><Relationship Type="http://schemas.openxmlformats.org/officeDocument/2006/relationships/hyperlink" Target="https://www.waterpik.ch/en/oral-health/products/dental-water-flosser/WP-560/" TargetMode="External" Id="rId3" /><Relationship Type="http://schemas.openxmlformats.org/officeDocument/2006/relationships/hyperlink" Target="https://www.electricteeth.com/waterpik-cordless-advanced-wp560-review/" TargetMode="External" Id="rId4" /><Relationship Type="http://schemas.openxmlformats.org/officeDocument/2006/relationships/hyperlink" Target="https://www.waterpik.ch/en/oral-health/products/dental-water-flosser/WP-560/" TargetMode="External" Id="rId5" /><Relationship Type="http://schemas.openxmlformats.org/officeDocument/2006/relationships/hyperlink" Target="https://www.electricteeth.com/waterpik-cordless-advanced-wp560-review/" TargetMode="External" Id="rId6" /><Relationship Type="http://schemas.openxmlformats.org/officeDocument/2006/relationships/hyperlink" Target="https://www.panasonic.com/uk/support/discontinued-products/personal-care/ew-dj10.specs.html" TargetMode="External" Id="rId7" /><Relationship Type="http://schemas.openxmlformats.org/officeDocument/2006/relationships/hyperlink" Target="https://www.amazon.com/Panasonic-EW-DJ10-A-Portable-Oral-Irrigator/dp/B00H2H9J4C" TargetMode="External" Id="rId8" /><Relationship Type="http://schemas.openxmlformats.org/officeDocument/2006/relationships/hyperlink" Target="https://www.waterpik.ch/en/oral-health/products/dental-water-flosser/WP-560/" TargetMode="External" Id="rId9" /><Relationship Type="http://schemas.openxmlformats.org/officeDocument/2006/relationships/hyperlink" Target="https://www.electricteeth.com/waterpik-cordless-advanced-wp560-review/" TargetMode="External" Id="rId10" /><Relationship Type="http://schemas.openxmlformats.org/officeDocument/2006/relationships/hyperlink" Target="https://www.waterpik.ch/en/oral-health/products/dental-water-flosser/WP-560/" TargetMode="External" Id="rId11" /><Relationship Type="http://schemas.openxmlformats.org/officeDocument/2006/relationships/hyperlink" Target="https://www.electricteeth.com/waterpik-cordless-advanced-wp560-review/" TargetMode="External" Id="rId12" /><Relationship Type="http://schemas.openxmlformats.org/officeDocument/2006/relationships/hyperlink" Target="https://www.amazon.com/Waterpik-Ultra-Cordless-Water-Flosser/dp/B000UWAWQU" TargetMode="External" Id="rId13" /><Relationship Type="http://schemas.openxmlformats.org/officeDocument/2006/relationships/hyperlink" Target="https://www.bestbuy.com/site/waterpik-cordless-plus-water-flosser-white/9984479.p?skuId=9984479" TargetMode="External" Id="rId14" /><Relationship Type="http://schemas.openxmlformats.org/officeDocument/2006/relationships/hyperlink" Target="https://www.amazon.com/Waterpik-Ultra-Cordless-Water-Flosser/dp/B000UWAWQU" TargetMode="External" Id="rId15" /><Relationship Type="http://schemas.openxmlformats.org/officeDocument/2006/relationships/hyperlink" Target="https://www.bestbuy.com/site/waterpik-cordless-plus-water-flosser-white/9984479.p?skuId=9984479" TargetMode="External" Id="rId16" /><Relationship Type="http://schemas.openxmlformats.org/officeDocument/2006/relationships/hyperlink" Target="https://www.panasonic.com/uk/support/discontinued-products/personal-care/ew-dj10.specs.html" TargetMode="External" Id="rId17" /><Relationship Type="http://schemas.openxmlformats.org/officeDocument/2006/relationships/hyperlink" Target="https://www.amazon.com/Panasonic-EW-DJ10-A-Portable-Oral-Irrigator/dp/B00H2H9J4C" TargetMode="External" Id="rId18" /><Relationship Type="http://schemas.openxmlformats.org/officeDocument/2006/relationships/hyperlink" Target="https://www.panasonic.com/uk/support/discontinued-products/personal-care/ew-dj10.specs.html" TargetMode="External" Id="rId19" /><Relationship Type="http://schemas.openxmlformats.org/officeDocument/2006/relationships/hyperlink" Target="https://www.amazon.com/Panasonic-EW-DJ10-A-Portable-Oral-Irrigator/dp/B00H2H9J4C" TargetMode="External" Id="rId20" /><Relationship Type="http://schemas.openxmlformats.org/officeDocument/2006/relationships/hyperlink" Target="https://www.waterpik.ch/en/oral-health/products/dental-water-flosser/WP-560/" TargetMode="External" Id="rId21" /><Relationship Type="http://schemas.openxmlformats.org/officeDocument/2006/relationships/hyperlink" Target="https://www.electricteeth.com/waterpik-cordless-advanced-wp560-review/" TargetMode="External" Id="rId22" /></Relationships>
</file>

<file path=xl/worksheets/_rels/sheet3.xml.rels><Relationships xmlns="http://schemas.openxmlformats.org/package/2006/relationships"><Relationship Type="http://schemas.openxmlformats.org/officeDocument/2006/relationships/hyperlink" Target="https://www.usa.philips.com/c-p/HX6810_50/sonicare-protectiveclean-4100-sonic-electric-toothbrush/partsandaccessories" TargetMode="External" Id="rId1" /><Relationship Type="http://schemas.openxmlformats.org/officeDocument/2006/relationships/hyperlink" Target="https://www.ebay.com/itm/277611730525" TargetMode="External" Id="rId2" /><Relationship Type="http://schemas.openxmlformats.org/officeDocument/2006/relationships/hyperlink" Target="https://www.usa.philips.com/c-p/HX6810_50/sonicare-protectiveclean-4100-sonic-electric-toothbrush/partsandaccessories" TargetMode="External" Id="rId3" /><Relationship Type="http://schemas.openxmlformats.org/officeDocument/2006/relationships/hyperlink" Target="https://www.ebay.com/itm/277611730525" TargetMode="External" Id="rId4" /><Relationship Type="http://schemas.openxmlformats.org/officeDocument/2006/relationships/hyperlink" Target="https://www.usa.philips.com/c-p/HX6810_50/sonicare-protectiveclean-4100-sonic-electric-toothbrush/partsandaccessories" TargetMode="External" Id="rId5" /><Relationship Type="http://schemas.openxmlformats.org/officeDocument/2006/relationships/hyperlink" Target="https://www.ebay.com/itm/277611730525" TargetMode="External" Id="rId6" /><Relationship Type="http://schemas.openxmlformats.org/officeDocument/2006/relationships/hyperlink" Target="https://www.usa.philips.com/c-p/HX6810_50/sonicare-protectiveclean-4100-sonic-electric-toothbrush/partsandaccessories" TargetMode="External" Id="rId7" /><Relationship Type="http://schemas.openxmlformats.org/officeDocument/2006/relationships/hyperlink" Target="https://www.ebay.com/itm/277611730525" TargetMode="External" Id="rId8" /><Relationship Type="http://schemas.openxmlformats.org/officeDocument/2006/relationships/hyperlink" Target="https://www.amazon.com/usmile-Replacement-Toothbrush-Electric-Reminder/dp/B09D3SHP7K" TargetMode="External" Id="rId9" /><Relationship Type="http://schemas.openxmlformats.org/officeDocument/2006/relationships/hyperlink" Target="https://usmile.us/products/usmile-whitening-brush-head-2-packs" TargetMode="External" Id="rId10" /><Relationship Type="http://schemas.openxmlformats.org/officeDocument/2006/relationships/hyperlink" Target="https://www.usa.philips.com/c-p/HX6810_50/sonicare-protectiveclean-4100-sonic-electric-toothbrush/partsandaccessories" TargetMode="External" Id="rId11" /><Relationship Type="http://schemas.openxmlformats.org/officeDocument/2006/relationships/hyperlink" Target="https://www.ebay.com/itm/277611730525" TargetMode="External" Id="rId12" /><Relationship Type="http://schemas.openxmlformats.org/officeDocument/2006/relationships/hyperlink" Target="https://www.usa.philips.com/c-p/HX6810_50/sonicare-protectiveclean-4100-sonic-electric-toothbrush/partsandaccessories" TargetMode="External" Id="rId13" /><Relationship Type="http://schemas.openxmlformats.org/officeDocument/2006/relationships/hyperlink" Target="https://www.ebay.com/itm/277611730525" TargetMode="External" Id="rId14" /><Relationship Type="http://schemas.openxmlformats.org/officeDocument/2006/relationships/hyperlink" Target="https://www.usa.philips.com/c-p/HX6810_50/sonicare-protectiveclean-4100-sonic-electric-toothbrush/partsandaccessories" TargetMode="External" Id="rId15" /><Relationship Type="http://schemas.openxmlformats.org/officeDocument/2006/relationships/hyperlink" Target="https://www.ebay.com/itm/277611730525" TargetMode="External" Id="rId16" /><Relationship Type="http://schemas.openxmlformats.org/officeDocument/2006/relationships/hyperlink" Target="https://www.amazon.com/usmile-Replacement-Toothbrush-Electric-Reminder/dp/B09D3SHP7K" TargetMode="External" Id="rId17" /><Relationship Type="http://schemas.openxmlformats.org/officeDocument/2006/relationships/hyperlink" Target="https://usmile.us/products/usmile-whitening-brush-head-2-packs" TargetMode="External" Id="rId18" /><Relationship Type="http://schemas.openxmlformats.org/officeDocument/2006/relationships/hyperlink" Target="https://www.amazon.com/usmile-Replacement-Toothbrush-Electric-Reminder/dp/B09D3SHP7K" TargetMode="External" Id="rId19" /><Relationship Type="http://schemas.openxmlformats.org/officeDocument/2006/relationships/hyperlink" Target="https://usmile.us/products/usmile-whitening-brush-head-2-packs" TargetMode="External" Id="rId20" /><Relationship Type="http://schemas.openxmlformats.org/officeDocument/2006/relationships/hyperlink" Target="https://www.amazon.com/usmile-Replacement-Toothbrush-Electric-Reminder/dp/B09D3SHP7K" TargetMode="External" Id="rId21" /><Relationship Type="http://schemas.openxmlformats.org/officeDocument/2006/relationships/hyperlink" Target="https://usmile.us/products/usmile-whitening-brush-head-2-packs" TargetMode="External" Id="rId22" /><Relationship Type="http://schemas.openxmlformats.org/officeDocument/2006/relationships/hyperlink" Target="https://www.usa.philips.com/c-p/HX6810_50/sonicare-protectiveclean-4100-sonic-electric-toothbrush/partsandaccessories" TargetMode="External" Id="rId23" /><Relationship Type="http://schemas.openxmlformats.org/officeDocument/2006/relationships/hyperlink" Target="https://www.ebay.com/itm/277611730525" TargetMode="External" Id="rId24" /><Relationship Type="http://schemas.openxmlformats.org/officeDocument/2006/relationships/hyperlink" Target="https://www.amazon.com/usmile-Replacement-Toothbrush-Electric-Reminder/dp/B09D3SHP7K" TargetMode="External" Id="rId25" /><Relationship Type="http://schemas.openxmlformats.org/officeDocument/2006/relationships/hyperlink" Target="https://usmile.us/products/usmile-whitening-brush-head-2-packs" TargetMode="External" Id="rId26" /><Relationship Type="http://schemas.openxmlformats.org/officeDocument/2006/relationships/hyperlink" Target="https://www.amazon.com/usmile-Replacement-Toothbrush-Electric-Reminder/dp/B09D3SHP7K" TargetMode="External" Id="rId27" /><Relationship Type="http://schemas.openxmlformats.org/officeDocument/2006/relationships/hyperlink" Target="https://usmile.us/products/usmile-whitening-brush-head-2-packs" TargetMode="External" Id="rId28" /><Relationship Type="http://schemas.openxmlformats.org/officeDocument/2006/relationships/hyperlink" Target="https://www.usa.philips.com/c-p/HX6810_50/sonicare-protectiveclean-4100-sonic-electric-toothbrush/partsandaccessories" TargetMode="External" Id="rId29" /><Relationship Type="http://schemas.openxmlformats.org/officeDocument/2006/relationships/hyperlink" Target="https://www.ebay.com/itm/277611730525" TargetMode="External" Id="rId30" /><Relationship Type="http://schemas.openxmlformats.org/officeDocument/2006/relationships/hyperlink" Target="https://www.amazon.com/usmile-Replacement-Toothbrush-Electric-Reminder/dp/B09D3SHP7K" TargetMode="External" Id="rId31" /><Relationship Type="http://schemas.openxmlformats.org/officeDocument/2006/relationships/hyperlink" Target="https://usmile.us/products/usmile-whitening-brush-head-2-packs" TargetMode="External" Id="rId32" /><Relationship Type="http://schemas.openxmlformats.org/officeDocument/2006/relationships/hyperlink" Target="https://www.usa.philips.com/c-p/HX6810_50/sonicare-protectiveclean-4100-sonic-electric-toothbrush/partsandaccessories" TargetMode="External" Id="rId33" /><Relationship Type="http://schemas.openxmlformats.org/officeDocument/2006/relationships/hyperlink" Target="https://www.ebay.com/itm/277611730525" TargetMode="External" Id="rId34" /><Relationship Type="http://schemas.openxmlformats.org/officeDocument/2006/relationships/hyperlink" Target="https://www.usa.philips.com/c-p/HX6810_50/sonicare-protectiveclean-4100-sonic-electric-toothbrush/partsandaccessories" TargetMode="External" Id="rId35" /><Relationship Type="http://schemas.openxmlformats.org/officeDocument/2006/relationships/hyperlink" Target="https://www.ebay.com/itm/277611730525" TargetMode="External" Id="rId36" /><Relationship Type="http://schemas.openxmlformats.org/officeDocument/2006/relationships/hyperlink" Target="https://www.usa.philips.com/c-p/HX6810_50/sonicare-protectiveclean-4100-sonic-electric-toothbrush/partsandaccessories" TargetMode="External" Id="rId37" /><Relationship Type="http://schemas.openxmlformats.org/officeDocument/2006/relationships/hyperlink" Target="https://www.ebay.com/itm/277611730525" TargetMode="External" Id="rId38" /><Relationship Type="http://schemas.openxmlformats.org/officeDocument/2006/relationships/hyperlink" Target="https://www.usa.philips.com/c-p/HX6810_50/sonicare-protectiveclean-4100-sonic-electric-toothbrush/partsandaccessories" TargetMode="External" Id="rId39" /><Relationship Type="http://schemas.openxmlformats.org/officeDocument/2006/relationships/hyperlink" Target="https://www.ebay.com/itm/277611730525" TargetMode="External" Id="rId40" /><Relationship Type="http://schemas.openxmlformats.org/officeDocument/2006/relationships/hyperlink" Target="https://www.usa.philips.com/c-p/HX6810_50/sonicare-protectiveclean-4100-sonic-electric-toothbrush/partsandaccessories" TargetMode="External" Id="rId41" /><Relationship Type="http://schemas.openxmlformats.org/officeDocument/2006/relationships/hyperlink" Target="https://www.ebay.com/itm/277611730525" TargetMode="External" Id="rId42" /><Relationship Type="http://schemas.openxmlformats.org/officeDocument/2006/relationships/hyperlink" Target="https://www.usa.philips.com/c-p/HX6810_50/sonicare-protectiveclean-4100-sonic-electric-toothbrush/partsandaccessories" TargetMode="External" Id="rId43" /><Relationship Type="http://schemas.openxmlformats.org/officeDocument/2006/relationships/hyperlink" Target="https://www.ebay.com/itm/277611730525" TargetMode="External" Id="rId44" /><Relationship Type="http://schemas.openxmlformats.org/officeDocument/2006/relationships/hyperlink" Target="https://www.colgate.com/en-my/products/toothbrush/colgate-proclinical-150-deepclean-battery-powered-toothbrush" TargetMode="External" Id="rId45" /><Relationship Type="http://schemas.openxmlformats.org/officeDocument/2006/relationships/hyperlink" Target="https://www.colgate.com/en-my/products/toothbrush/colgate-proclinical-150-charcoal-battery-powered-toothbrush" TargetMode="External" Id="rId46" /><Relationship Type="http://schemas.openxmlformats.org/officeDocument/2006/relationships/hyperlink" Target="https://www.colgate.com/en-my/products/toothbrush/colgate-proclinical-150-deepclean-battery-powered-toothbrush" TargetMode="External" Id="rId47" /><Relationship Type="http://schemas.openxmlformats.org/officeDocument/2006/relationships/hyperlink" Target="https://www.colgate.com/en-my/products/toothbrush/colgate-proclinical-150-charcoal-battery-powered-toothbrush" TargetMode="External" Id="rId48" /><Relationship Type="http://schemas.openxmlformats.org/officeDocument/2006/relationships/hyperlink" Target="https://www.colgate.com/en-my/products/toothbrush/colgate-proclinical-150-deepclean-battery-powered-toothbrush" TargetMode="External" Id="rId49" /><Relationship Type="http://schemas.openxmlformats.org/officeDocument/2006/relationships/hyperlink" Target="https://www.colgate.com/en-my/products/toothbrush/colgate-proclinical-150-charcoal-battery-powered-toothbrush" TargetMode="External" Id="rId50" /><Relationship Type="http://schemas.openxmlformats.org/officeDocument/2006/relationships/hyperlink" Target="https://www.colgate.com/en-my/products/toothbrush/colgate-proclinical-150-deepclean-battery-powered-toothbrush" TargetMode="External" Id="rId51" /><Relationship Type="http://schemas.openxmlformats.org/officeDocument/2006/relationships/hyperlink" Target="https://www.colgate.com/en-my/products/toothbrush/colgate-proclinical-150-charcoal-battery-powered-toothbrush" TargetMode="External" Id="rId52" /><Relationship Type="http://schemas.openxmlformats.org/officeDocument/2006/relationships/hyperlink" Target="https://www.colgate.com/en-my/products/toothbrush/colgate-proclinical-150-deepclean-battery-powered-toothbrush" TargetMode="External" Id="rId53" /><Relationship Type="http://schemas.openxmlformats.org/officeDocument/2006/relationships/hyperlink" Target="https://www.colgate.com/en-my/products/toothbrush/colgate-proclinical-150-charcoal-battery-powered-toothbrush" TargetMode="External" Id="rId54" /><Relationship Type="http://schemas.openxmlformats.org/officeDocument/2006/relationships/hyperlink" Target="https://www.colgate.com/en-my/products/toothbrush/colgate-proclinical-150-deepclean-battery-powered-toothbrush" TargetMode="External" Id="rId55" /><Relationship Type="http://schemas.openxmlformats.org/officeDocument/2006/relationships/hyperlink" Target="https://www.colgate.com/en-my/products/toothbrush/colgate-proclinical-150-charcoal-battery-powered-toothbrush" TargetMode="External" Id="rId56" /><Relationship Type="http://schemas.openxmlformats.org/officeDocument/2006/relationships/hyperlink" Target="https://www.colgate.com/en-my/products/toothbrush/colgate-proclinical-150-deepclean-battery-powered-toothbrush" TargetMode="External" Id="rId57" /><Relationship Type="http://schemas.openxmlformats.org/officeDocument/2006/relationships/hyperlink" Target="https://www.colgate.com/en-my/products/toothbrush/colgate-proclinical-150-charcoal-battery-powered-toothbrush" TargetMode="External" Id="rId58" /><Relationship Type="http://schemas.openxmlformats.org/officeDocument/2006/relationships/hyperlink" Target="https://www.colgate.com/en-my/products/toothbrush/colgate-proclinical-150-deepclean-battery-powered-toothbrush" TargetMode="External" Id="rId59" /><Relationship Type="http://schemas.openxmlformats.org/officeDocument/2006/relationships/hyperlink" Target="https://www.colgate.com/en-my/products/toothbrush/colgate-proclinical-150-charcoal-battery-powered-toothbrush" TargetMode="External" Id="rId60" /><Relationship Type="http://schemas.openxmlformats.org/officeDocument/2006/relationships/hyperlink" Target="https://www.colgate.com/en-my/products/toothbrush/colgate-proclinical-150-deepclean-battery-powered-toothbrush" TargetMode="External" Id="rId61" /><Relationship Type="http://schemas.openxmlformats.org/officeDocument/2006/relationships/hyperlink" Target="https://www.colgate.com/en-my/products/toothbrush/colgate-proclinical-150-charcoal-battery-powered-toothbrush" TargetMode="External" Id="rId62" /><Relationship Type="http://schemas.openxmlformats.org/officeDocument/2006/relationships/hyperlink" Target="https://www.colgate.com/en-my/products/toothbrush/colgate-proclinical-150-deepclean-battery-powered-toothbrush" TargetMode="External" Id="rId63" /><Relationship Type="http://schemas.openxmlformats.org/officeDocument/2006/relationships/hyperlink" Target="https://www.colgate.com/en-my/products/toothbrush/colgate-proclinical-150-charcoal-battery-powered-toothbrush" TargetMode="External" Id="rId64" /><Relationship Type="http://schemas.openxmlformats.org/officeDocument/2006/relationships/hyperlink" Target="https://www.colgate.com/en-my/products/toothbrush/colgate-proclinical-150-deepclean-battery-powered-toothbrush" TargetMode="External" Id="rId65" /><Relationship Type="http://schemas.openxmlformats.org/officeDocument/2006/relationships/hyperlink" Target="https://www.colgate.com/en-my/products/toothbrush/colgate-proclinical-150-charcoal-battery-powered-toothbrush" TargetMode="External" Id="rId66" /><Relationship Type="http://schemas.openxmlformats.org/officeDocument/2006/relationships/hyperlink" Target="https://www.colgate.com/en-my/products/toothbrush/colgate-proclinical-150-deepclean-battery-powered-toothbrush" TargetMode="External" Id="rId67" /><Relationship Type="http://schemas.openxmlformats.org/officeDocument/2006/relationships/hyperlink" Target="https://www.colgate.com/en-my/products/toothbrush/colgate-proclinical-150-charcoal-battery-powered-toothbrush" TargetMode="External" Id="rId68" /><Relationship Type="http://schemas.openxmlformats.org/officeDocument/2006/relationships/hyperlink" Target="https://www.colgate.com/en-my/products/toothbrush/colgate-proclinical-150-deepclean-battery-powered-toothbrush" TargetMode="External" Id="rId69" /><Relationship Type="http://schemas.openxmlformats.org/officeDocument/2006/relationships/hyperlink" Target="https://www.colgate.com/en-my/products/toothbrush/colgate-proclinical-150-charcoal-battery-powered-toothbrush" TargetMode="External" Id="rId70" /><Relationship Type="http://schemas.openxmlformats.org/officeDocument/2006/relationships/hyperlink" Target="https://www.colgate.com/en-my/products/toothbrush/colgate-proclinical-150-deepclean-battery-powered-toothbrush" TargetMode="External" Id="rId71" /><Relationship Type="http://schemas.openxmlformats.org/officeDocument/2006/relationships/hyperlink" Target="https://www.colgate.com/en-my/products/toothbrush/colgate-proclinical-150-charcoal-battery-powered-toothbrush" TargetMode="External" Id="rId72" /><Relationship Type="http://schemas.openxmlformats.org/officeDocument/2006/relationships/hyperlink" Target="https://www.usa.philips.com/c-p/HX6810_50/sonicare-protectiveclean-4100-sonic-electric-toothbrush/partsandaccessories" TargetMode="External" Id="rId73" /><Relationship Type="http://schemas.openxmlformats.org/officeDocument/2006/relationships/hyperlink" Target="https://www.ebay.com/itm/277611730525" TargetMode="External" Id="rId74" /><Relationship Type="http://schemas.openxmlformats.org/officeDocument/2006/relationships/hyperlink" Target="https://www.usa.philips.com/c-p/HX6810_50/sonicare-protectiveclean-4100-sonic-electric-toothbrush/partsandaccessories" TargetMode="External" Id="rId75" /><Relationship Type="http://schemas.openxmlformats.org/officeDocument/2006/relationships/hyperlink" Target="https://www.ebay.com/itm/277611730525" TargetMode="External" Id="rId76" /><Relationship Type="http://schemas.openxmlformats.org/officeDocument/2006/relationships/hyperlink" Target="https://www.usa.philips.com/c-p/HX6810_50/sonicare-protectiveclean-4100-sonic-electric-toothbrush/partsandaccessories" TargetMode="External" Id="rId77" /><Relationship Type="http://schemas.openxmlformats.org/officeDocument/2006/relationships/hyperlink" Target="https://www.ebay.com/itm/277611730525" TargetMode="External" Id="rId78" /><Relationship Type="http://schemas.openxmlformats.org/officeDocument/2006/relationships/hyperlink" Target="https://www.usa.philips.com/c-p/HX6810_50/sonicare-protectiveclean-4100-sonic-electric-toothbrush/partsandaccessories" TargetMode="External" Id="rId79" /><Relationship Type="http://schemas.openxmlformats.org/officeDocument/2006/relationships/hyperlink" Target="https://www.ebay.com/itm/277611730525" TargetMode="External" Id="rId80" /><Relationship Type="http://schemas.openxmlformats.org/officeDocument/2006/relationships/hyperlink" Target="https://www.amazon.com/usmile-Replacement-Toothbrush-Electric-Reminder/dp/B09D3SHP7K" TargetMode="External" Id="rId81" /><Relationship Type="http://schemas.openxmlformats.org/officeDocument/2006/relationships/hyperlink" Target="https://usmile.us/products/usmile-whitening-brush-head-2-packs" TargetMode="External" Id="rId82" /><Relationship Type="http://schemas.openxmlformats.org/officeDocument/2006/relationships/hyperlink" Target="https://www.usa.philips.com/c-p/HX6810_50/sonicare-protectiveclean-4100-sonic-electric-toothbrush/partsandaccessories" TargetMode="External" Id="rId83" /><Relationship Type="http://schemas.openxmlformats.org/officeDocument/2006/relationships/hyperlink" Target="https://www.ebay.com/itm/277611730525" TargetMode="External" Id="rId84" /><Relationship Type="http://schemas.openxmlformats.org/officeDocument/2006/relationships/hyperlink" Target="https://www.usa.philips.com/c-p/HX6810_50/sonicare-protectiveclean-4100-sonic-electric-toothbrush/partsandaccessories" TargetMode="External" Id="rId85" /><Relationship Type="http://schemas.openxmlformats.org/officeDocument/2006/relationships/hyperlink" Target="https://www.ebay.com/itm/277611730525" TargetMode="External" Id="rId86" /><Relationship Type="http://schemas.openxmlformats.org/officeDocument/2006/relationships/hyperlink" Target="https://www.amazon.com/usmile-Replacement-Toothbrush-Electric-Reminder/dp/B09D3SHP7K" TargetMode="External" Id="rId87" /><Relationship Type="http://schemas.openxmlformats.org/officeDocument/2006/relationships/hyperlink" Target="https://usmile.us/products/usmile-whitening-brush-head-2-packs" TargetMode="External" Id="rId88" /><Relationship Type="http://schemas.openxmlformats.org/officeDocument/2006/relationships/hyperlink" Target="https://www.usa.philips.com/c-p/HX6810_50/sonicare-protectiveclean-4100-sonic-electric-toothbrush/partsandaccessories" TargetMode="External" Id="rId89" /><Relationship Type="http://schemas.openxmlformats.org/officeDocument/2006/relationships/hyperlink" Target="https://www.ebay.com/itm/277611730525" TargetMode="External" Id="rId90" /><Relationship Type="http://schemas.openxmlformats.org/officeDocument/2006/relationships/hyperlink" Target="https://www.usa.philips.com/c-p/HX6810_50/sonicare-protectiveclean-4100-sonic-electric-toothbrush/partsandaccessories" TargetMode="External" Id="rId91" /><Relationship Type="http://schemas.openxmlformats.org/officeDocument/2006/relationships/hyperlink" Target="https://www.ebay.com/itm/277611730525" TargetMode="External" Id="rId92" /><Relationship Type="http://schemas.openxmlformats.org/officeDocument/2006/relationships/hyperlink" Target="https://www.amazon.com/usmile-Replacement-Toothbrush-Electric-Reminder/dp/B09D3SHP7K" TargetMode="External" Id="rId93" /><Relationship Type="http://schemas.openxmlformats.org/officeDocument/2006/relationships/hyperlink" Target="https://usmile.us/products/usmile-whitening-brush-head-2-packs" TargetMode="External" Id="rId94" /><Relationship Type="http://schemas.openxmlformats.org/officeDocument/2006/relationships/hyperlink" Target="https://www.usa.philips.com/c-p/HX6810_50/sonicare-protectiveclean-4100-sonic-electric-toothbrush/partsandaccessories" TargetMode="External" Id="rId95" /><Relationship Type="http://schemas.openxmlformats.org/officeDocument/2006/relationships/hyperlink" Target="https://www.ebay.com/itm/277611730525" TargetMode="External" Id="rId96" /><Relationship Type="http://schemas.openxmlformats.org/officeDocument/2006/relationships/hyperlink" Target="https://www.usa.philips.com/c-p/HX6810_50/sonicare-protectiveclean-4100-sonic-electric-toothbrush/partsandaccessories" TargetMode="External" Id="rId97" /><Relationship Type="http://schemas.openxmlformats.org/officeDocument/2006/relationships/hyperlink" Target="https://www.ebay.com/itm/277611730525" TargetMode="External" Id="rId98" /><Relationship Type="http://schemas.openxmlformats.org/officeDocument/2006/relationships/hyperlink" Target="https://oralb.com/en-us/products/replacement-brush-heads/oral-b-crossaction-x-filaments-replacement-brush-heads-refill-black-3-count/" TargetMode="External" Id="rId99" /><Relationship Type="http://schemas.openxmlformats.org/officeDocument/2006/relationships/hyperlink" Target="https://www.amazon.com/clp/B077B5GCF8" TargetMode="External" Id="rId100" /><Relationship Type="http://schemas.openxmlformats.org/officeDocument/2006/relationships/hyperlink" Target="https://oralb.com/en-us/products/replacement-brush-heads/oral-b-crossaction-x-filaments-replacement-brush-heads-refill-black-3-count/" TargetMode="External" Id="rId101" /><Relationship Type="http://schemas.openxmlformats.org/officeDocument/2006/relationships/hyperlink" Target="https://www.amazon.com/clp/B077B5GCF8" TargetMode="External" Id="rId102" /><Relationship Type="http://schemas.openxmlformats.org/officeDocument/2006/relationships/hyperlink" Target="https://oralb.com/en-us/products/replacement-brush-heads/oral-b-crossaction-x-filaments-replacement-brush-heads-refill-black-3-count/" TargetMode="External" Id="rId103" /><Relationship Type="http://schemas.openxmlformats.org/officeDocument/2006/relationships/hyperlink" Target="https://www.amazon.com/clp/B077B5GCF8" TargetMode="External" Id="rId104" /><Relationship Type="http://schemas.openxmlformats.org/officeDocument/2006/relationships/hyperlink" Target="https://oralb.com/en-us/products/replacement-brush-heads/oral-b-crossaction-x-filaments-replacement-brush-heads-refill-black-3-count/" TargetMode="External" Id="rId105" /><Relationship Type="http://schemas.openxmlformats.org/officeDocument/2006/relationships/hyperlink" Target="https://www.amazon.com/clp/B077B5GCF8" TargetMode="External" Id="rId106" /><Relationship Type="http://schemas.openxmlformats.org/officeDocument/2006/relationships/hyperlink" Target="https://www.waterpik.ch/en/oral-health/products/dental-water-flosser/WP-560/" TargetMode="External" Id="rId107" /><Relationship Type="http://schemas.openxmlformats.org/officeDocument/2006/relationships/hyperlink" Target="https://www.electricteeth.com/waterpik-cordless-advanced-wp560-review/" TargetMode="External" Id="rId108" /><Relationship Type="http://schemas.openxmlformats.org/officeDocument/2006/relationships/hyperlink" Target="https://www.waterpik.ch/en/oral-health/products/dental-water-flosser/WP-560/" TargetMode="External" Id="rId109" /><Relationship Type="http://schemas.openxmlformats.org/officeDocument/2006/relationships/hyperlink" Target="https://www.electricteeth.com/waterpik-cordless-advanced-wp560-review/" TargetMode="External" Id="rId110" /><Relationship Type="http://schemas.openxmlformats.org/officeDocument/2006/relationships/hyperlink" Target="https://www.waterpik.ch/en/oral-health/products/dental-water-flosser/WP-560/" TargetMode="External" Id="rId111" /><Relationship Type="http://schemas.openxmlformats.org/officeDocument/2006/relationships/hyperlink" Target="https://www.electricteeth.com/waterpik-cordless-advanced-wp560-review/" TargetMode="External" Id="rId112" /><Relationship Type="http://schemas.openxmlformats.org/officeDocument/2006/relationships/hyperlink" Target="https://www.waterpik.ch/en/oral-health/products/dental-water-flosser/WP-560/" TargetMode="External" Id="rId113" /><Relationship Type="http://schemas.openxmlformats.org/officeDocument/2006/relationships/hyperlink" Target="https://www.electricteeth.com/waterpik-cordless-advanced-wp560-review/" TargetMode="External" Id="rId114" /><Relationship Type="http://schemas.openxmlformats.org/officeDocument/2006/relationships/hyperlink" Target="https://www.waterpik.ch/en/oral-health/products/dental-water-flosser/WP-560/" TargetMode="External" Id="rId115" /><Relationship Type="http://schemas.openxmlformats.org/officeDocument/2006/relationships/hyperlink" Target="https://www.electricteeth.com/waterpik-cordless-advanced-wp560-review/" TargetMode="External" Id="rId116" /><Relationship Type="http://schemas.openxmlformats.org/officeDocument/2006/relationships/hyperlink" Target="https://www.waterpik.ch/en/oral-health/products/dental-water-flosser/WP-560/" TargetMode="External" Id="rId117" /><Relationship Type="http://schemas.openxmlformats.org/officeDocument/2006/relationships/hyperlink" Target="https://www.electricteeth.com/waterpik-cordless-advanced-wp560-review/" TargetMode="External" Id="rId118" /></Relationships>
</file>

<file path=xl/worksheets/_rels/sheet4.xml.rels><Relationships xmlns="http://schemas.openxmlformats.org/package/2006/relationships"><Relationship Type="http://schemas.openxmlformats.org/officeDocument/2006/relationships/hyperlink" Target="https://www.jumia.ci/addigoes-brosse-a-dents-electrique-sonique-rechargeable-usb-6-modes-etanche-haute-frequence-4-tetes-de-brosse-nettoyage-dentaire-professionnel-noir-30497266.html" TargetMode="External" Id="rId1" /><Relationship Type="http://schemas.openxmlformats.org/officeDocument/2006/relationships/hyperlink" Target="https://www.jumia.ci/brosse-a-dents-electrique/" TargetMode="External" Id="rId2" /><Relationship Type="http://schemas.openxmlformats.org/officeDocument/2006/relationships/hyperlink" Target="https://www.colgate.com/en-my/products/toothbrush/colgate-proclinical-150-charcoal-battery-powered-toothbrush" TargetMode="External" Id="rId3" /><Relationship Type="http://schemas.openxmlformats.org/officeDocument/2006/relationships/hyperlink" Target="https://www.colgate.com/en-my/products/toothbrush/colgate-proclinical-150-deepclean-battery-powered-toothbrush" TargetMode="External" Id="rId4" /><Relationship Type="http://schemas.openxmlformats.org/officeDocument/2006/relationships/hyperlink" Target="https://www.fairywill.com/products/fairywill-electric-toothbrush-d7-sonic-rechargeable-4-heads-usb-ipx7-5-modes" TargetMode="External" Id="rId5" /><Relationship Type="http://schemas.openxmlformats.org/officeDocument/2006/relationships/hyperlink" Target="https://www.jumia.ma/brosse-a-dents-electrique/fairywill/" TargetMode="External" Id="rId6" /><Relationship Type="http://schemas.openxmlformats.org/officeDocument/2006/relationships/hyperlink" Target="https://www.fairywill.com/products/fairywill-electric-toothbrush-30-days-usage-5-modes-changeable-heads-timer" TargetMode="External" Id="rId7" /><Relationship Type="http://schemas.openxmlformats.org/officeDocument/2006/relationships/hyperlink" Target="https://www.jumia.ma/brosse-a-dents-electrique/fairywill/" TargetMode="External" Id="rId8" /><Relationship Type="http://schemas.openxmlformats.org/officeDocument/2006/relationships/hyperlink" Target="https://www.jumia.ci/generic-brosse-a-dents-electrique-intelligente-ultra-sonique-bleuvert-20003595.html" TargetMode="External" Id="rId9" /><Relationship Type="http://schemas.openxmlformats.org/officeDocument/2006/relationships/hyperlink" Target="https://www.jumia.ci/generic-brosse-a-dents-electrique-a-ultrasons-intelligente-4-tetes-de-brosse-30336847.html" TargetMode="External" Id="rId10" /><Relationship Type="http://schemas.openxmlformats.org/officeDocument/2006/relationships/hyperlink" Target="https://www.electricteeth.com/oclean-x-pro-elite-review/" TargetMode="External" Id="rId11" /><Relationship Type="http://schemas.openxmlformats.org/officeDocument/2006/relationships/hyperlink" Target="https://www.techradar.com/reviews/oclean-x-pro-elite" TargetMode="External" Id="rId12" /><Relationship Type="http://schemas.openxmlformats.org/officeDocument/2006/relationships/hyperlink" Target="https://www.amazon.com/Oral-B-Pro-Health-Battery-Toothbrush-featuring/dp/B01AKGRSCG" TargetMode="External" Id="rId13" /><Relationship Type="http://schemas.openxmlformats.org/officeDocument/2006/relationships/hyperlink" Target="https://oralb.com/en-us/products/more-products/kids-products/kids-battery-toothbrush-featuring-disney-princess/" TargetMode="External" Id="rId14" /><Relationship Type="http://schemas.openxmlformats.org/officeDocument/2006/relationships/hyperlink" Target="https://oralb.com/en-us/products/kids-products/oral-b-kids-electric-toothbrush-bundle-featuring-disney-s-frozen/" TargetMode="External" Id="rId15" /><Relationship Type="http://schemas.openxmlformats.org/officeDocument/2006/relationships/hyperlink" Target="https://www.livescience.com/oral-b-kids-electric-toothbrush-review" TargetMode="External" Id="rId16" /><Relationship Type="http://schemas.openxmlformats.org/officeDocument/2006/relationships/hyperlink" Target="https://www.amazon.co.uk/Oral-B-CrossAction-Electric-Toothbrush-Rechargeable/dp/B072DTPBHF" TargetMode="External" Id="rId17" /><Relationship Type="http://schemas.openxmlformats.org/officeDocument/2006/relationships/hyperlink" Target="https://www.electricteeth.com/uk/oral-b-pro-3-3000-review/" TargetMode="External" Id="rId18" /><Relationship Type="http://schemas.openxmlformats.org/officeDocument/2006/relationships/hyperlink" Target="https://www.oral-b.co.in/en-in/products/electric-toothbrushes/or/vitality-cross-action" TargetMode="External" Id="rId19" /><Relationship Type="http://schemas.openxmlformats.org/officeDocument/2006/relationships/hyperlink" Target="https://www.jumia.ci/mlp-oral-b-brosse-a-dent/" TargetMode="External" Id="rId20" /><Relationship Type="http://schemas.openxmlformats.org/officeDocument/2006/relationships/hyperlink" Target="https://oralb.com/en-us/products/io-series-3-rechargeable-electric-toothbrush-white/" TargetMode="External" Id="rId21" /><Relationship Type="http://schemas.openxmlformats.org/officeDocument/2006/relationships/hyperlink" Target="https://www.jumia.ci/slp/brosse-a-dents-electrique-oral-b-io3" TargetMode="External" Id="rId22" /><Relationship Type="http://schemas.openxmlformats.org/officeDocument/2006/relationships/hyperlink" Target="https://www.usa.philips.com/c-p/HX6321_02/sonicare-for-kids-sonic-electric-toothbrush" TargetMode="External" Id="rId23" /><Relationship Type="http://schemas.openxmlformats.org/officeDocument/2006/relationships/hyperlink" Target="https://www.philips.com/c-dam/b2c/category-pages/personal-care/POHC/resource-library-docs/HX6321-03%20LEAFLET-Sonicare-%20For-Kids-%20Connected-Electric-Toothbrush.pdf" TargetMode="External" Id="rId24" /><Relationship Type="http://schemas.openxmlformats.org/officeDocument/2006/relationships/hyperlink" Target="https://www.usa.philips.com/c-p/HX6817_01/sonicare-protectiveclean-4100-sonic-electric-toothbrush" TargetMode="External" Id="rId25" /><Relationship Type="http://schemas.openxmlformats.org/officeDocument/2006/relationships/hyperlink" Target="https://www.noon.com/uae-en/beauty/personal-care-16343/oral-hygiene/power-toothbrushes/philips_sonicare/" TargetMode="External" Id="rId26" /><Relationship Type="http://schemas.openxmlformats.org/officeDocument/2006/relationships/hyperlink" Target="https://www.jumia.ci/slp/brosse-a-dents-electrique-durable-suri" TargetMode="External" Id="rId27" /><Relationship Type="http://schemas.openxmlformats.org/officeDocument/2006/relationships/hyperlink" Target="https://www.jumia.ci/brosse-a-dents-electrique/" TargetMode="External" Id="rId28" /><Relationship Type="http://schemas.openxmlformats.org/officeDocument/2006/relationships/hyperlink" Target="https://www.mi.com/global/product/mi-smart-electric-toothbrush-t500/specs/" TargetMode="External" Id="rId29" /><Relationship Type="http://schemas.openxmlformats.org/officeDocument/2006/relationships/hyperlink" Target="https://www.electricteeth.com/uk/xiaomi-mi-review/" TargetMode="External" Id="rId30" /><Relationship Type="http://schemas.openxmlformats.org/officeDocument/2006/relationships/hyperlink" Target="https://www.usmile.com/electrictoothbrush/info.html?id=4" TargetMode="External" Id="rId31" /><Relationship Type="http://schemas.openxmlformats.org/officeDocument/2006/relationships/hyperlink" Target="https://www.ada.org/resources/research/science/ada-seal-of-acceptance/product-search/a065e00000BWImYAAX/usmile-sonic-electric-toothbrush-y1s" TargetMode="External" Id="rId32" /><Relationship Type="http://schemas.openxmlformats.org/officeDocument/2006/relationships/hyperlink" Target="https://www.waterpik.ch/en/oral-health/products/dental-water-flosser/WP-560/" TargetMode="External" Id="rId33" /><Relationship Type="http://schemas.openxmlformats.org/officeDocument/2006/relationships/hyperlink" Target="https://www.electricteeth.com/waterpik-cordless-advanced-wp560-review/" TargetMode="External" Id="rId34" /><Relationship Type="http://schemas.openxmlformats.org/officeDocument/2006/relationships/hyperlink" Target="https://www.jumia.ci/generic-1-piece-hydropulseur-portatif-rechargeable-usb-irrigateur-oral-280-ml-31831284.html" TargetMode="External" Id="rId35" /><Relationship Type="http://schemas.openxmlformats.org/officeDocument/2006/relationships/hyperlink" Target="https://www.jumia.ci/soins-bucco-dentaires-power-flosser-dentaire/" TargetMode="External" Id="rId36" /><Relationship Type="http://schemas.openxmlformats.org/officeDocument/2006/relationships/hyperlink" Target="https://www.jumia.ci/jet-dentaire-electrique-portable-hydropulseur-rechargeable-etanche-generic-mpg1033399.html" TargetMode="External" Id="rId37" /><Relationship Type="http://schemas.openxmlformats.org/officeDocument/2006/relationships/hyperlink" Target="https://www.jumia.ci/generic-irrigateur-oral-portable-nettoyeur-dentaire-hydropulseur-puissant-pour-le-soin-buccal-31064524.html" TargetMode="External" Id="rId38" /><Relationship Type="http://schemas.openxmlformats.org/officeDocument/2006/relationships/hyperlink" Target="https://www.panasonic.com/uk/support/discontinued-products/personal-care/ew-dj10.specs.html" TargetMode="External" Id="rId39" /><Relationship Type="http://schemas.openxmlformats.org/officeDocument/2006/relationships/hyperlink" Target="https://www.amazon.com/Panasonic-EW-DJ10-A-Portable-Oral-Irrigator/dp/B00H2H9J4C" TargetMode="External" Id="rId40" /><Relationship Type="http://schemas.openxmlformats.org/officeDocument/2006/relationships/hyperlink" Target="https://www.waterpik.ch/en/oral-health/products/dental-water-flosser/WP-560/" TargetMode="External" Id="rId41" /><Relationship Type="http://schemas.openxmlformats.org/officeDocument/2006/relationships/hyperlink" Target="https://www.electricteeth.com/waterpik-cordless-advanced-wp560-review/" TargetMode="External" Id="rId42" /><Relationship Type="http://schemas.openxmlformats.org/officeDocument/2006/relationships/hyperlink" Target="https://www.amazon.com/Waterpik-Ultra-Cordless-Water-Flosser/dp/B000UWAWQU" TargetMode="External" Id="rId43" /><Relationship Type="http://schemas.openxmlformats.org/officeDocument/2006/relationships/hyperlink" Target="https://www.bestbuy.com/site/waterpik-cordless-plus-water-flosser-white/9984479.p?skuId=9984479" TargetMode="External" Id="rId44" /><Relationship Type="http://schemas.openxmlformats.org/officeDocument/2006/relationships/hyperlink" Target="https://www.colgate.com/en-my/products/toothbrush/colgate-proclinical-150-deepclean-battery-powered-toothbrush" TargetMode="External" Id="rId45" /><Relationship Type="http://schemas.openxmlformats.org/officeDocument/2006/relationships/hyperlink" Target="https://www.colgate.com/en-my/products/toothbrush/colgate-proclinical-150-charcoal-battery-powered-toothbrush" TargetMode="External" Id="rId46" /><Relationship Type="http://schemas.openxmlformats.org/officeDocument/2006/relationships/hyperlink" Target="https://oralb.com/en-us/products/replacement-brush-heads/oral-b-crossaction-x-filaments-replacement-brush-heads-refill-black-3-count/" TargetMode="External" Id="rId47" /><Relationship Type="http://schemas.openxmlformats.org/officeDocument/2006/relationships/hyperlink" Target="https://www.amazon.com/clp/B077B5GCF8" TargetMode="External" Id="rId48" /><Relationship Type="http://schemas.openxmlformats.org/officeDocument/2006/relationships/hyperlink" Target="https://www.usa.philips.com/c-p/HX6810_50/sonicare-protectiveclean-4100-sonic-electric-toothbrush/partsandaccessories" TargetMode="External" Id="rId49" /><Relationship Type="http://schemas.openxmlformats.org/officeDocument/2006/relationships/hyperlink" Target="https://www.ebay.com/itm/277611730525" TargetMode="External" Id="rId50" /><Relationship Type="http://schemas.openxmlformats.org/officeDocument/2006/relationships/hyperlink" Target="https://www.amazon.com/usmile-Replacement-Toothbrush-Electric-Reminder/dp/B09D3SHP7K" TargetMode="External" Id="rId51" /><Relationship Type="http://schemas.openxmlformats.org/officeDocument/2006/relationships/hyperlink" Target="https://usmile.us/products/usmile-whitening-brush-head-2-packs" TargetMode="External" Id="rId52" 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P147"/>
  <sheetViews>
    <sheetView showGridLines="0" workbookViewId="0">
      <pane xSplit="1" ySplit="1" topLeftCell="B2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6" customWidth="1" min="1" max="1"/>
    <col width="17" customWidth="1" min="2" max="2"/>
    <col width="22" customWidth="1" min="3" max="3"/>
    <col width="14" customWidth="1" min="4" max="4"/>
    <col width="14" customWidth="1" min="5" max="5"/>
    <col width="14" customWidth="1" min="6" max="6"/>
    <col width="12" customWidth="1" min="7" max="7"/>
    <col width="12" customWidth="1" min="8" max="8"/>
    <col width="12" customWidth="1" min="9" max="9"/>
    <col width="26" customWidth="1" min="10" max="10"/>
    <col width="22" customWidth="1" min="11" max="11"/>
    <col width="13" customWidth="1" min="12" max="12"/>
    <col width="12" customWidth="1" min="13" max="13"/>
    <col width="13" customWidth="1" min="14" max="14"/>
    <col width="18" customWidth="1" min="15" max="15"/>
    <col width="10" customWidth="1" min="16" max="16"/>
    <col width="10" customWidth="1" min="17" max="17"/>
    <col width="34" customWidth="1" min="18" max="18"/>
    <col width="60" customWidth="1" min="19" max="19"/>
    <col width="10" customWidth="1" min="20" max="20"/>
    <col width="34" customWidth="1" min="21" max="21"/>
    <col width="18" customWidth="1" min="22" max="22"/>
    <col width="26" customWidth="1" min="23" max="23"/>
    <col width="26" customWidth="1" min="24" max="24"/>
    <col width="26" customWidth="1" min="25" max="25"/>
    <col width="14" customWidth="1" min="26" max="26"/>
    <col width="18" customWidth="1" min="27" max="27"/>
    <col width="18" customWidth="1" min="28" max="28"/>
    <col width="24" customWidth="1" min="29" max="29"/>
    <col width="34" customWidth="1" min="30" max="30"/>
    <col width="26" customWidth="1" min="31" max="31"/>
    <col width="52" customWidth="1" min="32" max="32"/>
    <col width="52" customWidth="1" min="33" max="33"/>
    <col width="64" customWidth="1" min="34" max="34"/>
    <col width="15" customWidth="1" min="35" max="35"/>
    <col width="14" customWidth="1" min="36" max="36"/>
    <col width="10" customWidth="1" min="37" max="37"/>
    <col width="14" customWidth="1" min="38" max="38"/>
    <col width="32" customWidth="1" min="39" max="39"/>
    <col width="18" customWidth="1" min="40" max="40"/>
    <col width="16" customWidth="1" min="41" max="41"/>
    <col width="20" customWidth="1" min="42" max="42"/>
  </cols>
  <sheetData>
    <row r="1" ht="46" customHeight="1">
      <c r="A1" s="1" t="inlineStr">
        <is>
          <t>Référence SEAGO</t>
        </is>
      </c>
      <c r="B1" s="1" t="inlineStr">
        <is>
          <t>Gamme / série</t>
        </is>
      </c>
      <c r="C1" s="1" t="inlineStr">
        <is>
          <t>Technologie</t>
        </is>
      </c>
      <c r="D1" s="1" t="inlineStr">
        <is>
          <t>Cible</t>
        </is>
      </c>
      <c r="E1" s="1" t="inlineStr">
        <is>
          <t>Fréquence min (strokes/min)</t>
        </is>
      </c>
      <c r="F1" s="1" t="inlineStr">
        <is>
          <t>Fréquence max (strokes/min)</t>
        </is>
      </c>
      <c r="G1" s="1" t="inlineStr">
        <is>
          <t>Nombre de modes</t>
        </is>
      </c>
      <c r="H1" s="1" t="inlineStr">
        <is>
          <t>Autonomie (jours)</t>
        </is>
      </c>
      <c r="I1" s="1" t="inlineStr">
        <is>
          <t>Batterie (mAh)</t>
        </is>
      </c>
      <c r="J1" s="1" t="inlineStr">
        <is>
          <t>Type d'alimentation</t>
        </is>
      </c>
      <c r="K1" s="1" t="inlineStr">
        <is>
          <t>Mode de charge</t>
        </is>
      </c>
      <c r="L1" s="1" t="inlineStr">
        <is>
          <t>Temps de charge (h)</t>
        </is>
      </c>
      <c r="M1" s="1" t="inlineStr">
        <is>
          <t>Étanchéité (IPX)</t>
        </is>
      </c>
      <c r="N1" s="1" t="inlineStr">
        <is>
          <t>Capteur de pression</t>
        </is>
      </c>
      <c r="O1" s="1" t="inlineStr">
        <is>
          <t>Affichage</t>
        </is>
      </c>
      <c r="P1" s="1" t="inlineStr">
        <is>
          <t>Minuteur</t>
        </is>
      </c>
      <c r="Q1" s="1" t="inlineStr">
        <is>
          <t>Poids (g)</t>
        </is>
      </c>
      <c r="R1" s="1" t="inlineStr">
        <is>
          <t>Dimensions L*l*H (mm)</t>
        </is>
      </c>
      <c r="S1" s="1" t="inlineStr">
        <is>
          <t>Fonctions différenciantes</t>
        </is>
      </c>
      <c r="T1" s="1" t="inlineStr">
        <is>
          <t>Page catalogue</t>
        </is>
      </c>
      <c r="U1" s="2" t="inlineStr">
        <is>
          <t>Produit concurrent</t>
        </is>
      </c>
      <c r="V1" s="2" t="inlineStr">
        <is>
          <t>Marque concurrente</t>
        </is>
      </c>
      <c r="W1" s="2" t="inlineStr">
        <is>
          <t>Technologie concurrent</t>
        </is>
      </c>
      <c r="X1" s="2" t="inlineStr">
        <is>
          <t>Fréquence / débit concurrent</t>
        </is>
      </c>
      <c r="Y1" s="2" t="inlineStr">
        <is>
          <t>Modes concurrent</t>
        </is>
      </c>
      <c r="Z1" s="2" t="inlineStr">
        <is>
          <t>Autonomie concurrent (jours)</t>
        </is>
      </c>
      <c r="AA1" s="2" t="inlineStr">
        <is>
          <t>Étanchéité concurrent</t>
        </is>
      </c>
      <c r="AB1" s="2" t="inlineStr">
        <is>
          <t>Capteur de pression concurrent</t>
        </is>
      </c>
      <c r="AC1" s="2" t="inlineStr">
        <is>
          <t>Alimentation / charge concurrent</t>
        </is>
      </c>
      <c r="AD1" s="2" t="inlineStr">
        <is>
          <t>Marchés où le produit est distribué</t>
        </is>
      </c>
      <c r="AE1" s="2" t="inlineStr">
        <is>
          <t>Canal de distribution</t>
        </is>
      </c>
      <c r="AF1" s="2" t="inlineStr">
        <is>
          <t>Lien produit concurrent</t>
        </is>
      </c>
      <c r="AG1" s="2" t="inlineStr">
        <is>
          <t>Lien source secondaire</t>
        </is>
      </c>
      <c r="AH1" s="2" t="inlineStr">
        <is>
          <t>Base du rapprochement et écart technique</t>
        </is>
      </c>
      <c r="AI1" s="3" t="inlineStr">
        <is>
          <t>Prix concurrent</t>
        </is>
      </c>
      <c r="AJ1" s="3" t="inlineStr">
        <is>
          <t>Prix SEAGO</t>
        </is>
      </c>
      <c r="AK1" s="3" t="inlineStr">
        <is>
          <t>Devise</t>
        </is>
      </c>
      <c r="AL1" s="3" t="inlineStr">
        <is>
          <t>Date du relevé</t>
        </is>
      </c>
      <c r="AM1" s="3" t="inlineStr">
        <is>
          <t>Commentaire</t>
        </is>
      </c>
      <c r="AN1" s="4" t="inlineStr">
        <is>
          <t>Écart de prix (valeur)</t>
        </is>
      </c>
      <c r="AO1" s="4" t="inlineStr">
        <is>
          <t>Écart de prix (%)</t>
        </is>
      </c>
      <c r="AP1" s="4" t="inlineStr">
        <is>
          <t>Positionnement prix</t>
        </is>
      </c>
    </row>
    <row r="2">
      <c r="A2" s="5" t="inlineStr">
        <is>
          <t>SG-2788</t>
        </is>
      </c>
      <c r="B2" s="5" t="inlineStr">
        <is>
          <t>New Arrival</t>
        </is>
      </c>
      <c r="C2" s="5" t="inlineStr">
        <is>
          <t>Sonique</t>
        </is>
      </c>
      <c r="D2" s="5" t="inlineStr">
        <is>
          <t>Adulte</t>
        </is>
      </c>
      <c r="E2" s="6" t="n">
        <v>32000</v>
      </c>
      <c r="F2" s="6" t="n">
        <v>40000</v>
      </c>
      <c r="G2" s="7" t="n">
        <v>5</v>
      </c>
      <c r="H2" s="7" t="n">
        <v>21</v>
      </c>
      <c r="I2" s="7" t="n">
        <v>700</v>
      </c>
      <c r="J2" s="5" t="inlineStr">
        <is>
          <t>Batterie Li-ion rechargeable</t>
        </is>
      </c>
      <c r="K2" s="5" t="inlineStr">
        <is>
          <t>Type-C</t>
        </is>
      </c>
      <c r="L2" s="8" t="inlineStr">
        <is>
          <t>N/D</t>
        </is>
      </c>
      <c r="M2" s="5" t="inlineStr">
        <is>
          <t>IPX7</t>
        </is>
      </c>
      <c r="N2" s="5" t="inlineStr">
        <is>
          <t>Oui</t>
        </is>
      </c>
      <c r="O2" s="5" t="inlineStr">
        <is>
          <t>Aucun</t>
        </is>
      </c>
      <c r="P2" s="5" t="inlineStr">
        <is>
          <t>Non</t>
        </is>
      </c>
      <c r="Q2" s="9" t="n">
        <v>108.5</v>
      </c>
      <c r="R2" s="5" t="inlineStr">
        <is>
          <t>30.5*28.7*252.9</t>
        </is>
      </c>
      <c r="S2" s="10" t="inlineStr">
        <is>
          <t>Capteur de pression avec alerte sonore, montée progressive 3 s, design cuir + brillant antidérapant, bague décorative gear, système super silencieux, alerte batterie faible</t>
        </is>
      </c>
      <c r="T2" s="11" t="n">
        <v>1</v>
      </c>
      <c r="U2" s="12" t="inlineStr">
        <is>
          <t>Brosse sonique USB 6 modes, 4 têtes</t>
        </is>
      </c>
      <c r="V2" s="12" t="inlineStr">
        <is>
          <t>Addigoes (marketplace)</t>
        </is>
      </c>
      <c r="W2" s="12" t="inlineStr">
        <is>
          <t>Sonique</t>
        </is>
      </c>
      <c r="X2" s="12" t="inlineStr">
        <is>
          <t>42 000 vibrations/min</t>
        </is>
      </c>
      <c r="Y2" s="12" t="inlineStr">
        <is>
          <t>6 modes</t>
        </is>
      </c>
      <c r="Z2" s="12" t="n">
        <v>60</v>
      </c>
      <c r="AA2" s="12" t="inlineStr">
        <is>
          <t>Étanche (indice non précisé)</t>
        </is>
      </c>
      <c r="AB2" s="12" t="inlineStr">
        <is>
          <t>Non</t>
        </is>
      </c>
      <c r="AC2" s="12" t="inlineStr">
        <is>
          <t>USB</t>
        </is>
      </c>
      <c r="AD2" s="12" t="inlineStr">
        <is>
          <t>Côte d'Ivoire (Jumia, vérifié)</t>
        </is>
      </c>
      <c r="AE2" s="12" t="inlineStr">
        <is>
          <t>Jumia CI</t>
        </is>
      </c>
      <c r="AF2" s="13" t="inlineStr">
        <is>
          <t>https://www.jumia.ci/addigoes-brosse-a-dents-electrique-sonique-rechargeable-usb-6-modes-etanche-haute-frequence-4-tetes-de-brosse-nettoyage-dentaire-professionnel-noir-30497266.html</t>
        </is>
      </c>
      <c r="AG2" s="13" t="inlineStr">
        <is>
          <t>https://www.jumia.ci/brosse-a-dents-electrique/</t>
        </is>
      </c>
      <c r="AH2" s="12" t="inlineStr">
        <is>
          <t>Rapprochement sur la haute fréquence (40 000 mouvements/min et plus) et le nombre élevé de modes. Amplitude 6 mm annoncée et pack 4 têtes, concurrent frontal des SEAGO à moteur magnétique.</t>
        </is>
      </c>
      <c r="AI2" s="14" t="n"/>
      <c r="AJ2" s="14" t="n"/>
      <c r="AK2" s="15" t="n"/>
      <c r="AL2" s="16" t="n"/>
      <c r="AM2" s="15" t="n"/>
      <c r="AN2" s="17">
        <f>IF(OR(AJ2="",AI2=""),"",AJ2-AI2)</f>
        <v/>
      </c>
      <c r="AO2" s="18">
        <f>IF(OR(AJ2="",AI2="",AI2=0),"",(AJ2-AI2)/AI2)</f>
        <v/>
      </c>
      <c r="AP2" s="19">
        <f>IF(AO2="","",IF(AO2&lt;-0.05,"Moins cher",IF(AO2&gt;0.05,"Plus cher","Équivalent")))</f>
        <v/>
      </c>
    </row>
    <row r="3">
      <c r="A3" s="20" t="inlineStr">
        <is>
          <t>SG-2801</t>
        </is>
      </c>
      <c r="B3" s="20" t="inlineStr">
        <is>
          <t>New Arrival</t>
        </is>
      </c>
      <c r="C3" s="20" t="inlineStr">
        <is>
          <t>Sonique</t>
        </is>
      </c>
      <c r="D3" s="20" t="inlineStr">
        <is>
          <t>Adulte</t>
        </is>
      </c>
      <c r="E3" s="21" t="n">
        <v>35000</v>
      </c>
      <c r="F3" s="21" t="n">
        <v>35000</v>
      </c>
      <c r="G3" s="22" t="n">
        <v>5</v>
      </c>
      <c r="H3" s="22" t="n">
        <v>180</v>
      </c>
      <c r="I3" s="22" t="n">
        <v>700</v>
      </c>
      <c r="J3" s="20" t="inlineStr">
        <is>
          <t>Batterie Li-ion rechargeable</t>
        </is>
      </c>
      <c r="K3" s="20" t="inlineStr">
        <is>
          <t>Type-C</t>
        </is>
      </c>
      <c r="L3" s="23" t="n">
        <v>3</v>
      </c>
      <c r="M3" s="20" t="inlineStr">
        <is>
          <t>IPX7</t>
        </is>
      </c>
      <c r="N3" s="20" t="inlineStr">
        <is>
          <t>Non</t>
        </is>
      </c>
      <c r="O3" s="20" t="inlineStr">
        <is>
          <t>Indicateur batterie</t>
        </is>
      </c>
      <c r="P3" s="20" t="inlineStr">
        <is>
          <t>Oui</t>
        </is>
      </c>
      <c r="Q3" s="23" t="n">
        <v>73</v>
      </c>
      <c r="R3" s="20" t="inlineStr">
        <is>
          <t>24.6*22.6*224</t>
        </is>
      </c>
      <c r="S3" s="24" t="inlineStr">
        <is>
          <t>Charge 3 h pour 180 jours (mode 3, 2x/j 2 min), mémoire intelligente, tenon métal, alerte batterie faible</t>
        </is>
      </c>
      <c r="T3" s="25" t="n">
        <v>1</v>
      </c>
      <c r="U3" s="12" t="inlineStr">
        <is>
          <t>Y1S Sonic</t>
        </is>
      </c>
      <c r="V3" s="12" t="inlineStr">
        <is>
          <t>usmile</t>
        </is>
      </c>
      <c r="W3" s="12" t="inlineStr">
        <is>
          <t>Sonique</t>
        </is>
      </c>
      <c r="X3" s="12" t="inlineStr">
        <is>
          <t>38 000 vibrations/min</t>
        </is>
      </c>
      <c r="Y3" s="12" t="inlineStr">
        <is>
          <t>3 modes (Clean, White, Soft)</t>
        </is>
      </c>
      <c r="Z3" s="12" t="n">
        <v>180</v>
      </c>
      <c r="AA3" s="12" t="inlineStr">
        <is>
          <t>IPX7</t>
        </is>
      </c>
      <c r="AB3" s="12" t="inlineStr">
        <is>
          <t>Non</t>
        </is>
      </c>
      <c r="AC3" s="12" t="inlineStr">
        <is>
          <t>USB Type-C</t>
        </is>
      </c>
      <c r="AD3" s="12" t="inlineStr">
        <is>
          <t>Non vérifié sur les marchés cibles</t>
        </is>
      </c>
      <c r="AE3" s="12" t="inlineStr">
        <is>
          <t>Marketplaces, retail spécialisé</t>
        </is>
      </c>
      <c r="AF3" s="13" t="inlineStr">
        <is>
          <t>https://www.usmile.com/electrictoothbrush/info.html?id=4</t>
        </is>
      </c>
      <c r="AG3" s="13" t="inlineStr">
        <is>
          <t>https://www.ada.org/resources/research/science/ada-seal-of-acceptance/product-search/a065e00000BWImYAAX/usmile-sonic-electric-toothbrush-y1s</t>
        </is>
      </c>
      <c r="AH3" s="12" t="inlineStr">
        <is>
          <t>Rapprochement sur l'argument longue autonomie (au-delà de 100 jours). Référence de l'argument longue autonomie (180 jours), acceptée par l'American Dental Association.</t>
        </is>
      </c>
      <c r="AI3" s="14" t="n"/>
      <c r="AJ3" s="14" t="n"/>
      <c r="AK3" s="15" t="n"/>
      <c r="AL3" s="16" t="n"/>
      <c r="AM3" s="15" t="n"/>
      <c r="AN3" s="17">
        <f>IF(OR(AJ3="",AI3=""),"",AJ3-AI3)</f>
        <v/>
      </c>
      <c r="AO3" s="18">
        <f>IF(OR(AJ3="",AI3="",AI3=0),"",(AJ3-AI3)/AI3)</f>
        <v/>
      </c>
      <c r="AP3" s="19">
        <f>IF(AO3="","",IF(AO3&lt;-0.05,"Moins cher",IF(AO3&gt;0.05,"Plus cher","Équivalent")))</f>
        <v/>
      </c>
    </row>
    <row r="4">
      <c r="A4" s="5" t="inlineStr">
        <is>
          <t>SG-2803</t>
        </is>
      </c>
      <c r="B4" s="5" t="inlineStr">
        <is>
          <t>New Arrival</t>
        </is>
      </c>
      <c r="C4" s="5" t="inlineStr">
        <is>
          <t>Sonique</t>
        </is>
      </c>
      <c r="D4" s="5" t="inlineStr">
        <is>
          <t>Adulte</t>
        </is>
      </c>
      <c r="E4" s="6" t="n">
        <v>32000</v>
      </c>
      <c r="F4" s="6" t="n">
        <v>38000</v>
      </c>
      <c r="G4" s="7" t="n">
        <v>5</v>
      </c>
      <c r="H4" s="7" t="n">
        <v>30</v>
      </c>
      <c r="I4" s="7" t="n">
        <v>700</v>
      </c>
      <c r="J4" s="5" t="inlineStr">
        <is>
          <t>Batterie Li-ion rechargeable</t>
        </is>
      </c>
      <c r="K4" s="5" t="inlineStr">
        <is>
          <t>Type-C</t>
        </is>
      </c>
      <c r="L4" s="9" t="n">
        <v>3</v>
      </c>
      <c r="M4" s="5" t="inlineStr">
        <is>
          <t>IPX7</t>
        </is>
      </c>
      <c r="N4" s="5" t="inlineStr">
        <is>
          <t>Non</t>
        </is>
      </c>
      <c r="O4" s="5" t="inlineStr">
        <is>
          <t>Aucun</t>
        </is>
      </c>
      <c r="P4" s="5" t="inlineStr">
        <is>
          <t>Oui</t>
        </is>
      </c>
      <c r="Q4" s="9" t="n">
        <v>125</v>
      </c>
      <c r="R4" s="5" t="inlineStr">
        <is>
          <t>26.8*26.7*253</t>
        </is>
      </c>
      <c r="S4" s="10" t="inlineStr">
        <is>
          <t>Charge complète en 3 h, mémoire intelligente, design ergonomique, alerte batterie faible</t>
        </is>
      </c>
      <c r="T4" s="11" t="n">
        <v>2</v>
      </c>
      <c r="U4" s="12" t="inlineStr">
        <is>
          <t>FW-507 Sonic</t>
        </is>
      </c>
      <c r="V4" s="12" t="inlineStr">
        <is>
          <t>Fairywill</t>
        </is>
      </c>
      <c r="W4" s="12" t="inlineStr">
        <is>
          <t>Sonique</t>
        </is>
      </c>
      <c r="X4" s="12" t="inlineStr">
        <is>
          <t>40 000 strokes/min</t>
        </is>
      </c>
      <c r="Y4" s="12" t="inlineStr">
        <is>
          <t>5 modes (Clean, Sensitive, Massage, White, Polish)</t>
        </is>
      </c>
      <c r="Z4" s="12" t="n">
        <v>30</v>
      </c>
      <c r="AA4" s="12" t="inlineStr">
        <is>
          <t>IPX7</t>
        </is>
      </c>
      <c r="AB4" s="12" t="inlineStr">
        <is>
          <t>Non</t>
        </is>
      </c>
      <c r="AC4" s="12" t="inlineStr">
        <is>
          <t>USB, charge 4 h</t>
        </is>
      </c>
      <c r="AD4" s="12" t="inlineStr">
        <is>
          <t>Maroc (Jumia, marque référencée)</t>
        </is>
      </c>
      <c r="AE4" s="12" t="inlineStr">
        <is>
          <t>Jumia, Amazon, marketplaces</t>
        </is>
      </c>
      <c r="AF4" s="13" t="inlineStr">
        <is>
          <t>https://www.fairywill.com/products/fairywill-electric-toothbrush-30-days-usage-5-modes-changeable-heads-timer</t>
        </is>
      </c>
      <c r="AG4" s="13" t="inlineStr">
        <is>
          <t>https://www.jumia.ma/brosse-a-dents-electrique/fairywill/</t>
        </is>
      </c>
      <c r="AH4" s="12" t="inlineStr">
        <is>
          <t>Rapprochement sur les 5 modes, la fréquence et l'architecture de charge USB. Concurrent le plus proche du coeur de gamme SEAGO : mêmes 5 modes, même fréquence, même architecture USB.</t>
        </is>
      </c>
      <c r="AI4" s="14" t="n"/>
      <c r="AJ4" s="14" t="n"/>
      <c r="AK4" s="15" t="n"/>
      <c r="AL4" s="16" t="n"/>
      <c r="AM4" s="15" t="n"/>
      <c r="AN4" s="17">
        <f>IF(OR(AJ4="",AI4=""),"",AJ4-AI4)</f>
        <v/>
      </c>
      <c r="AO4" s="18">
        <f>IF(OR(AJ4="",AI4="",AI4=0),"",(AJ4-AI4)/AI4)</f>
        <v/>
      </c>
      <c r="AP4" s="19">
        <f>IF(AO4="","",IF(AO4&lt;-0.05,"Moins cher",IF(AO4&gt;0.05,"Plus cher","Équivalent")))</f>
        <v/>
      </c>
    </row>
    <row r="5">
      <c r="A5" s="20" t="inlineStr">
        <is>
          <t>SG-2805</t>
        </is>
      </c>
      <c r="B5" s="20" t="inlineStr">
        <is>
          <t>New Arrival</t>
        </is>
      </c>
      <c r="C5" s="20" t="inlineStr">
        <is>
          <t>Sonique</t>
        </is>
      </c>
      <c r="D5" s="20" t="inlineStr">
        <is>
          <t>Adulte</t>
        </is>
      </c>
      <c r="E5" s="21" t="n">
        <v>31000</v>
      </c>
      <c r="F5" s="21" t="n">
        <v>31000</v>
      </c>
      <c r="G5" s="22" t="n">
        <v>3</v>
      </c>
      <c r="H5" s="22" t="n">
        <v>30</v>
      </c>
      <c r="I5" s="22" t="n">
        <v>700</v>
      </c>
      <c r="J5" s="20" t="inlineStr">
        <is>
          <t>Batterie Li-ion rechargeable</t>
        </is>
      </c>
      <c r="K5" s="20" t="inlineStr">
        <is>
          <t>DC5V</t>
        </is>
      </c>
      <c r="L5" s="26" t="inlineStr">
        <is>
          <t>N/D</t>
        </is>
      </c>
      <c r="M5" s="20" t="inlineStr">
        <is>
          <t>IPX7</t>
        </is>
      </c>
      <c r="N5" s="20" t="inlineStr">
        <is>
          <t>Oui</t>
        </is>
      </c>
      <c r="O5" s="20" t="inlineStr">
        <is>
          <t>Aucun</t>
        </is>
      </c>
      <c r="P5" s="20" t="inlineStr">
        <is>
          <t>Oui</t>
        </is>
      </c>
      <c r="Q5" s="23" t="n">
        <v>115</v>
      </c>
      <c r="R5" s="20" t="inlineStr">
        <is>
          <t>D27.5*163.3</t>
        </is>
      </c>
      <c r="S5" s="24" t="inlineStr">
        <is>
          <t>Design Shoes+Hat, mémoire de vitesse intelligente, alerte batterie faible</t>
        </is>
      </c>
      <c r="T5" s="25" t="n">
        <v>2</v>
      </c>
      <c r="U5" s="12" t="inlineStr">
        <is>
          <t>Mi Smart Electric Toothbrush T500</t>
        </is>
      </c>
      <c r="V5" s="12" t="inlineStr">
        <is>
          <t>Xiaomi</t>
        </is>
      </c>
      <c r="W5" s="12" t="inlineStr">
        <is>
          <t>Sonique à lévitation magnétique</t>
        </is>
      </c>
      <c r="X5" s="12" t="inlineStr">
        <is>
          <t>31 000 vibrations/min</t>
        </is>
      </c>
      <c r="Y5" s="12" t="inlineStr">
        <is>
          <t>3 modes (Standard, Gentle, Custom)</t>
        </is>
      </c>
      <c r="Z5" s="12" t="n">
        <v>18</v>
      </c>
      <c r="AA5" s="12" t="inlineStr">
        <is>
          <t>IPX7</t>
        </is>
      </c>
      <c r="AB5" s="12" t="inlineStr">
        <is>
          <t>Oui (protection de surpression, réduction automatique)</t>
        </is>
      </c>
      <c r="AC5" s="12" t="inlineStr">
        <is>
          <t>USB</t>
        </is>
      </c>
      <c r="AD5" s="12" t="inlineStr">
        <is>
          <t>Non vérifié sur les marchés cibles</t>
        </is>
      </c>
      <c r="AE5" s="12" t="inlineStr">
        <is>
          <t>Marketplaces, distribution Xiaomi</t>
        </is>
      </c>
      <c r="AF5" s="13" t="inlineStr">
        <is>
          <t>https://www.mi.com/global/product/mi-smart-electric-toothbrush-t500/specs/</t>
        </is>
      </c>
      <c r="AG5" s="13" t="inlineStr">
        <is>
          <t>https://www.electricteeth.com/uk/xiaomi-mi-review/</t>
        </is>
      </c>
      <c r="AH5" s="12" t="inlineStr">
        <is>
          <t>Rapprochement sur le capteur de pression et le nombre de modes restreint. Pilotage par application et protection de surpression, positionnement milieu de gamme connecté.</t>
        </is>
      </c>
      <c r="AI5" s="14" t="n"/>
      <c r="AJ5" s="14" t="n"/>
      <c r="AK5" s="15" t="n"/>
      <c r="AL5" s="16" t="n"/>
      <c r="AM5" s="15" t="n"/>
      <c r="AN5" s="17">
        <f>IF(OR(AJ5="",AI5=""),"",AJ5-AI5)</f>
        <v/>
      </c>
      <c r="AO5" s="18">
        <f>IF(OR(AJ5="",AI5="",AI5=0),"",(AJ5-AI5)/AI5)</f>
        <v/>
      </c>
      <c r="AP5" s="19">
        <f>IF(AO5="","",IF(AO5&lt;-0.05,"Moins cher",IF(AO5&gt;0.05,"Plus cher","Équivalent")))</f>
        <v/>
      </c>
    </row>
    <row r="6">
      <c r="A6" s="5" t="inlineStr">
        <is>
          <t>SG-2807</t>
        </is>
      </c>
      <c r="B6" s="5" t="inlineStr">
        <is>
          <t>New Arrival</t>
        </is>
      </c>
      <c r="C6" s="5" t="inlineStr">
        <is>
          <t>Sonique</t>
        </is>
      </c>
      <c r="D6" s="5" t="inlineStr">
        <is>
          <t>Adulte</t>
        </is>
      </c>
      <c r="E6" s="6" t="n">
        <v>38000</v>
      </c>
      <c r="F6" s="6" t="n">
        <v>38000</v>
      </c>
      <c r="G6" s="7" t="n">
        <v>5</v>
      </c>
      <c r="H6" s="7" t="n">
        <v>50</v>
      </c>
      <c r="I6" s="7" t="n">
        <v>700</v>
      </c>
      <c r="J6" s="5" t="inlineStr">
        <is>
          <t>Batterie Li-ion rechargeable</t>
        </is>
      </c>
      <c r="K6" s="5" t="inlineStr">
        <is>
          <t>Magnétique</t>
        </is>
      </c>
      <c r="L6" s="8" t="inlineStr">
        <is>
          <t>N/D</t>
        </is>
      </c>
      <c r="M6" s="5" t="inlineStr">
        <is>
          <t>IPX7</t>
        </is>
      </c>
      <c r="N6" s="5" t="inlineStr">
        <is>
          <t>Non</t>
        </is>
      </c>
      <c r="O6" s="5" t="inlineStr">
        <is>
          <t>Aucun</t>
        </is>
      </c>
      <c r="P6" s="5" t="inlineStr">
        <is>
          <t>Non</t>
        </is>
      </c>
      <c r="Q6" s="9" t="n">
        <v>71</v>
      </c>
      <c r="R6" s="5" t="inlineStr">
        <is>
          <t>23.8*21.1*193.3</t>
        </is>
      </c>
      <c r="S6" s="10" t="inlineStr">
        <is>
          <t>Format voyage, charge par aimantation, design portable</t>
        </is>
      </c>
      <c r="T6" s="11" t="n">
        <v>3</v>
      </c>
      <c r="U6" s="12" t="inlineStr">
        <is>
          <t>FW-507 Sonic</t>
        </is>
      </c>
      <c r="V6" s="12" t="inlineStr">
        <is>
          <t>Fairywill</t>
        </is>
      </c>
      <c r="W6" s="12" t="inlineStr">
        <is>
          <t>Sonique</t>
        </is>
      </c>
      <c r="X6" s="12" t="inlineStr">
        <is>
          <t>40 000 strokes/min</t>
        </is>
      </c>
      <c r="Y6" s="12" t="inlineStr">
        <is>
          <t>5 modes (Clean, Sensitive, Massage, White, Polish)</t>
        </is>
      </c>
      <c r="Z6" s="12" t="n">
        <v>30</v>
      </c>
      <c r="AA6" s="12" t="inlineStr">
        <is>
          <t>IPX7</t>
        </is>
      </c>
      <c r="AB6" s="12" t="inlineStr">
        <is>
          <t>Non</t>
        </is>
      </c>
      <c r="AC6" s="12" t="inlineStr">
        <is>
          <t>USB, charge 4 h</t>
        </is>
      </c>
      <c r="AD6" s="12" t="inlineStr">
        <is>
          <t>Maroc (Jumia, marque référencée)</t>
        </is>
      </c>
      <c r="AE6" s="12" t="inlineStr">
        <is>
          <t>Jumia, Amazon, marketplaces</t>
        </is>
      </c>
      <c r="AF6" s="13" t="inlineStr">
        <is>
          <t>https://www.fairywill.com/products/fairywill-electric-toothbrush-30-days-usage-5-modes-changeable-heads-timer</t>
        </is>
      </c>
      <c r="AG6" s="13" t="inlineStr">
        <is>
          <t>https://www.jumia.ma/brosse-a-dents-electrique/fairywill/</t>
        </is>
      </c>
      <c r="AH6" s="12" t="inlineStr">
        <is>
          <t>Rapprochement sur les 5 modes, la fréquence et l'architecture de charge USB. Concurrent le plus proche du coeur de gamme SEAGO : mêmes 5 modes, même fréquence, même architecture USB.</t>
        </is>
      </c>
      <c r="AI6" s="14" t="n"/>
      <c r="AJ6" s="14" t="n"/>
      <c r="AK6" s="15" t="n"/>
      <c r="AL6" s="16" t="n"/>
      <c r="AM6" s="15" t="n"/>
      <c r="AN6" s="17">
        <f>IF(OR(AJ6="",AI6=""),"",AJ6-AI6)</f>
        <v/>
      </c>
      <c r="AO6" s="18">
        <f>IF(OR(AJ6="",AI6="",AI6=0),"",(AJ6-AI6)/AI6)</f>
        <v/>
      </c>
      <c r="AP6" s="19">
        <f>IF(AO6="","",IF(AO6&lt;-0.05,"Moins cher",IF(AO6&gt;0.05,"Plus cher","Équivalent")))</f>
        <v/>
      </c>
    </row>
    <row r="7">
      <c r="A7" s="20" t="inlineStr">
        <is>
          <t>SG-2808</t>
        </is>
      </c>
      <c r="B7" s="20" t="inlineStr">
        <is>
          <t>New Arrival</t>
        </is>
      </c>
      <c r="C7" s="20" t="inlineStr">
        <is>
          <t>Sonique</t>
        </is>
      </c>
      <c r="D7" s="20" t="inlineStr">
        <is>
          <t>Adulte</t>
        </is>
      </c>
      <c r="E7" s="21" t="n">
        <v>33000</v>
      </c>
      <c r="F7" s="21" t="n">
        <v>33000</v>
      </c>
      <c r="G7" s="22" t="n">
        <v>5</v>
      </c>
      <c r="H7" s="22" t="n">
        <v>100</v>
      </c>
      <c r="I7" s="22" t="n">
        <v>2000</v>
      </c>
      <c r="J7" s="20" t="inlineStr">
        <is>
          <t>Batterie Li-ion rechargeable</t>
        </is>
      </c>
      <c r="K7" s="20" t="inlineStr">
        <is>
          <t>Type-C</t>
        </is>
      </c>
      <c r="L7" s="23" t="n">
        <v>8</v>
      </c>
      <c r="M7" s="20" t="inlineStr">
        <is>
          <t>IPX7</t>
        </is>
      </c>
      <c r="N7" s="20" t="inlineStr">
        <is>
          <t>Non</t>
        </is>
      </c>
      <c r="O7" s="20" t="inlineStr">
        <is>
          <t>Indicateur batterie</t>
        </is>
      </c>
      <c r="P7" s="20" t="inlineStr">
        <is>
          <t>Oui</t>
        </is>
      </c>
      <c r="Q7" s="23" t="n">
        <v>100.5</v>
      </c>
      <c r="R7" s="20" t="inlineStr">
        <is>
          <t>27*29.2*226.8</t>
        </is>
      </c>
      <c r="S7" s="24" t="inlineStr">
        <is>
          <t>Charge 8 h pour 100 jours, mémoire intelligente, protection surcharge et décharge profonde</t>
        </is>
      </c>
      <c r="T7" s="25" t="n">
        <v>3</v>
      </c>
      <c r="U7" s="12" t="inlineStr">
        <is>
          <t>Y1S Sonic</t>
        </is>
      </c>
      <c r="V7" s="12" t="inlineStr">
        <is>
          <t>usmile</t>
        </is>
      </c>
      <c r="W7" s="12" t="inlineStr">
        <is>
          <t>Sonique</t>
        </is>
      </c>
      <c r="X7" s="12" t="inlineStr">
        <is>
          <t>38 000 vibrations/min</t>
        </is>
      </c>
      <c r="Y7" s="12" t="inlineStr">
        <is>
          <t>3 modes (Clean, White, Soft)</t>
        </is>
      </c>
      <c r="Z7" s="12" t="n">
        <v>180</v>
      </c>
      <c r="AA7" s="12" t="inlineStr">
        <is>
          <t>IPX7</t>
        </is>
      </c>
      <c r="AB7" s="12" t="inlineStr">
        <is>
          <t>Non</t>
        </is>
      </c>
      <c r="AC7" s="12" t="inlineStr">
        <is>
          <t>USB Type-C</t>
        </is>
      </c>
      <c r="AD7" s="12" t="inlineStr">
        <is>
          <t>Non vérifié sur les marchés cibles</t>
        </is>
      </c>
      <c r="AE7" s="12" t="inlineStr">
        <is>
          <t>Marketplaces, retail spécialisé</t>
        </is>
      </c>
      <c r="AF7" s="13" t="inlineStr">
        <is>
          <t>https://www.usmile.com/electrictoothbrush/info.html?id=4</t>
        </is>
      </c>
      <c r="AG7" s="13" t="inlineStr">
        <is>
          <t>https://www.ada.org/resources/research/science/ada-seal-of-acceptance/product-search/a065e00000BWImYAAX/usmile-sonic-electric-toothbrush-y1s</t>
        </is>
      </c>
      <c r="AH7" s="12" t="inlineStr">
        <is>
          <t>Rapprochement sur l'argument longue autonomie (au-delà de 100 jours). Référence de l'argument longue autonomie (180 jours), acceptée par l'American Dental Association.</t>
        </is>
      </c>
      <c r="AI7" s="14" t="n"/>
      <c r="AJ7" s="14" t="n"/>
      <c r="AK7" s="15" t="n"/>
      <c r="AL7" s="16" t="n"/>
      <c r="AM7" s="15" t="n"/>
      <c r="AN7" s="17">
        <f>IF(OR(AJ7="",AI7=""),"",AJ7-AI7)</f>
        <v/>
      </c>
      <c r="AO7" s="18">
        <f>IF(OR(AJ7="",AI7="",AI7=0),"",(AJ7-AI7)/AI7)</f>
        <v/>
      </c>
      <c r="AP7" s="19">
        <f>IF(AO7="","",IF(AO7&lt;-0.05,"Moins cher",IF(AO7&gt;0.05,"Plus cher","Équivalent")))</f>
        <v/>
      </c>
    </row>
    <row r="8">
      <c r="A8" s="5" t="inlineStr">
        <is>
          <t>SG-2810</t>
        </is>
      </c>
      <c r="B8" s="5" t="inlineStr">
        <is>
          <t>New Arrival</t>
        </is>
      </c>
      <c r="C8" s="5" t="inlineStr">
        <is>
          <t>Sonique</t>
        </is>
      </c>
      <c r="D8" s="5" t="inlineStr">
        <is>
          <t>Adulte</t>
        </is>
      </c>
      <c r="E8" s="6" t="n">
        <v>33000</v>
      </c>
      <c r="F8" s="6" t="n">
        <v>33000</v>
      </c>
      <c r="G8" s="7" t="n">
        <v>5</v>
      </c>
      <c r="H8" s="7" t="n">
        <v>100</v>
      </c>
      <c r="I8" s="7" t="n">
        <v>2000</v>
      </c>
      <c r="J8" s="5" t="inlineStr">
        <is>
          <t>Batterie Li-ion rechargeable</t>
        </is>
      </c>
      <c r="K8" s="5" t="inlineStr">
        <is>
          <t>Type-C</t>
        </is>
      </c>
      <c r="L8" s="9" t="n">
        <v>8</v>
      </c>
      <c r="M8" s="5" t="inlineStr">
        <is>
          <t>IPX7</t>
        </is>
      </c>
      <c r="N8" s="5" t="inlineStr">
        <is>
          <t>Non</t>
        </is>
      </c>
      <c r="O8" s="5" t="inlineStr">
        <is>
          <t>Indicateur batterie</t>
        </is>
      </c>
      <c r="P8" s="5" t="inlineStr">
        <is>
          <t>Oui</t>
        </is>
      </c>
      <c r="Q8" s="9" t="n">
        <v>140</v>
      </c>
      <c r="R8" s="5" t="inlineStr">
        <is>
          <t>28*29*244</t>
        </is>
      </c>
      <c r="S8" s="10" t="inlineStr">
        <is>
          <t>Charge 8 h pour 100 jours, mémoire intelligente, protection surcharge et décharge profonde</t>
        </is>
      </c>
      <c r="T8" s="11" t="n">
        <v>4</v>
      </c>
      <c r="U8" s="12" t="inlineStr">
        <is>
          <t>Y1S Sonic</t>
        </is>
      </c>
      <c r="V8" s="12" t="inlineStr">
        <is>
          <t>usmile</t>
        </is>
      </c>
      <c r="W8" s="12" t="inlineStr">
        <is>
          <t>Sonique</t>
        </is>
      </c>
      <c r="X8" s="12" t="inlineStr">
        <is>
          <t>38 000 vibrations/min</t>
        </is>
      </c>
      <c r="Y8" s="12" t="inlineStr">
        <is>
          <t>3 modes (Clean, White, Soft)</t>
        </is>
      </c>
      <c r="Z8" s="12" t="n">
        <v>180</v>
      </c>
      <c r="AA8" s="12" t="inlineStr">
        <is>
          <t>IPX7</t>
        </is>
      </c>
      <c r="AB8" s="12" t="inlineStr">
        <is>
          <t>Non</t>
        </is>
      </c>
      <c r="AC8" s="12" t="inlineStr">
        <is>
          <t>USB Type-C</t>
        </is>
      </c>
      <c r="AD8" s="12" t="inlineStr">
        <is>
          <t>Non vérifié sur les marchés cibles</t>
        </is>
      </c>
      <c r="AE8" s="12" t="inlineStr">
        <is>
          <t>Marketplaces, retail spécialisé</t>
        </is>
      </c>
      <c r="AF8" s="13" t="inlineStr">
        <is>
          <t>https://www.usmile.com/electrictoothbrush/info.html?id=4</t>
        </is>
      </c>
      <c r="AG8" s="13" t="inlineStr">
        <is>
          <t>https://www.ada.org/resources/research/science/ada-seal-of-acceptance/product-search/a065e00000BWImYAAX/usmile-sonic-electric-toothbrush-y1s</t>
        </is>
      </c>
      <c r="AH8" s="12" t="inlineStr">
        <is>
          <t>Rapprochement sur l'argument longue autonomie (au-delà de 100 jours). Référence de l'argument longue autonomie (180 jours), acceptée par l'American Dental Association.</t>
        </is>
      </c>
      <c r="AI8" s="14" t="n"/>
      <c r="AJ8" s="14" t="n"/>
      <c r="AK8" s="15" t="n"/>
      <c r="AL8" s="16" t="n"/>
      <c r="AM8" s="15" t="n"/>
      <c r="AN8" s="17">
        <f>IF(OR(AJ8="",AI8=""),"",AJ8-AI8)</f>
        <v/>
      </c>
      <c r="AO8" s="18">
        <f>IF(OR(AJ8="",AI8="",AI8=0),"",(AJ8-AI8)/AI8)</f>
        <v/>
      </c>
      <c r="AP8" s="19">
        <f>IF(AO8="","",IF(AO8&lt;-0.05,"Moins cher",IF(AO8&gt;0.05,"Plus cher","Équivalent")))</f>
        <v/>
      </c>
    </row>
    <row r="9">
      <c r="A9" s="20" t="inlineStr">
        <is>
          <t>SG-2811</t>
        </is>
      </c>
      <c r="B9" s="20" t="inlineStr">
        <is>
          <t>New Arrival</t>
        </is>
      </c>
      <c r="C9" s="20" t="inlineStr">
        <is>
          <t>Sonique</t>
        </is>
      </c>
      <c r="D9" s="20" t="inlineStr">
        <is>
          <t>Enfant</t>
        </is>
      </c>
      <c r="E9" s="21" t="n">
        <v>36000</v>
      </c>
      <c r="F9" s="21" t="n">
        <v>36000</v>
      </c>
      <c r="G9" s="22" t="n">
        <v>2</v>
      </c>
      <c r="H9" s="22" t="n">
        <v>80</v>
      </c>
      <c r="I9" s="27" t="inlineStr">
        <is>
          <t>N/D</t>
        </is>
      </c>
      <c r="J9" s="20" t="inlineStr">
        <is>
          <t>Piles (2x AA)</t>
        </is>
      </c>
      <c r="K9" s="20" t="inlineStr">
        <is>
          <t>Piles</t>
        </is>
      </c>
      <c r="L9" s="26" t="inlineStr">
        <is>
          <t>N/D</t>
        </is>
      </c>
      <c r="M9" s="20" t="inlineStr">
        <is>
          <t>IPX7</t>
        </is>
      </c>
      <c r="N9" s="20" t="inlineStr">
        <is>
          <t>Non</t>
        </is>
      </c>
      <c r="O9" s="20" t="inlineStr">
        <is>
          <t>Aucun</t>
        </is>
      </c>
      <c r="P9" s="20" t="inlineStr">
        <is>
          <t>Oui</t>
        </is>
      </c>
      <c r="Q9" s="26" t="inlineStr">
        <is>
          <t>N/D</t>
        </is>
      </c>
      <c r="R9" s="28" t="inlineStr">
        <is>
          <t>N/D</t>
        </is>
      </c>
      <c r="S9" s="24" t="inlineStr">
        <is>
          <t>Tête silicone alimentaire avec gratte-langue, poils souples, design sans joint anti-ingestion, anti-projection de dentifrice, sans BPA</t>
        </is>
      </c>
      <c r="T9" s="25" t="n">
        <v>4</v>
      </c>
      <c r="U9" s="12" t="inlineStr">
        <is>
          <t>Kids Battery Disney (Frozen / Princess)</t>
        </is>
      </c>
      <c r="V9" s="12" t="inlineStr">
        <is>
          <t>Oral-B</t>
        </is>
      </c>
      <c r="W9" s="12" t="inlineStr">
        <is>
          <t>Oscillo-rotative enfant</t>
        </is>
      </c>
      <c r="X9" s="12" t="inlineStr">
        <is>
          <t>7 600 oscillations/min</t>
        </is>
      </c>
      <c r="Y9" s="12" t="inlineStr">
        <is>
          <t>1 mode</t>
        </is>
      </c>
      <c r="Z9" s="29" t="inlineStr">
        <is>
          <t>N/D</t>
        </is>
      </c>
      <c r="AA9" s="29" t="inlineStr">
        <is>
          <t>N/D</t>
        </is>
      </c>
      <c r="AB9" s="12" t="inlineStr">
        <is>
          <t>Non</t>
        </is>
      </c>
      <c r="AC9" s="12" t="inlineStr">
        <is>
          <t>2 piles AA</t>
        </is>
      </c>
      <c r="AD9" s="12" t="inlineStr">
        <is>
          <t>Non vérifié sur les marchés cibles</t>
        </is>
      </c>
      <c r="AE9" s="12" t="inlineStr">
        <is>
          <t>Amazon, GMS</t>
        </is>
      </c>
      <c r="AF9" s="13" t="inlineStr">
        <is>
          <t>https://www.amazon.com/Oral-B-Pro-Health-Battery-Toothbrush-featuring/dp/B01AKGRSCG</t>
        </is>
      </c>
      <c r="AG9" s="13" t="inlineStr">
        <is>
          <t>https://oralb.com/en-us/products/more-products/kids-products/kids-battery-toothbrush-featuring-disney-princess/</t>
        </is>
      </c>
      <c r="AH9" s="12" t="inlineStr">
        <is>
          <t>Rapprochement sur la cible enfant et l'alimentation à piles. Tête extra-souple, application Disney Magic Timer. Concurrent direct des SEAGO enfant à piles.</t>
        </is>
      </c>
      <c r="AI9" s="14" t="n"/>
      <c r="AJ9" s="14" t="n"/>
      <c r="AK9" s="15" t="n"/>
      <c r="AL9" s="16" t="n"/>
      <c r="AM9" s="15" t="n"/>
      <c r="AN9" s="17">
        <f>IF(OR(AJ9="",AI9=""),"",AJ9-AI9)</f>
        <v/>
      </c>
      <c r="AO9" s="18">
        <f>IF(OR(AJ9="",AI9="",AI9=0),"",(AJ9-AI9)/AI9)</f>
        <v/>
      </c>
      <c r="AP9" s="19">
        <f>IF(AO9="","",IF(AO9&lt;-0.05,"Moins cher",IF(AO9&gt;0.05,"Plus cher","Équivalent")))</f>
        <v/>
      </c>
    </row>
    <row r="10">
      <c r="A10" s="5" t="inlineStr">
        <is>
          <t>SG-2812</t>
        </is>
      </c>
      <c r="B10" s="5" t="inlineStr">
        <is>
          <t>New Arrival</t>
        </is>
      </c>
      <c r="C10" s="5" t="inlineStr">
        <is>
          <t>Sonique</t>
        </is>
      </c>
      <c r="D10" s="5" t="inlineStr">
        <is>
          <t>Adulte</t>
        </is>
      </c>
      <c r="E10" s="6" t="n">
        <v>28000</v>
      </c>
      <c r="F10" s="6" t="n">
        <v>28000</v>
      </c>
      <c r="G10" s="30" t="inlineStr">
        <is>
          <t>N/D</t>
        </is>
      </c>
      <c r="H10" s="7" t="n">
        <v>100</v>
      </c>
      <c r="I10" s="30" t="inlineStr">
        <is>
          <t>N/D</t>
        </is>
      </c>
      <c r="J10" s="5" t="inlineStr">
        <is>
          <t>Pile (1x AA)</t>
        </is>
      </c>
      <c r="K10" s="5" t="inlineStr">
        <is>
          <t>Piles</t>
        </is>
      </c>
      <c r="L10" s="8" t="inlineStr">
        <is>
          <t>N/D</t>
        </is>
      </c>
      <c r="M10" s="5" t="inlineStr">
        <is>
          <t>IPX7</t>
        </is>
      </c>
      <c r="N10" s="5" t="inlineStr">
        <is>
          <t>Non</t>
        </is>
      </c>
      <c r="O10" s="5" t="inlineStr">
        <is>
          <t>Aucun</t>
        </is>
      </c>
      <c r="P10" s="5" t="inlineStr">
        <is>
          <t>Non</t>
        </is>
      </c>
      <c r="Q10" s="9" t="n">
        <v>56</v>
      </c>
      <c r="R10" s="5" t="inlineStr">
        <is>
          <t>23.4*23.5*220</t>
        </is>
      </c>
      <c r="S10" s="10" t="inlineStr">
        <is>
          <t>Panneau haut de gamme, tenon métal, pack 1 brosse + 3 têtes de rechange (1 an d'usage)</t>
        </is>
      </c>
      <c r="T10" s="11" t="n">
        <v>5</v>
      </c>
      <c r="U10" s="12" t="inlineStr">
        <is>
          <t>ProClinical 150 (Charcoal / Deep Clean)</t>
        </is>
      </c>
      <c r="V10" s="12" t="inlineStr">
        <is>
          <t>Colgate</t>
        </is>
      </c>
      <c r="W10" s="12" t="inlineStr">
        <is>
          <t>Sonique à piles</t>
        </is>
      </c>
      <c r="X10" s="12" t="inlineStr">
        <is>
          <t>20 000 strokes/min</t>
        </is>
      </c>
      <c r="Y10" s="12" t="inlineStr">
        <is>
          <t>1 mode</t>
        </is>
      </c>
      <c r="Z10" s="29" t="inlineStr">
        <is>
          <t>N/D</t>
        </is>
      </c>
      <c r="AA10" s="29" t="inlineStr">
        <is>
          <t>N/D</t>
        </is>
      </c>
      <c r="AB10" s="12" t="inlineStr">
        <is>
          <t>Non</t>
        </is>
      </c>
      <c r="AC10" s="12" t="inlineStr">
        <is>
          <t>2 piles AAA</t>
        </is>
      </c>
      <c r="AD10" s="12" t="inlineStr">
        <is>
          <t>Non vérifié sur les marchés cibles (marque Colgate largement distribuée en GMS et pharmacie)</t>
        </is>
      </c>
      <c r="AE10" s="12" t="inlineStr">
        <is>
          <t>GMS, pharmacies</t>
        </is>
      </c>
      <c r="AF10" s="13" t="inlineStr">
        <is>
          <t>https://www.colgate.com/en-my/products/toothbrush/colgate-proclinical-150-charcoal-battery-powered-toothbrush</t>
        </is>
      </c>
      <c r="AG10" s="13" t="inlineStr">
        <is>
          <t>https://www.colgate.com/en-my/products/toothbrush/colgate-proclinical-150-deepclean-battery-powered-toothbrush</t>
        </is>
      </c>
      <c r="AH10" s="12" t="inlineStr">
        <is>
          <t>Rapprochement sur l'alimentation à piles et le positionnement prix d'entrée de gamme. Concurrent de référence du segment SEAGO à piles : marque installée, prix d'entrée, tête remplaçable.</t>
        </is>
      </c>
      <c r="AI10" s="14" t="n"/>
      <c r="AJ10" s="14" t="n"/>
      <c r="AK10" s="15" t="n"/>
      <c r="AL10" s="16" t="n"/>
      <c r="AM10" s="15" t="n"/>
      <c r="AN10" s="17">
        <f>IF(OR(AJ10="",AI10=""),"",AJ10-AI10)</f>
        <v/>
      </c>
      <c r="AO10" s="18">
        <f>IF(OR(AJ10="",AI10="",AI10=0),"",(AJ10-AI10)/AI10)</f>
        <v/>
      </c>
      <c r="AP10" s="19">
        <f>IF(AO10="","",IF(AO10&lt;-0.05,"Moins cher",IF(AO10&gt;0.05,"Plus cher","Équivalent")))</f>
        <v/>
      </c>
    </row>
    <row r="11">
      <c r="A11" s="20" t="inlineStr">
        <is>
          <t>SG-2813</t>
        </is>
      </c>
      <c r="B11" s="20" t="inlineStr">
        <is>
          <t>New Arrival</t>
        </is>
      </c>
      <c r="C11" s="20" t="inlineStr">
        <is>
          <t>Sonique</t>
        </is>
      </c>
      <c r="D11" s="20" t="inlineStr">
        <is>
          <t>Enfant</t>
        </is>
      </c>
      <c r="E11" s="21" t="n">
        <v>36000</v>
      </c>
      <c r="F11" s="21" t="n">
        <v>36000</v>
      </c>
      <c r="G11" s="22" t="n">
        <v>3</v>
      </c>
      <c r="H11" s="22" t="n">
        <v>60</v>
      </c>
      <c r="I11" s="22" t="n">
        <v>700</v>
      </c>
      <c r="J11" s="20" t="inlineStr">
        <is>
          <t>Batterie Li-ion rechargeable</t>
        </is>
      </c>
      <c r="K11" s="20" t="inlineStr">
        <is>
          <t>Type-C</t>
        </is>
      </c>
      <c r="L11" s="26" t="inlineStr">
        <is>
          <t>N/D</t>
        </is>
      </c>
      <c r="M11" s="20" t="inlineStr">
        <is>
          <t>IPX7</t>
        </is>
      </c>
      <c r="N11" s="20" t="inlineStr">
        <is>
          <t>Oui</t>
        </is>
      </c>
      <c r="O11" s="20" t="inlineStr">
        <is>
          <t>Aucun</t>
        </is>
      </c>
      <c r="P11" s="20" t="inlineStr">
        <is>
          <t>Oui</t>
        </is>
      </c>
      <c r="Q11" s="26" t="inlineStr">
        <is>
          <t>N/D</t>
        </is>
      </c>
      <c r="R11" s="28" t="inlineStr">
        <is>
          <t>N/D</t>
        </is>
      </c>
      <c r="S11" s="24" t="inlineStr">
        <is>
          <t>Habillage silicone fraise/avocat, poils souples, design sans joint anti-ingestion, anti-projection, sans BPA, alerte batterie faible</t>
        </is>
      </c>
      <c r="T11" s="25" t="n">
        <v>5</v>
      </c>
      <c r="U11" s="12" t="inlineStr">
        <is>
          <t>Sonicare For Kids HX6321/02</t>
        </is>
      </c>
      <c r="V11" s="12" t="inlineStr">
        <is>
          <t>Philips</t>
        </is>
      </c>
      <c r="W11" s="12" t="inlineStr">
        <is>
          <t>Sonique enfant</t>
        </is>
      </c>
      <c r="X11" s="12" t="inlineStr">
        <is>
          <t>62 000 mouvements/min</t>
        </is>
      </c>
      <c r="Y11" s="12" t="inlineStr">
        <is>
          <t>2 modes</t>
        </is>
      </c>
      <c r="Z11" s="12" t="n">
        <v>21</v>
      </c>
      <c r="AA11" s="29" t="inlineStr">
        <is>
          <t>N/D</t>
        </is>
      </c>
      <c r="AB11" s="12" t="inlineStr">
        <is>
          <t>Non</t>
        </is>
      </c>
      <c r="AC11" s="12" t="inlineStr">
        <is>
          <t>Socle inductif</t>
        </is>
      </c>
      <c r="AD11" s="12" t="inlineStr">
        <is>
          <t>EAU (Noon, gamme Sonicare vérifiée)</t>
        </is>
      </c>
      <c r="AE11" s="12" t="inlineStr">
        <is>
          <t>Noon UAE, pharmacies</t>
        </is>
      </c>
      <c r="AF11" s="13" t="inlineStr">
        <is>
          <t>https://www.usa.philips.com/c-p/HX6321_02/sonicare-for-kids-sonic-electric-toothbrush</t>
        </is>
      </c>
      <c r="AG11" s="13" t="inlineStr">
        <is>
          <t>https://www.philips.com/c-dam/b2c/category-pages/personal-care/POHC/resource-library-docs/HX6321-03%20LEAFLET-Sonicare-%20For-Kids-%20Connected-Electric-Toothbrush.pdf</t>
        </is>
      </c>
      <c r="AH11" s="12" t="inlineStr">
        <is>
          <t>Rapprochement sur la cible enfant et la technologie sonique rechargeable. Connectivité Bluetooth et application de coaching enfant. Indicateur de batterie.</t>
        </is>
      </c>
      <c r="AI11" s="14" t="n"/>
      <c r="AJ11" s="14" t="n"/>
      <c r="AK11" s="15" t="n"/>
      <c r="AL11" s="16" t="n"/>
      <c r="AM11" s="15" t="n"/>
      <c r="AN11" s="17">
        <f>IF(OR(AJ11="",AI11=""),"",AJ11-AI11)</f>
        <v/>
      </c>
      <c r="AO11" s="18">
        <f>IF(OR(AJ11="",AI11="",AI11=0),"",(AJ11-AI11)/AI11)</f>
        <v/>
      </c>
      <c r="AP11" s="19">
        <f>IF(AO11="","",IF(AO11&lt;-0.05,"Moins cher",IF(AO11&gt;0.05,"Plus cher","Équivalent")))</f>
        <v/>
      </c>
    </row>
    <row r="12">
      <c r="A12" s="5" t="inlineStr">
        <is>
          <t>SG-2608</t>
        </is>
      </c>
      <c r="B12" s="5" t="inlineStr">
        <is>
          <t>New Arrival</t>
        </is>
      </c>
      <c r="C12" s="5" t="inlineStr">
        <is>
          <t>Rotative / oscillante</t>
        </is>
      </c>
      <c r="D12" s="5" t="inlineStr">
        <is>
          <t>Adulte</t>
        </is>
      </c>
      <c r="E12" s="6" t="n">
        <v>8000</v>
      </c>
      <c r="F12" s="6" t="n">
        <v>8000</v>
      </c>
      <c r="G12" s="7" t="n">
        <v>5</v>
      </c>
      <c r="H12" s="7" t="n">
        <v>60</v>
      </c>
      <c r="I12" s="7" t="n">
        <v>2000</v>
      </c>
      <c r="J12" s="5" t="inlineStr">
        <is>
          <t>Batterie Li-ion rechargeable</t>
        </is>
      </c>
      <c r="K12" s="5" t="inlineStr">
        <is>
          <t>Magnétique</t>
        </is>
      </c>
      <c r="L12" s="8" t="inlineStr">
        <is>
          <t>N/D</t>
        </is>
      </c>
      <c r="M12" s="5" t="inlineStr">
        <is>
          <t>IPX7</t>
        </is>
      </c>
      <c r="N12" s="5" t="inlineStr">
        <is>
          <t>Oui</t>
        </is>
      </c>
      <c r="O12" s="5" t="inlineStr">
        <is>
          <t>Écran (6 langues)</t>
        </is>
      </c>
      <c r="P12" s="5" t="inlineStr">
        <is>
          <t>Oui</t>
        </is>
      </c>
      <c r="Q12" s="8" t="inlineStr">
        <is>
          <t>N/D</t>
        </is>
      </c>
      <c r="R12" s="5" t="inlineStr">
        <is>
          <t>29.8*29.7*238.4</t>
        </is>
      </c>
      <c r="S12" s="10" t="inlineStr">
        <is>
          <t>Écran d'affichage 6 langues, rappel de remplacement de tête, système super silencieux, alerte batterie faible</t>
        </is>
      </c>
      <c r="T12" s="11" t="n">
        <v>6</v>
      </c>
      <c r="U12" s="12" t="inlineStr">
        <is>
          <t>iO Series 3</t>
        </is>
      </c>
      <c r="V12" s="12" t="inlineStr">
        <is>
          <t>Oral-B</t>
        </is>
      </c>
      <c r="W12" s="12" t="inlineStr">
        <is>
          <t>Oscillo-rotative + micro-vibrations</t>
        </is>
      </c>
      <c r="X12" s="29" t="inlineStr">
        <is>
          <t>N/D</t>
        </is>
      </c>
      <c r="Y12" s="12" t="inlineStr">
        <is>
          <t>3 modes (Daily Clean, Sensitive, Whitening)</t>
        </is>
      </c>
      <c r="Z12" s="29" t="inlineStr">
        <is>
          <t>N/D</t>
        </is>
      </c>
      <c r="AA12" s="29" t="inlineStr">
        <is>
          <t>N/D</t>
        </is>
      </c>
      <c r="AB12" s="12" t="inlineStr">
        <is>
          <t>Oui (anneau lumineux blanc / vert / rouge)</t>
        </is>
      </c>
      <c r="AC12" s="12" t="inlineStr">
        <is>
          <t>Socle magnétique</t>
        </is>
      </c>
      <c r="AD12" s="12" t="inlineStr">
        <is>
          <t>Côte d'Ivoire (Jumia, gamme iO référencée)</t>
        </is>
      </c>
      <c r="AE12" s="12" t="inlineStr">
        <is>
          <t>Jumia CI, pharmacies</t>
        </is>
      </c>
      <c r="AF12" s="13" t="inlineStr">
        <is>
          <t>https://oralb.com/en-us/products/io-series-3-rechargeable-electric-toothbrush-white/</t>
        </is>
      </c>
      <c r="AG12" s="13" t="inlineStr">
        <is>
          <t>https://www.jumia.ci/slp/brosse-a-dents-electrique-oral-b-io3</t>
        </is>
      </c>
      <c r="AH12" s="12" t="inlineStr">
        <is>
          <t>Rapprochement sur la technologie oscillo-rotative avec écran et capteur de pression. Capteur de pression tricolore, équivalent direct des modèles SEAGO à écran et capteur.</t>
        </is>
      </c>
      <c r="AI12" s="14" t="n"/>
      <c r="AJ12" s="14" t="n"/>
      <c r="AK12" s="15" t="n"/>
      <c r="AL12" s="16" t="n"/>
      <c r="AM12" s="15" t="n"/>
      <c r="AN12" s="17">
        <f>IF(OR(AJ12="",AI12=""),"",AJ12-AI12)</f>
        <v/>
      </c>
      <c r="AO12" s="18">
        <f>IF(OR(AJ12="",AI12="",AI12=0),"",(AJ12-AI12)/AI12)</f>
        <v/>
      </c>
      <c r="AP12" s="19">
        <f>IF(AO12="","",IF(AO12&lt;-0.05,"Moins cher",IF(AO12&gt;0.05,"Plus cher","Équivalent")))</f>
        <v/>
      </c>
    </row>
    <row r="13">
      <c r="A13" s="20" t="inlineStr">
        <is>
          <t>SG-2901</t>
        </is>
      </c>
      <c r="B13" s="20" t="inlineStr">
        <is>
          <t>New Arrival</t>
        </is>
      </c>
      <c r="C13" s="20" t="inlineStr">
        <is>
          <t>Sonique + tête rotative</t>
        </is>
      </c>
      <c r="D13" s="20" t="inlineStr">
        <is>
          <t>Adulte</t>
        </is>
      </c>
      <c r="E13" s="31" t="inlineStr">
        <is>
          <t>N/D</t>
        </is>
      </c>
      <c r="F13" s="31" t="inlineStr">
        <is>
          <t>N/D</t>
        </is>
      </c>
      <c r="G13" s="22" t="n">
        <v>5</v>
      </c>
      <c r="H13" s="27" t="inlineStr">
        <is>
          <t>N/D</t>
        </is>
      </c>
      <c r="I13" s="22" t="n">
        <v>1500</v>
      </c>
      <c r="J13" s="20" t="inlineStr">
        <is>
          <t>Batterie Li-ion rechargeable</t>
        </is>
      </c>
      <c r="K13" s="20" t="inlineStr">
        <is>
          <t>Inductive (socle)</t>
        </is>
      </c>
      <c r="L13" s="23" t="n">
        <v>10</v>
      </c>
      <c r="M13" s="20" t="inlineStr">
        <is>
          <t>IPX7</t>
        </is>
      </c>
      <c r="N13" s="20" t="inlineStr">
        <is>
          <t>Oui</t>
        </is>
      </c>
      <c r="O13" s="20" t="inlineStr">
        <is>
          <t>Écran LCD</t>
        </is>
      </c>
      <c r="P13" s="20" t="inlineStr">
        <is>
          <t>Oui</t>
        </is>
      </c>
      <c r="Q13" s="23" t="n">
        <v>223</v>
      </c>
      <c r="R13" s="20" t="inlineStr">
        <is>
          <t>30.3*28.4*253 (tête sonique SG-V001) / 30.3*28.4*239 (tête rotative SG-T001) ; socle 58*58*28</t>
        </is>
      </c>
      <c r="S13" s="24" t="inlineStr">
        <is>
          <t>2 technologies en une (balayage sonique + tête rotative), notation LCD et guidage temps réel, minuteur 2 min, rappel de remplacement de tête, réveil automatique, verrouillage voyage, 6 langues</t>
        </is>
      </c>
      <c r="T13" s="25" t="n">
        <v>8</v>
      </c>
      <c r="U13" s="12" t="inlineStr">
        <is>
          <t>iO Series 3</t>
        </is>
      </c>
      <c r="V13" s="12" t="inlineStr">
        <is>
          <t>Oral-B</t>
        </is>
      </c>
      <c r="W13" s="12" t="inlineStr">
        <is>
          <t>Oscillo-rotative + micro-vibrations</t>
        </is>
      </c>
      <c r="X13" s="29" t="inlineStr">
        <is>
          <t>N/D</t>
        </is>
      </c>
      <c r="Y13" s="12" t="inlineStr">
        <is>
          <t>3 modes (Daily Clean, Sensitive, Whitening)</t>
        </is>
      </c>
      <c r="Z13" s="29" t="inlineStr">
        <is>
          <t>N/D</t>
        </is>
      </c>
      <c r="AA13" s="29" t="inlineStr">
        <is>
          <t>N/D</t>
        </is>
      </c>
      <c r="AB13" s="12" t="inlineStr">
        <is>
          <t>Oui (anneau lumineux blanc / vert / rouge)</t>
        </is>
      </c>
      <c r="AC13" s="12" t="inlineStr">
        <is>
          <t>Socle magnétique</t>
        </is>
      </c>
      <c r="AD13" s="12" t="inlineStr">
        <is>
          <t>Côte d'Ivoire (Jumia, gamme iO référencée)</t>
        </is>
      </c>
      <c r="AE13" s="12" t="inlineStr">
        <is>
          <t>Jumia CI, pharmacies</t>
        </is>
      </c>
      <c r="AF13" s="13" t="inlineStr">
        <is>
          <t>https://oralb.com/en-us/products/io-series-3-rechargeable-electric-toothbrush-white/</t>
        </is>
      </c>
      <c r="AG13" s="13" t="inlineStr">
        <is>
          <t>https://www.jumia.ci/slp/brosse-a-dents-electrique-oral-b-io3</t>
        </is>
      </c>
      <c r="AH13" s="12" t="inlineStr">
        <is>
          <t>Rapprochement sur la double technologie et la présence d'un écran avec capteur de pression. Capteur de pression tricolore, équivalent direct des modèles SEAGO à écran et capteur.</t>
        </is>
      </c>
      <c r="AI13" s="14" t="n"/>
      <c r="AJ13" s="14" t="n"/>
      <c r="AK13" s="15" t="n"/>
      <c r="AL13" s="16" t="n"/>
      <c r="AM13" s="15" t="n"/>
      <c r="AN13" s="17">
        <f>IF(OR(AJ13="",AI13=""),"",AJ13-AI13)</f>
        <v/>
      </c>
      <c r="AO13" s="18">
        <f>IF(OR(AJ13="",AI13="",AI13=0),"",(AJ13-AI13)/AI13)</f>
        <v/>
      </c>
      <c r="AP13" s="19">
        <f>IF(AO13="","",IF(AO13&lt;-0.05,"Moins cher",IF(AO13&gt;0.05,"Plus cher","Équivalent")))</f>
        <v/>
      </c>
    </row>
    <row r="14">
      <c r="A14" s="5" t="inlineStr">
        <is>
          <t>SG-2773</t>
        </is>
      </c>
      <c r="B14" s="5" t="inlineStr">
        <is>
          <t>Advanced Clean</t>
        </is>
      </c>
      <c r="C14" s="5" t="inlineStr">
        <is>
          <t>Sonique</t>
        </is>
      </c>
      <c r="D14" s="5" t="inlineStr">
        <is>
          <t>Adulte</t>
        </is>
      </c>
      <c r="E14" s="6" t="n">
        <v>32000</v>
      </c>
      <c r="F14" s="6" t="n">
        <v>32000</v>
      </c>
      <c r="G14" s="7" t="n">
        <v>9</v>
      </c>
      <c r="H14" s="7" t="n">
        <v>21</v>
      </c>
      <c r="I14" s="7" t="n">
        <v>1500</v>
      </c>
      <c r="J14" s="5" t="inlineStr">
        <is>
          <t>Batterie Li-ion rechargeable</t>
        </is>
      </c>
      <c r="K14" s="5" t="inlineStr">
        <is>
          <t>Type-C</t>
        </is>
      </c>
      <c r="L14" s="8" t="inlineStr">
        <is>
          <t>N/D</t>
        </is>
      </c>
      <c r="M14" s="5" t="inlineStr">
        <is>
          <t>IPX7</t>
        </is>
      </c>
      <c r="N14" s="5" t="inlineStr">
        <is>
          <t>Oui</t>
        </is>
      </c>
      <c r="O14" s="5" t="inlineStr">
        <is>
          <t>Écran LCD</t>
        </is>
      </c>
      <c r="P14" s="5" t="inlineStr">
        <is>
          <t>Oui</t>
        </is>
      </c>
      <c r="Q14" s="9" t="n">
        <v>135</v>
      </c>
      <c r="R14" s="5" t="inlineStr">
        <is>
          <t>29.9*27.4*253</t>
        </is>
      </c>
      <c r="S14" s="10" t="inlineStr">
        <is>
          <t>Mode balayage, écran LCD de résultats de brossage, montée progressive 3 s, résistant aux projections, bouton tactile sans joint, moteur magnétique, mémoire intelligente</t>
        </is>
      </c>
      <c r="T14" s="11" t="n">
        <v>9</v>
      </c>
      <c r="U14" s="12" t="inlineStr">
        <is>
          <t>X Pro Elite</t>
        </is>
      </c>
      <c r="V14" s="12" t="inlineStr">
        <is>
          <t>Oclean</t>
        </is>
      </c>
      <c r="W14" s="12" t="inlineStr">
        <is>
          <t>Sonique à lévitation magnétique</t>
        </is>
      </c>
      <c r="X14" s="12" t="inlineStr">
        <is>
          <t>42 000 mouvements/min</t>
        </is>
      </c>
      <c r="Y14" s="12" t="inlineStr">
        <is>
          <t>4 modes x 32 intensités</t>
        </is>
      </c>
      <c r="Z14" s="12" t="n">
        <v>35</v>
      </c>
      <c r="AA14" s="29" t="inlineStr">
        <is>
          <t>N/D</t>
        </is>
      </c>
      <c r="AB14" s="29" t="inlineStr">
        <is>
          <t>N/D</t>
        </is>
      </c>
      <c r="AC14" s="12" t="inlineStr">
        <is>
          <t>Inductive, batterie 800 mAh</t>
        </is>
      </c>
      <c r="AD14" s="12" t="inlineStr">
        <is>
          <t>Non vérifié sur les marchés cibles</t>
        </is>
      </c>
      <c r="AE14" s="12" t="inlineStr">
        <is>
          <t>Marketplaces, e-commerce spécialisé</t>
        </is>
      </c>
      <c r="AF14" s="13" t="inlineStr">
        <is>
          <t>https://www.electricteeth.com/oclean-x-pro-elite-review/</t>
        </is>
      </c>
      <c r="AG14" s="13" t="inlineStr">
        <is>
          <t>https://www.techradar.com/reviews/oclean-x-pro-elite</t>
        </is>
      </c>
      <c r="AH14" s="12" t="inlineStr">
        <is>
          <t>Rapprochement sur la présence d'un écran de pilotage et le haut niveau de modes. Écran tactile couleur et pilotage par application, équivalent des SEAGO à écran LCD.</t>
        </is>
      </c>
      <c r="AI14" s="14" t="n"/>
      <c r="AJ14" s="14" t="n"/>
      <c r="AK14" s="15" t="n"/>
      <c r="AL14" s="16" t="n"/>
      <c r="AM14" s="15" t="n"/>
      <c r="AN14" s="17">
        <f>IF(OR(AJ14="",AI14=""),"",AJ14-AI14)</f>
        <v/>
      </c>
      <c r="AO14" s="18">
        <f>IF(OR(AJ14="",AI14="",AI14=0),"",(AJ14-AI14)/AI14)</f>
        <v/>
      </c>
      <c r="AP14" s="19">
        <f>IF(AO14="","",IF(AO14&lt;-0.05,"Moins cher",IF(AO14&gt;0.05,"Plus cher","Équivalent")))</f>
        <v/>
      </c>
    </row>
    <row r="15">
      <c r="A15" s="20" t="inlineStr">
        <is>
          <t>SG-2768</t>
        </is>
      </c>
      <c r="B15" s="20" t="inlineStr">
        <is>
          <t>Advanced Clean</t>
        </is>
      </c>
      <c r="C15" s="20" t="inlineStr">
        <is>
          <t>Sonique</t>
        </is>
      </c>
      <c r="D15" s="20" t="inlineStr">
        <is>
          <t>Adulte</t>
        </is>
      </c>
      <c r="E15" s="21" t="n">
        <v>32000</v>
      </c>
      <c r="F15" s="21" t="n">
        <v>32000</v>
      </c>
      <c r="G15" s="22" t="n">
        <v>6</v>
      </c>
      <c r="H15" s="22" t="n">
        <v>21</v>
      </c>
      <c r="I15" s="22" t="n">
        <v>700</v>
      </c>
      <c r="J15" s="20" t="inlineStr">
        <is>
          <t>Batterie Li-ion rechargeable</t>
        </is>
      </c>
      <c r="K15" s="20" t="inlineStr">
        <is>
          <t>Magnétique</t>
        </is>
      </c>
      <c r="L15" s="26" t="inlineStr">
        <is>
          <t>N/D</t>
        </is>
      </c>
      <c r="M15" s="20" t="inlineStr">
        <is>
          <t>IPX7</t>
        </is>
      </c>
      <c r="N15" s="20" t="inlineStr">
        <is>
          <t>Oui</t>
        </is>
      </c>
      <c r="O15" s="20" t="inlineStr">
        <is>
          <t>Écran LCD</t>
        </is>
      </c>
      <c r="P15" s="20" t="inlineStr">
        <is>
          <t>Oui</t>
        </is>
      </c>
      <c r="Q15" s="23" t="n">
        <v>107</v>
      </c>
      <c r="R15" s="20" t="inlineStr">
        <is>
          <t>27.5*26.6*254</t>
        </is>
      </c>
      <c r="S15" s="24" t="inlineStr">
        <is>
          <t>Écran LCD de résultats de brossage, montée progressive 3 s, minuteur 2 min avec rappel toutes les 30 s, mémoire intelligente</t>
        </is>
      </c>
      <c r="T15" s="25" t="n">
        <v>9</v>
      </c>
      <c r="U15" s="12" t="inlineStr">
        <is>
          <t>X Pro Elite</t>
        </is>
      </c>
      <c r="V15" s="12" t="inlineStr">
        <is>
          <t>Oclean</t>
        </is>
      </c>
      <c r="W15" s="12" t="inlineStr">
        <is>
          <t>Sonique à lévitation magnétique</t>
        </is>
      </c>
      <c r="X15" s="12" t="inlineStr">
        <is>
          <t>42 000 mouvements/min</t>
        </is>
      </c>
      <c r="Y15" s="12" t="inlineStr">
        <is>
          <t>4 modes x 32 intensités</t>
        </is>
      </c>
      <c r="Z15" s="12" t="n">
        <v>35</v>
      </c>
      <c r="AA15" s="29" t="inlineStr">
        <is>
          <t>N/D</t>
        </is>
      </c>
      <c r="AB15" s="29" t="inlineStr">
        <is>
          <t>N/D</t>
        </is>
      </c>
      <c r="AC15" s="12" t="inlineStr">
        <is>
          <t>Inductive, batterie 800 mAh</t>
        </is>
      </c>
      <c r="AD15" s="12" t="inlineStr">
        <is>
          <t>Non vérifié sur les marchés cibles</t>
        </is>
      </c>
      <c r="AE15" s="12" t="inlineStr">
        <is>
          <t>Marketplaces, e-commerce spécialisé</t>
        </is>
      </c>
      <c r="AF15" s="13" t="inlineStr">
        <is>
          <t>https://www.electricteeth.com/oclean-x-pro-elite-review/</t>
        </is>
      </c>
      <c r="AG15" s="13" t="inlineStr">
        <is>
          <t>https://www.techradar.com/reviews/oclean-x-pro-elite</t>
        </is>
      </c>
      <c r="AH15" s="12" t="inlineStr">
        <is>
          <t>Rapprochement sur la présence d'un écran de pilotage et le haut niveau de modes. Écran tactile couleur et pilotage par application, équivalent des SEAGO à écran LCD.</t>
        </is>
      </c>
      <c r="AI15" s="14" t="n"/>
      <c r="AJ15" s="14" t="n"/>
      <c r="AK15" s="15" t="n"/>
      <c r="AL15" s="16" t="n"/>
      <c r="AM15" s="15" t="n"/>
      <c r="AN15" s="17">
        <f>IF(OR(AJ15="",AI15=""),"",AJ15-AI15)</f>
        <v/>
      </c>
      <c r="AO15" s="18">
        <f>IF(OR(AJ15="",AI15="",AI15=0),"",(AJ15-AI15)/AI15)</f>
        <v/>
      </c>
      <c r="AP15" s="19">
        <f>IF(AO15="","",IF(AO15&lt;-0.05,"Moins cher",IF(AO15&gt;0.05,"Plus cher","Équivalent")))</f>
        <v/>
      </c>
    </row>
    <row r="16">
      <c r="A16" s="5" t="inlineStr">
        <is>
          <t>SG-2771</t>
        </is>
      </c>
      <c r="B16" s="5" t="inlineStr">
        <is>
          <t>Advanced Clean</t>
        </is>
      </c>
      <c r="C16" s="5" t="inlineStr">
        <is>
          <t>Sonique</t>
        </is>
      </c>
      <c r="D16" s="5" t="inlineStr">
        <is>
          <t>Adulte</t>
        </is>
      </c>
      <c r="E16" s="6" t="n">
        <v>32000</v>
      </c>
      <c r="F16" s="6" t="n">
        <v>40000</v>
      </c>
      <c r="G16" s="7" t="n">
        <v>6</v>
      </c>
      <c r="H16" s="7" t="n">
        <v>21</v>
      </c>
      <c r="I16" s="7" t="n">
        <v>700</v>
      </c>
      <c r="J16" s="5" t="inlineStr">
        <is>
          <t>Batterie Li-ion rechargeable</t>
        </is>
      </c>
      <c r="K16" s="5" t="inlineStr">
        <is>
          <t>Inductive (socle)</t>
        </is>
      </c>
      <c r="L16" s="8" t="inlineStr">
        <is>
          <t>N/D</t>
        </is>
      </c>
      <c r="M16" s="5" t="inlineStr">
        <is>
          <t>IPX7</t>
        </is>
      </c>
      <c r="N16" s="5" t="inlineStr">
        <is>
          <t>Oui</t>
        </is>
      </c>
      <c r="O16" s="5" t="inlineStr">
        <is>
          <t>Écran (6 langues)</t>
        </is>
      </c>
      <c r="P16" s="5" t="inlineStr">
        <is>
          <t>Oui</t>
        </is>
      </c>
      <c r="Q16" s="9" t="n">
        <v>222</v>
      </c>
      <c r="R16" s="5" t="inlineStr">
        <is>
          <t>27.1*28.1*255 ; chargeur 400 : 62*62*41</t>
        </is>
      </c>
      <c r="S16" s="10" t="inlineStr">
        <is>
          <t>Gyroscope 6 axes et notation sur 16 zones, rappel de remplacement de tête, indicateur de charge, moteur magnétique, système super silencieux</t>
        </is>
      </c>
      <c r="T16" s="11" t="n">
        <v>10</v>
      </c>
      <c r="U16" s="12" t="inlineStr">
        <is>
          <t>X Pro Elite</t>
        </is>
      </c>
      <c r="V16" s="12" t="inlineStr">
        <is>
          <t>Oclean</t>
        </is>
      </c>
      <c r="W16" s="12" t="inlineStr">
        <is>
          <t>Sonique à lévitation magnétique</t>
        </is>
      </c>
      <c r="X16" s="12" t="inlineStr">
        <is>
          <t>42 000 mouvements/min</t>
        </is>
      </c>
      <c r="Y16" s="12" t="inlineStr">
        <is>
          <t>4 modes x 32 intensités</t>
        </is>
      </c>
      <c r="Z16" s="12" t="n">
        <v>35</v>
      </c>
      <c r="AA16" s="29" t="inlineStr">
        <is>
          <t>N/D</t>
        </is>
      </c>
      <c r="AB16" s="29" t="inlineStr">
        <is>
          <t>N/D</t>
        </is>
      </c>
      <c r="AC16" s="12" t="inlineStr">
        <is>
          <t>Inductive, batterie 800 mAh</t>
        </is>
      </c>
      <c r="AD16" s="12" t="inlineStr">
        <is>
          <t>Non vérifié sur les marchés cibles</t>
        </is>
      </c>
      <c r="AE16" s="12" t="inlineStr">
        <is>
          <t>Marketplaces, e-commerce spécialisé</t>
        </is>
      </c>
      <c r="AF16" s="13" t="inlineStr">
        <is>
          <t>https://www.electricteeth.com/oclean-x-pro-elite-review/</t>
        </is>
      </c>
      <c r="AG16" s="13" t="inlineStr">
        <is>
          <t>https://www.techradar.com/reviews/oclean-x-pro-elite</t>
        </is>
      </c>
      <c r="AH16" s="12" t="inlineStr">
        <is>
          <t>Rapprochement sur la présence d'un écran de pilotage et le haut niveau de modes. Écran tactile couleur et pilotage par application, équivalent des SEAGO à écran LCD.</t>
        </is>
      </c>
      <c r="AI16" s="14" t="n"/>
      <c r="AJ16" s="14" t="n"/>
      <c r="AK16" s="15" t="n"/>
      <c r="AL16" s="16" t="n"/>
      <c r="AM16" s="15" t="n"/>
      <c r="AN16" s="17">
        <f>IF(OR(AJ16="",AI16=""),"",AJ16-AI16)</f>
        <v/>
      </c>
      <c r="AO16" s="18">
        <f>IF(OR(AJ16="",AI16="",AI16=0),"",(AJ16-AI16)/AI16)</f>
        <v/>
      </c>
      <c r="AP16" s="19">
        <f>IF(AO16="","",IF(AO16&lt;-0.05,"Moins cher",IF(AO16&gt;0.05,"Plus cher","Équivalent")))</f>
        <v/>
      </c>
    </row>
    <row r="17">
      <c r="A17" s="20" t="inlineStr">
        <is>
          <t>SG-2778</t>
        </is>
      </c>
      <c r="B17" s="20" t="inlineStr">
        <is>
          <t>Advanced Clean</t>
        </is>
      </c>
      <c r="C17" s="20" t="inlineStr">
        <is>
          <t>Sonique</t>
        </is>
      </c>
      <c r="D17" s="20" t="inlineStr">
        <is>
          <t>Adulte</t>
        </is>
      </c>
      <c r="E17" s="21" t="n">
        <v>32000</v>
      </c>
      <c r="F17" s="21" t="n">
        <v>32000</v>
      </c>
      <c r="G17" s="22" t="n">
        <v>9</v>
      </c>
      <c r="H17" s="22" t="n">
        <v>21</v>
      </c>
      <c r="I17" s="22" t="n">
        <v>2000</v>
      </c>
      <c r="J17" s="20" t="inlineStr">
        <is>
          <t>Batterie Li-ion rechargeable</t>
        </is>
      </c>
      <c r="K17" s="20" t="inlineStr">
        <is>
          <t>Type-C</t>
        </is>
      </c>
      <c r="L17" s="26" t="inlineStr">
        <is>
          <t>N/D</t>
        </is>
      </c>
      <c r="M17" s="20" t="inlineStr">
        <is>
          <t>IPX7</t>
        </is>
      </c>
      <c r="N17" s="20" t="inlineStr">
        <is>
          <t>Oui</t>
        </is>
      </c>
      <c r="O17" s="20" t="inlineStr">
        <is>
          <t>Écran LCD</t>
        </is>
      </c>
      <c r="P17" s="20" t="inlineStr">
        <is>
          <t>Oui</t>
        </is>
      </c>
      <c r="Q17" s="23" t="n">
        <v>107</v>
      </c>
      <c r="R17" s="20" t="inlineStr">
        <is>
          <t>28*30*253</t>
        </is>
      </c>
      <c r="S17" s="24" t="inlineStr">
        <is>
          <t>Technologie de balayage 3 niveaux d'intensité, oscillation grand angle 60 ± 10°, montée progressive 3 s, 6 langues, mémoire intelligente</t>
        </is>
      </c>
      <c r="T17" s="25" t="n">
        <v>10</v>
      </c>
      <c r="U17" s="12" t="inlineStr">
        <is>
          <t>X Pro Elite</t>
        </is>
      </c>
      <c r="V17" s="12" t="inlineStr">
        <is>
          <t>Oclean</t>
        </is>
      </c>
      <c r="W17" s="12" t="inlineStr">
        <is>
          <t>Sonique à lévitation magnétique</t>
        </is>
      </c>
      <c r="X17" s="12" t="inlineStr">
        <is>
          <t>42 000 mouvements/min</t>
        </is>
      </c>
      <c r="Y17" s="12" t="inlineStr">
        <is>
          <t>4 modes x 32 intensités</t>
        </is>
      </c>
      <c r="Z17" s="12" t="n">
        <v>35</v>
      </c>
      <c r="AA17" s="29" t="inlineStr">
        <is>
          <t>N/D</t>
        </is>
      </c>
      <c r="AB17" s="29" t="inlineStr">
        <is>
          <t>N/D</t>
        </is>
      </c>
      <c r="AC17" s="12" t="inlineStr">
        <is>
          <t>Inductive, batterie 800 mAh</t>
        </is>
      </c>
      <c r="AD17" s="12" t="inlineStr">
        <is>
          <t>Non vérifié sur les marchés cibles</t>
        </is>
      </c>
      <c r="AE17" s="12" t="inlineStr">
        <is>
          <t>Marketplaces, e-commerce spécialisé</t>
        </is>
      </c>
      <c r="AF17" s="13" t="inlineStr">
        <is>
          <t>https://www.electricteeth.com/oclean-x-pro-elite-review/</t>
        </is>
      </c>
      <c r="AG17" s="13" t="inlineStr">
        <is>
          <t>https://www.techradar.com/reviews/oclean-x-pro-elite</t>
        </is>
      </c>
      <c r="AH17" s="12" t="inlineStr">
        <is>
          <t>Rapprochement sur la présence d'un écran de pilotage et le haut niveau de modes. Écran tactile couleur et pilotage par application, équivalent des SEAGO à écran LCD.</t>
        </is>
      </c>
      <c r="AI17" s="14" t="n"/>
      <c r="AJ17" s="14" t="n"/>
      <c r="AK17" s="15" t="n"/>
      <c r="AL17" s="16" t="n"/>
      <c r="AM17" s="15" t="n"/>
      <c r="AN17" s="17">
        <f>IF(OR(AJ17="",AI17=""),"",AJ17-AI17)</f>
        <v/>
      </c>
      <c r="AO17" s="18">
        <f>IF(OR(AJ17="",AI17="",AI17=0),"",(AJ17-AI17)/AI17)</f>
        <v/>
      </c>
      <c r="AP17" s="19">
        <f>IF(AO17="","",IF(AO17&lt;-0.05,"Moins cher",IF(AO17&gt;0.05,"Plus cher","Équivalent")))</f>
        <v/>
      </c>
    </row>
    <row r="18">
      <c r="A18" s="5" t="inlineStr">
        <is>
          <t>SG-2767</t>
        </is>
      </c>
      <c r="B18" s="5" t="inlineStr">
        <is>
          <t>Advanced Clean</t>
        </is>
      </c>
      <c r="C18" s="5" t="inlineStr">
        <is>
          <t>Sonique</t>
        </is>
      </c>
      <c r="D18" s="5" t="inlineStr">
        <is>
          <t>Adulte</t>
        </is>
      </c>
      <c r="E18" s="6" t="n">
        <v>32000</v>
      </c>
      <c r="F18" s="6" t="n">
        <v>40000</v>
      </c>
      <c r="G18" s="7" t="n">
        <v>5</v>
      </c>
      <c r="H18" s="7" t="n">
        <v>60</v>
      </c>
      <c r="I18" s="7" t="n">
        <v>1600</v>
      </c>
      <c r="J18" s="5" t="inlineStr">
        <is>
          <t>Batterie Li-ion rechargeable</t>
        </is>
      </c>
      <c r="K18" s="5" t="inlineStr">
        <is>
          <t>USB</t>
        </is>
      </c>
      <c r="L18" s="8" t="inlineStr">
        <is>
          <t>N/D</t>
        </is>
      </c>
      <c r="M18" s="5" t="inlineStr">
        <is>
          <t>IPX7</t>
        </is>
      </c>
      <c r="N18" s="5" t="inlineStr">
        <is>
          <t>Oui</t>
        </is>
      </c>
      <c r="O18" s="5" t="inlineStr">
        <is>
          <t>Écran digital</t>
        </is>
      </c>
      <c r="P18" s="5" t="inlineStr">
        <is>
          <t>Oui</t>
        </is>
      </c>
      <c r="Q18" s="9" t="n">
        <v>135</v>
      </c>
      <c r="R18" s="5" t="inlineStr">
        <is>
          <t>30.0*29.3*252.3</t>
        </is>
      </c>
      <c r="S18" s="10" t="inlineStr">
        <is>
          <t>Panneau digital de changement de mode, réveil à la prise en main, montée progressive 3 s, protection surcharge et décharge profonde, indicateur batterie</t>
        </is>
      </c>
      <c r="T18" s="11" t="n">
        <v>11</v>
      </c>
      <c r="U18" s="12" t="inlineStr">
        <is>
          <t>X Pro Elite</t>
        </is>
      </c>
      <c r="V18" s="12" t="inlineStr">
        <is>
          <t>Oclean</t>
        </is>
      </c>
      <c r="W18" s="12" t="inlineStr">
        <is>
          <t>Sonique à lévitation magnétique</t>
        </is>
      </c>
      <c r="X18" s="12" t="inlineStr">
        <is>
          <t>42 000 mouvements/min</t>
        </is>
      </c>
      <c r="Y18" s="12" t="inlineStr">
        <is>
          <t>4 modes x 32 intensités</t>
        </is>
      </c>
      <c r="Z18" s="12" t="n">
        <v>35</v>
      </c>
      <c r="AA18" s="29" t="inlineStr">
        <is>
          <t>N/D</t>
        </is>
      </c>
      <c r="AB18" s="29" t="inlineStr">
        <is>
          <t>N/D</t>
        </is>
      </c>
      <c r="AC18" s="12" t="inlineStr">
        <is>
          <t>Inductive, batterie 800 mAh</t>
        </is>
      </c>
      <c r="AD18" s="12" t="inlineStr">
        <is>
          <t>Non vérifié sur les marchés cibles</t>
        </is>
      </c>
      <c r="AE18" s="12" t="inlineStr">
        <is>
          <t>Marketplaces, e-commerce spécialisé</t>
        </is>
      </c>
      <c r="AF18" s="13" t="inlineStr">
        <is>
          <t>https://www.electricteeth.com/oclean-x-pro-elite-review/</t>
        </is>
      </c>
      <c r="AG18" s="13" t="inlineStr">
        <is>
          <t>https://www.techradar.com/reviews/oclean-x-pro-elite</t>
        </is>
      </c>
      <c r="AH18" s="12" t="inlineStr">
        <is>
          <t>Rapprochement sur la présence d'un écran de pilotage et le haut niveau de modes. Écran tactile couleur et pilotage par application, équivalent des SEAGO à écran LCD.</t>
        </is>
      </c>
      <c r="AI18" s="14" t="n"/>
      <c r="AJ18" s="14" t="n"/>
      <c r="AK18" s="15" t="n"/>
      <c r="AL18" s="16" t="n"/>
      <c r="AM18" s="15" t="n"/>
      <c r="AN18" s="17">
        <f>IF(OR(AJ18="",AI18=""),"",AJ18-AI18)</f>
        <v/>
      </c>
      <c r="AO18" s="18">
        <f>IF(OR(AJ18="",AI18="",AI18=0),"",(AJ18-AI18)/AI18)</f>
        <v/>
      </c>
      <c r="AP18" s="19">
        <f>IF(AO18="","",IF(AO18&lt;-0.05,"Moins cher",IF(AO18&gt;0.05,"Plus cher","Équivalent")))</f>
        <v/>
      </c>
    </row>
    <row r="19">
      <c r="A19" s="20" t="inlineStr">
        <is>
          <t>SG-553</t>
        </is>
      </c>
      <c r="B19" s="20" t="inlineStr">
        <is>
          <t>Advanced Clean</t>
        </is>
      </c>
      <c r="C19" s="20" t="inlineStr">
        <is>
          <t>Sonique</t>
        </is>
      </c>
      <c r="D19" s="20" t="inlineStr">
        <is>
          <t>Adulte</t>
        </is>
      </c>
      <c r="E19" s="21" t="n">
        <v>32000</v>
      </c>
      <c r="F19" s="21" t="n">
        <v>40000</v>
      </c>
      <c r="G19" s="22" t="n">
        <v>5</v>
      </c>
      <c r="H19" s="22" t="n">
        <v>21</v>
      </c>
      <c r="I19" s="22" t="n">
        <v>700</v>
      </c>
      <c r="J19" s="20" t="inlineStr">
        <is>
          <t>Batterie Li-ion rechargeable</t>
        </is>
      </c>
      <c r="K19" s="20" t="inlineStr">
        <is>
          <t>Inductive (socle)</t>
        </is>
      </c>
      <c r="L19" s="26" t="inlineStr">
        <is>
          <t>N/D</t>
        </is>
      </c>
      <c r="M19" s="20" t="inlineStr">
        <is>
          <t>IPX7</t>
        </is>
      </c>
      <c r="N19" s="20" t="inlineStr">
        <is>
          <t>Oui</t>
        </is>
      </c>
      <c r="O19" s="20" t="inlineStr">
        <is>
          <t>Aucun</t>
        </is>
      </c>
      <c r="P19" s="20" t="inlineStr">
        <is>
          <t>Oui</t>
        </is>
      </c>
      <c r="Q19" s="23" t="n">
        <v>126.6</v>
      </c>
      <c r="R19" s="20" t="inlineStr">
        <is>
          <t>29.4*27.6*250 ; chargeur 4019 : 66.8*66.8*32.6</t>
        </is>
      </c>
      <c r="S19" s="24" t="inlineStr">
        <is>
          <t>Moteur à lévitation magnétique, amplitude 6 mm, bouton tactile sans joint, implantation sans métal, mémoire intelligente</t>
        </is>
      </c>
      <c r="T19" s="25" t="n">
        <v>11</v>
      </c>
      <c r="U19" s="12" t="inlineStr">
        <is>
          <t>Sonicare ProtectiveClean 4100 (HX6817)</t>
        </is>
      </c>
      <c r="V19" s="12" t="inlineStr">
        <is>
          <t>Philips</t>
        </is>
      </c>
      <c r="W19" s="12" t="inlineStr">
        <is>
          <t>Sonique</t>
        </is>
      </c>
      <c r="X19" s="12" t="inlineStr">
        <is>
          <t>31 000 strokes/min (62 000 mouvements/min)</t>
        </is>
      </c>
      <c r="Y19" s="12" t="inlineStr">
        <is>
          <t>1 mode Clean (2 intensités selon version)</t>
        </is>
      </c>
      <c r="Z19" s="12" t="n">
        <v>14</v>
      </c>
      <c r="AA19" s="12" t="inlineStr">
        <is>
          <t>IPX7</t>
        </is>
      </c>
      <c r="AB19" s="12" t="inlineStr">
        <is>
          <t>Oui (alerte sonore)</t>
        </is>
      </c>
      <c r="AC19" s="12" t="inlineStr">
        <is>
          <t>Socle inductif</t>
        </is>
      </c>
      <c r="AD19" s="12" t="inlineStr">
        <is>
          <t>EAU (Noon, vérifié)</t>
        </is>
      </c>
      <c r="AE19" s="12" t="inlineStr">
        <is>
          <t>Noon UAE, pharmacies et GMS</t>
        </is>
      </c>
      <c r="AF19" s="13" t="inlineStr">
        <is>
          <t>https://www.usa.philips.com/c-p/HX6817_01/sonicare-protectiveclean-4100-sonic-electric-toothbrush</t>
        </is>
      </c>
      <c r="AG19" s="13" t="inlineStr">
        <is>
          <t>https://www.noon.com/uae-en/beauty/personal-care-16343/oral-hygiene/power-toothbrushes/philips_sonicare/</t>
        </is>
      </c>
      <c r="AH19" s="12" t="inlineStr">
        <is>
          <t>Rapprochement sur la charge par socle inductif et le positionnement premium du segment sonique. Technologie BrushSync (rappel de remplacement de tête). Référence premium du segment sonique.</t>
        </is>
      </c>
      <c r="AI19" s="14" t="n"/>
      <c r="AJ19" s="14" t="n"/>
      <c r="AK19" s="15" t="n"/>
      <c r="AL19" s="16" t="n"/>
      <c r="AM19" s="15" t="n"/>
      <c r="AN19" s="17">
        <f>IF(OR(AJ19="",AI19=""),"",AJ19-AI19)</f>
        <v/>
      </c>
      <c r="AO19" s="18">
        <f>IF(OR(AJ19="",AI19="",AI19=0),"",(AJ19-AI19)/AI19)</f>
        <v/>
      </c>
      <c r="AP19" s="19">
        <f>IF(AO19="","",IF(AO19&lt;-0.05,"Moins cher",IF(AO19&gt;0.05,"Plus cher","Équivalent")))</f>
        <v/>
      </c>
    </row>
    <row r="20">
      <c r="A20" s="5" t="inlineStr">
        <is>
          <t>SG-2775</t>
        </is>
      </c>
      <c r="B20" s="5" t="inlineStr">
        <is>
          <t>Advanced Clean</t>
        </is>
      </c>
      <c r="C20" s="5" t="inlineStr">
        <is>
          <t>Sonique</t>
        </is>
      </c>
      <c r="D20" s="5" t="inlineStr">
        <is>
          <t>Adulte</t>
        </is>
      </c>
      <c r="E20" s="6" t="n">
        <v>32000</v>
      </c>
      <c r="F20" s="6" t="n">
        <v>40000</v>
      </c>
      <c r="G20" s="7" t="n">
        <v>5</v>
      </c>
      <c r="H20" s="7" t="n">
        <v>21</v>
      </c>
      <c r="I20" s="7" t="n">
        <v>700</v>
      </c>
      <c r="J20" s="5" t="inlineStr">
        <is>
          <t>Batterie Li-ion rechargeable</t>
        </is>
      </c>
      <c r="K20" s="5" t="inlineStr">
        <is>
          <t>Type-C</t>
        </is>
      </c>
      <c r="L20" s="9" t="n">
        <v>4</v>
      </c>
      <c r="M20" s="5" t="inlineStr">
        <is>
          <t>IPX7</t>
        </is>
      </c>
      <c r="N20" s="5" t="inlineStr">
        <is>
          <t>Oui</t>
        </is>
      </c>
      <c r="O20" s="5" t="inlineStr">
        <is>
          <t>Aucun</t>
        </is>
      </c>
      <c r="P20" s="5" t="inlineStr">
        <is>
          <t>Oui</t>
        </is>
      </c>
      <c r="Q20" s="9" t="n">
        <v>105</v>
      </c>
      <c r="R20" s="5" t="inlineStr">
        <is>
          <t>27*27*250.3</t>
        </is>
      </c>
      <c r="S20" s="10" t="inlineStr">
        <is>
          <t>Capteur de pression avec alerte sonore, fonction anti-projection 3 s, charge complète en 4 h, mémoire intelligente</t>
        </is>
      </c>
      <c r="T20" s="11" t="n">
        <v>12</v>
      </c>
      <c r="U20" s="12" t="inlineStr">
        <is>
          <t>Brosse sonique USB 6 modes, 4 têtes</t>
        </is>
      </c>
      <c r="V20" s="12" t="inlineStr">
        <is>
          <t>Addigoes (marketplace)</t>
        </is>
      </c>
      <c r="W20" s="12" t="inlineStr">
        <is>
          <t>Sonique</t>
        </is>
      </c>
      <c r="X20" s="12" t="inlineStr">
        <is>
          <t>42 000 vibrations/min</t>
        </is>
      </c>
      <c r="Y20" s="12" t="inlineStr">
        <is>
          <t>6 modes</t>
        </is>
      </c>
      <c r="Z20" s="12" t="n">
        <v>60</v>
      </c>
      <c r="AA20" s="12" t="inlineStr">
        <is>
          <t>Étanche (indice non précisé)</t>
        </is>
      </c>
      <c r="AB20" s="12" t="inlineStr">
        <is>
          <t>Non</t>
        </is>
      </c>
      <c r="AC20" s="12" t="inlineStr">
        <is>
          <t>USB</t>
        </is>
      </c>
      <c r="AD20" s="12" t="inlineStr">
        <is>
          <t>Côte d'Ivoire (Jumia, vérifié)</t>
        </is>
      </c>
      <c r="AE20" s="12" t="inlineStr">
        <is>
          <t>Jumia CI</t>
        </is>
      </c>
      <c r="AF20" s="13" t="inlineStr">
        <is>
          <t>https://www.jumia.ci/addigoes-brosse-a-dents-electrique-sonique-rechargeable-usb-6-modes-etanche-haute-frequence-4-tetes-de-brosse-nettoyage-dentaire-professionnel-noir-30497266.html</t>
        </is>
      </c>
      <c r="AG20" s="13" t="inlineStr">
        <is>
          <t>https://www.jumia.ci/brosse-a-dents-electrique/</t>
        </is>
      </c>
      <c r="AH20" s="12" t="inlineStr">
        <is>
          <t>Rapprochement sur la haute fréquence (40 000 mouvements/min et plus) et le nombre élevé de modes. Amplitude 6 mm annoncée et pack 4 têtes, concurrent frontal des SEAGO à moteur magnétique.</t>
        </is>
      </c>
      <c r="AI20" s="14" t="n"/>
      <c r="AJ20" s="14" t="n"/>
      <c r="AK20" s="15" t="n"/>
      <c r="AL20" s="16" t="n"/>
      <c r="AM20" s="15" t="n"/>
      <c r="AN20" s="17">
        <f>IF(OR(AJ20="",AI20=""),"",AJ20-AI20)</f>
        <v/>
      </c>
      <c r="AO20" s="18">
        <f>IF(OR(AJ20="",AI20="",AI20=0),"",(AJ20-AI20)/AI20)</f>
        <v/>
      </c>
      <c r="AP20" s="19">
        <f>IF(AO20="","",IF(AO20&lt;-0.05,"Moins cher",IF(AO20&gt;0.05,"Plus cher","Équivalent")))</f>
        <v/>
      </c>
    </row>
    <row r="21">
      <c r="A21" s="20" t="inlineStr">
        <is>
          <t>SG-2782</t>
        </is>
      </c>
      <c r="B21" s="20" t="inlineStr">
        <is>
          <t>Advanced Clean</t>
        </is>
      </c>
      <c r="C21" s="20" t="inlineStr">
        <is>
          <t>Sonique</t>
        </is>
      </c>
      <c r="D21" s="20" t="inlineStr">
        <is>
          <t>Adulte</t>
        </is>
      </c>
      <c r="E21" s="21" t="n">
        <v>32000</v>
      </c>
      <c r="F21" s="21" t="n">
        <v>40000</v>
      </c>
      <c r="G21" s="22" t="n">
        <v>5</v>
      </c>
      <c r="H21" s="22" t="n">
        <v>21</v>
      </c>
      <c r="I21" s="22" t="n">
        <v>700</v>
      </c>
      <c r="J21" s="20" t="inlineStr">
        <is>
          <t>Batterie Li-ion rechargeable</t>
        </is>
      </c>
      <c r="K21" s="20" t="inlineStr">
        <is>
          <t>Type-C</t>
        </is>
      </c>
      <c r="L21" s="26" t="inlineStr">
        <is>
          <t>N/D</t>
        </is>
      </c>
      <c r="M21" s="20" t="inlineStr">
        <is>
          <t>IPX7</t>
        </is>
      </c>
      <c r="N21" s="20" t="inlineStr">
        <is>
          <t>Oui</t>
        </is>
      </c>
      <c r="O21" s="20" t="inlineStr">
        <is>
          <t>Aucun</t>
        </is>
      </c>
      <c r="P21" s="20" t="inlineStr">
        <is>
          <t>Oui</t>
        </is>
      </c>
      <c r="Q21" s="23" t="n">
        <v>125</v>
      </c>
      <c r="R21" s="20" t="inlineStr">
        <is>
          <t>26.8*26.7*253</t>
        </is>
      </c>
      <c r="S21" s="24" t="inlineStr">
        <is>
          <t>Moteur magnétique nouvelle génération, amplitude 6 mm, montée progressive 3 s, mémoire intelligente</t>
        </is>
      </c>
      <c r="T21" s="25" t="n">
        <v>12</v>
      </c>
      <c r="U21" s="12" t="inlineStr">
        <is>
          <t>Brosse sonique USB 6 modes, 4 têtes</t>
        </is>
      </c>
      <c r="V21" s="12" t="inlineStr">
        <is>
          <t>Addigoes (marketplace)</t>
        </is>
      </c>
      <c r="W21" s="12" t="inlineStr">
        <is>
          <t>Sonique</t>
        </is>
      </c>
      <c r="X21" s="12" t="inlineStr">
        <is>
          <t>42 000 vibrations/min</t>
        </is>
      </c>
      <c r="Y21" s="12" t="inlineStr">
        <is>
          <t>6 modes</t>
        </is>
      </c>
      <c r="Z21" s="12" t="n">
        <v>60</v>
      </c>
      <c r="AA21" s="12" t="inlineStr">
        <is>
          <t>Étanche (indice non précisé)</t>
        </is>
      </c>
      <c r="AB21" s="12" t="inlineStr">
        <is>
          <t>Non</t>
        </is>
      </c>
      <c r="AC21" s="12" t="inlineStr">
        <is>
          <t>USB</t>
        </is>
      </c>
      <c r="AD21" s="12" t="inlineStr">
        <is>
          <t>Côte d'Ivoire (Jumia, vérifié)</t>
        </is>
      </c>
      <c r="AE21" s="12" t="inlineStr">
        <is>
          <t>Jumia CI</t>
        </is>
      </c>
      <c r="AF21" s="13" t="inlineStr">
        <is>
          <t>https://www.jumia.ci/addigoes-brosse-a-dents-electrique-sonique-rechargeable-usb-6-modes-etanche-haute-frequence-4-tetes-de-brosse-nettoyage-dentaire-professionnel-noir-30497266.html</t>
        </is>
      </c>
      <c r="AG21" s="13" t="inlineStr">
        <is>
          <t>https://www.jumia.ci/brosse-a-dents-electrique/</t>
        </is>
      </c>
      <c r="AH21" s="12" t="inlineStr">
        <is>
          <t>Rapprochement sur la haute fréquence (40 000 mouvements/min et plus) et le nombre élevé de modes. Amplitude 6 mm annoncée et pack 4 têtes, concurrent frontal des SEAGO à moteur magnétique.</t>
        </is>
      </c>
      <c r="AI21" s="14" t="n"/>
      <c r="AJ21" s="14" t="n"/>
      <c r="AK21" s="15" t="n"/>
      <c r="AL21" s="16" t="n"/>
      <c r="AM21" s="15" t="n"/>
      <c r="AN21" s="17">
        <f>IF(OR(AJ21="",AI21=""),"",AJ21-AI21)</f>
        <v/>
      </c>
      <c r="AO21" s="18">
        <f>IF(OR(AJ21="",AI21="",AI21=0),"",(AJ21-AI21)/AI21)</f>
        <v/>
      </c>
      <c r="AP21" s="19">
        <f>IF(AO21="","",IF(AO21&lt;-0.05,"Moins cher",IF(AO21&gt;0.05,"Plus cher","Équivalent")))</f>
        <v/>
      </c>
    </row>
    <row r="22">
      <c r="A22" s="5" t="inlineStr">
        <is>
          <t>SG-2750</t>
        </is>
      </c>
      <c r="B22" s="5" t="inlineStr">
        <is>
          <t>Advanced Clean</t>
        </is>
      </c>
      <c r="C22" s="5" t="inlineStr">
        <is>
          <t>Sonique</t>
        </is>
      </c>
      <c r="D22" s="5" t="inlineStr">
        <is>
          <t>Adulte</t>
        </is>
      </c>
      <c r="E22" s="6" t="n">
        <v>35000</v>
      </c>
      <c r="F22" s="6" t="n">
        <v>42000</v>
      </c>
      <c r="G22" s="7" t="n">
        <v>5</v>
      </c>
      <c r="H22" s="7" t="n">
        <v>21</v>
      </c>
      <c r="I22" s="7" t="n">
        <v>700</v>
      </c>
      <c r="J22" s="5" t="inlineStr">
        <is>
          <t>Batterie Li-ion rechargeable</t>
        </is>
      </c>
      <c r="K22" s="5" t="inlineStr">
        <is>
          <t>USB</t>
        </is>
      </c>
      <c r="L22" s="8" t="inlineStr">
        <is>
          <t>N/D</t>
        </is>
      </c>
      <c r="M22" s="5" t="inlineStr">
        <is>
          <t>IPX7</t>
        </is>
      </c>
      <c r="N22" s="5" t="inlineStr">
        <is>
          <t>Non</t>
        </is>
      </c>
      <c r="O22" s="5" t="inlineStr">
        <is>
          <t>Indicateur batterie</t>
        </is>
      </c>
      <c r="P22" s="5" t="inlineStr">
        <is>
          <t>Oui</t>
        </is>
      </c>
      <c r="Q22" s="9" t="n">
        <v>98</v>
      </c>
      <c r="R22" s="5" t="inlineStr">
        <is>
          <t>26.9*26.4*179.8</t>
        </is>
      </c>
      <c r="S22" s="10" t="inlineStr">
        <is>
          <t>Moteur à lévitation magnétique, amplitude 6 mm, mémoire intelligente, protection surcharge et décharge profonde</t>
        </is>
      </c>
      <c r="T22" s="11" t="n">
        <v>13</v>
      </c>
      <c r="U22" s="12" t="inlineStr">
        <is>
          <t>Brosse sonique USB 6 modes, 4 têtes</t>
        </is>
      </c>
      <c r="V22" s="12" t="inlineStr">
        <is>
          <t>Addigoes (marketplace)</t>
        </is>
      </c>
      <c r="W22" s="12" t="inlineStr">
        <is>
          <t>Sonique</t>
        </is>
      </c>
      <c r="X22" s="12" t="inlineStr">
        <is>
          <t>42 000 vibrations/min</t>
        </is>
      </c>
      <c r="Y22" s="12" t="inlineStr">
        <is>
          <t>6 modes</t>
        </is>
      </c>
      <c r="Z22" s="12" t="n">
        <v>60</v>
      </c>
      <c r="AA22" s="12" t="inlineStr">
        <is>
          <t>Étanche (indice non précisé)</t>
        </is>
      </c>
      <c r="AB22" s="12" t="inlineStr">
        <is>
          <t>Non</t>
        </is>
      </c>
      <c r="AC22" s="12" t="inlineStr">
        <is>
          <t>USB</t>
        </is>
      </c>
      <c r="AD22" s="12" t="inlineStr">
        <is>
          <t>Côte d'Ivoire (Jumia, vérifié)</t>
        </is>
      </c>
      <c r="AE22" s="12" t="inlineStr">
        <is>
          <t>Jumia CI</t>
        </is>
      </c>
      <c r="AF22" s="13" t="inlineStr">
        <is>
          <t>https://www.jumia.ci/addigoes-brosse-a-dents-electrique-sonique-rechargeable-usb-6-modes-etanche-haute-frequence-4-tetes-de-brosse-nettoyage-dentaire-professionnel-noir-30497266.html</t>
        </is>
      </c>
      <c r="AG22" s="13" t="inlineStr">
        <is>
          <t>https://www.jumia.ci/brosse-a-dents-electrique/</t>
        </is>
      </c>
      <c r="AH22" s="12" t="inlineStr">
        <is>
          <t>Rapprochement sur la haute fréquence (40 000 mouvements/min et plus) et le nombre élevé de modes. Amplitude 6 mm annoncée et pack 4 têtes, concurrent frontal des SEAGO à moteur magnétique.</t>
        </is>
      </c>
      <c r="AI22" s="14" t="n"/>
      <c r="AJ22" s="14" t="n"/>
      <c r="AK22" s="15" t="n"/>
      <c r="AL22" s="16" t="n"/>
      <c r="AM22" s="15" t="n"/>
      <c r="AN22" s="17">
        <f>IF(OR(AJ22="",AI22=""),"",AJ22-AI22)</f>
        <v/>
      </c>
      <c r="AO22" s="18">
        <f>IF(OR(AJ22="",AI22="",AI22=0),"",(AJ22-AI22)/AI22)</f>
        <v/>
      </c>
      <c r="AP22" s="19">
        <f>IF(AO22="","",IF(AO22&lt;-0.05,"Moins cher",IF(AO22&gt;0.05,"Plus cher","Équivalent")))</f>
        <v/>
      </c>
    </row>
    <row r="23">
      <c r="A23" s="20" t="inlineStr">
        <is>
          <t>SG-2716</t>
        </is>
      </c>
      <c r="B23" s="20" t="inlineStr">
        <is>
          <t>Advanced Clean</t>
        </is>
      </c>
      <c r="C23" s="20" t="inlineStr">
        <is>
          <t>Sonique</t>
        </is>
      </c>
      <c r="D23" s="20" t="inlineStr">
        <is>
          <t>Adulte</t>
        </is>
      </c>
      <c r="E23" s="21" t="n">
        <v>32000</v>
      </c>
      <c r="F23" s="21" t="n">
        <v>40000</v>
      </c>
      <c r="G23" s="22" t="n">
        <v>15</v>
      </c>
      <c r="H23" s="22" t="n">
        <v>35</v>
      </c>
      <c r="I23" s="22" t="n">
        <v>2000</v>
      </c>
      <c r="J23" s="20" t="inlineStr">
        <is>
          <t>Batterie Li-ion rechargeable</t>
        </is>
      </c>
      <c r="K23" s="20" t="inlineStr">
        <is>
          <t>Inductive (socle)</t>
        </is>
      </c>
      <c r="L23" s="26" t="inlineStr">
        <is>
          <t>N/D</t>
        </is>
      </c>
      <c r="M23" s="20" t="inlineStr">
        <is>
          <t>IPX7</t>
        </is>
      </c>
      <c r="N23" s="20" t="inlineStr">
        <is>
          <t>Oui</t>
        </is>
      </c>
      <c r="O23" s="20" t="inlineStr">
        <is>
          <t>Aucun</t>
        </is>
      </c>
      <c r="P23" s="20" t="inlineStr">
        <is>
          <t>Oui</t>
        </is>
      </c>
      <c r="Q23" s="23" t="n">
        <v>125</v>
      </c>
      <c r="R23" s="20" t="inlineStr">
        <is>
          <t>27*27*245 ; chargeur 4017 : 58*58*28</t>
        </is>
      </c>
      <c r="S23" s="24" t="inlineStr">
        <is>
          <t>15 combinaisons (5 modes x 3 intensités), montée progressive 3 s, réveil automatique à la prise en main, moteur à lévitation magnétique amplitude 6 mm</t>
        </is>
      </c>
      <c r="T23" s="25" t="n">
        <v>13</v>
      </c>
      <c r="U23" s="12" t="inlineStr">
        <is>
          <t>Sonicare ProtectiveClean 4100 (HX6817)</t>
        </is>
      </c>
      <c r="V23" s="12" t="inlineStr">
        <is>
          <t>Philips</t>
        </is>
      </c>
      <c r="W23" s="12" t="inlineStr">
        <is>
          <t>Sonique</t>
        </is>
      </c>
      <c r="X23" s="12" t="inlineStr">
        <is>
          <t>31 000 strokes/min (62 000 mouvements/min)</t>
        </is>
      </c>
      <c r="Y23" s="12" t="inlineStr">
        <is>
          <t>1 mode Clean (2 intensités selon version)</t>
        </is>
      </c>
      <c r="Z23" s="12" t="n">
        <v>14</v>
      </c>
      <c r="AA23" s="12" t="inlineStr">
        <is>
          <t>IPX7</t>
        </is>
      </c>
      <c r="AB23" s="12" t="inlineStr">
        <is>
          <t>Oui (alerte sonore)</t>
        </is>
      </c>
      <c r="AC23" s="12" t="inlineStr">
        <is>
          <t>Socle inductif</t>
        </is>
      </c>
      <c r="AD23" s="12" t="inlineStr">
        <is>
          <t>EAU (Noon, vérifié)</t>
        </is>
      </c>
      <c r="AE23" s="12" t="inlineStr">
        <is>
          <t>Noon UAE, pharmacies et GMS</t>
        </is>
      </c>
      <c r="AF23" s="13" t="inlineStr">
        <is>
          <t>https://www.usa.philips.com/c-p/HX6817_01/sonicare-protectiveclean-4100-sonic-electric-toothbrush</t>
        </is>
      </c>
      <c r="AG23" s="13" t="inlineStr">
        <is>
          <t>https://www.noon.com/uae-en/beauty/personal-care-16343/oral-hygiene/power-toothbrushes/philips_sonicare/</t>
        </is>
      </c>
      <c r="AH23" s="12" t="inlineStr">
        <is>
          <t>Rapprochement sur la charge par socle inductif et le positionnement premium du segment sonique. Technologie BrushSync (rappel de remplacement de tête). Référence premium du segment sonique.</t>
        </is>
      </c>
      <c r="AI23" s="14" t="n"/>
      <c r="AJ23" s="14" t="n"/>
      <c r="AK23" s="15" t="n"/>
      <c r="AL23" s="16" t="n"/>
      <c r="AM23" s="15" t="n"/>
      <c r="AN23" s="17">
        <f>IF(OR(AJ23="",AI23=""),"",AJ23-AI23)</f>
        <v/>
      </c>
      <c r="AO23" s="18">
        <f>IF(OR(AJ23="",AI23="",AI23=0),"",(AJ23-AI23)/AI23)</f>
        <v/>
      </c>
      <c r="AP23" s="19">
        <f>IF(AO23="","",IF(AO23&lt;-0.05,"Moins cher",IF(AO23&gt;0.05,"Plus cher","Équivalent")))</f>
        <v/>
      </c>
    </row>
    <row r="24">
      <c r="A24" s="5" t="inlineStr">
        <is>
          <t>SG-2752</t>
        </is>
      </c>
      <c r="B24" s="5" t="inlineStr">
        <is>
          <t>Advanced Clean</t>
        </is>
      </c>
      <c r="C24" s="5" t="inlineStr">
        <is>
          <t>Sonique</t>
        </is>
      </c>
      <c r="D24" s="5" t="inlineStr">
        <is>
          <t>Adulte</t>
        </is>
      </c>
      <c r="E24" s="6" t="n">
        <v>32000</v>
      </c>
      <c r="F24" s="6" t="n">
        <v>40000</v>
      </c>
      <c r="G24" s="7" t="n">
        <v>5</v>
      </c>
      <c r="H24" s="7" t="n">
        <v>21</v>
      </c>
      <c r="I24" s="7" t="n">
        <v>700</v>
      </c>
      <c r="J24" s="5" t="inlineStr">
        <is>
          <t>Batterie Li-ion rechargeable</t>
        </is>
      </c>
      <c r="K24" s="5" t="inlineStr">
        <is>
          <t>Type-C</t>
        </is>
      </c>
      <c r="L24" s="8" t="inlineStr">
        <is>
          <t>N/D</t>
        </is>
      </c>
      <c r="M24" s="5" t="inlineStr">
        <is>
          <t>IPX7</t>
        </is>
      </c>
      <c r="N24" s="5" t="inlineStr">
        <is>
          <t>Oui</t>
        </is>
      </c>
      <c r="O24" s="5" t="inlineStr">
        <is>
          <t>Aucun</t>
        </is>
      </c>
      <c r="P24" s="5" t="inlineStr">
        <is>
          <t>Oui</t>
        </is>
      </c>
      <c r="Q24" s="9" t="n">
        <v>101.5</v>
      </c>
      <c r="R24" s="5" t="inlineStr">
        <is>
          <t>27.6*27.6*255</t>
        </is>
      </c>
      <c r="S24" s="10" t="inlineStr">
        <is>
          <t>Bouton tactile sans joint, montée progressive 3 s, double moteur magnétique, implantation sans métal, mémoire intelligente</t>
        </is>
      </c>
      <c r="T24" s="11" t="n">
        <v>14</v>
      </c>
      <c r="U24" s="12" t="inlineStr">
        <is>
          <t>Brosse sonique USB 6 modes, 4 têtes</t>
        </is>
      </c>
      <c r="V24" s="12" t="inlineStr">
        <is>
          <t>Addigoes (marketplace)</t>
        </is>
      </c>
      <c r="W24" s="12" t="inlineStr">
        <is>
          <t>Sonique</t>
        </is>
      </c>
      <c r="X24" s="12" t="inlineStr">
        <is>
          <t>42 000 vibrations/min</t>
        </is>
      </c>
      <c r="Y24" s="12" t="inlineStr">
        <is>
          <t>6 modes</t>
        </is>
      </c>
      <c r="Z24" s="12" t="n">
        <v>60</v>
      </c>
      <c r="AA24" s="12" t="inlineStr">
        <is>
          <t>Étanche (indice non précisé)</t>
        </is>
      </c>
      <c r="AB24" s="12" t="inlineStr">
        <is>
          <t>Non</t>
        </is>
      </c>
      <c r="AC24" s="12" t="inlineStr">
        <is>
          <t>USB</t>
        </is>
      </c>
      <c r="AD24" s="12" t="inlineStr">
        <is>
          <t>Côte d'Ivoire (Jumia, vérifié)</t>
        </is>
      </c>
      <c r="AE24" s="12" t="inlineStr">
        <is>
          <t>Jumia CI</t>
        </is>
      </c>
      <c r="AF24" s="13" t="inlineStr">
        <is>
          <t>https://www.jumia.ci/addigoes-brosse-a-dents-electrique-sonique-rechargeable-usb-6-modes-etanche-haute-frequence-4-tetes-de-brosse-nettoyage-dentaire-professionnel-noir-30497266.html</t>
        </is>
      </c>
      <c r="AG24" s="13" t="inlineStr">
        <is>
          <t>https://www.jumia.ci/brosse-a-dents-electrique/</t>
        </is>
      </c>
      <c r="AH24" s="12" t="inlineStr">
        <is>
          <t>Rapprochement sur la haute fréquence (40 000 mouvements/min et plus) et le nombre élevé de modes. Amplitude 6 mm annoncée et pack 4 têtes, concurrent frontal des SEAGO à moteur magnétique.</t>
        </is>
      </c>
      <c r="AI24" s="14" t="n"/>
      <c r="AJ24" s="14" t="n"/>
      <c r="AK24" s="15" t="n"/>
      <c r="AL24" s="16" t="n"/>
      <c r="AM24" s="15" t="n"/>
      <c r="AN24" s="17">
        <f>IF(OR(AJ24="",AI24=""),"",AJ24-AI24)</f>
        <v/>
      </c>
      <c r="AO24" s="18">
        <f>IF(OR(AJ24="",AI24="",AI24=0),"",(AJ24-AI24)/AI24)</f>
        <v/>
      </c>
      <c r="AP24" s="19">
        <f>IF(AO24="","",IF(AO24&lt;-0.05,"Moins cher",IF(AO24&gt;0.05,"Plus cher","Équivalent")))</f>
        <v/>
      </c>
    </row>
    <row r="25">
      <c r="A25" s="20" t="inlineStr">
        <is>
          <t>SG-2753</t>
        </is>
      </c>
      <c r="B25" s="20" t="inlineStr">
        <is>
          <t>Advanced Clean</t>
        </is>
      </c>
      <c r="C25" s="20" t="inlineStr">
        <is>
          <t>Sonique</t>
        </is>
      </c>
      <c r="D25" s="20" t="inlineStr">
        <is>
          <t>Adulte</t>
        </is>
      </c>
      <c r="E25" s="21" t="n">
        <v>32000</v>
      </c>
      <c r="F25" s="21" t="n">
        <v>40000</v>
      </c>
      <c r="G25" s="22" t="n">
        <v>5</v>
      </c>
      <c r="H25" s="22" t="n">
        <v>21</v>
      </c>
      <c r="I25" s="22" t="n">
        <v>700</v>
      </c>
      <c r="J25" s="20" t="inlineStr">
        <is>
          <t>Batterie Li-ion rechargeable</t>
        </is>
      </c>
      <c r="K25" s="20" t="inlineStr">
        <is>
          <t>Type-C</t>
        </is>
      </c>
      <c r="L25" s="26" t="inlineStr">
        <is>
          <t>N/D</t>
        </is>
      </c>
      <c r="M25" s="20" t="inlineStr">
        <is>
          <t>IPX7</t>
        </is>
      </c>
      <c r="N25" s="20" t="inlineStr">
        <is>
          <t>Oui</t>
        </is>
      </c>
      <c r="O25" s="20" t="inlineStr">
        <is>
          <t>Aucun</t>
        </is>
      </c>
      <c r="P25" s="20" t="inlineStr">
        <is>
          <t>Oui</t>
        </is>
      </c>
      <c r="Q25" s="23" t="n">
        <v>102</v>
      </c>
      <c r="R25" s="20" t="inlineStr">
        <is>
          <t>26.5*30.0*255</t>
        </is>
      </c>
      <c r="S25" s="24" t="inlineStr">
        <is>
          <t>Bouton tactile sans joint, montée progressive 3 s, double moteur magnétique, implantation sans métal, mémoire intelligente</t>
        </is>
      </c>
      <c r="T25" s="25" t="n">
        <v>14</v>
      </c>
      <c r="U25" s="12" t="inlineStr">
        <is>
          <t>Brosse sonique USB 6 modes, 4 têtes</t>
        </is>
      </c>
      <c r="V25" s="12" t="inlineStr">
        <is>
          <t>Addigoes (marketplace)</t>
        </is>
      </c>
      <c r="W25" s="12" t="inlineStr">
        <is>
          <t>Sonique</t>
        </is>
      </c>
      <c r="X25" s="12" t="inlineStr">
        <is>
          <t>42 000 vibrations/min</t>
        </is>
      </c>
      <c r="Y25" s="12" t="inlineStr">
        <is>
          <t>6 modes</t>
        </is>
      </c>
      <c r="Z25" s="12" t="n">
        <v>60</v>
      </c>
      <c r="AA25" s="12" t="inlineStr">
        <is>
          <t>Étanche (indice non précisé)</t>
        </is>
      </c>
      <c r="AB25" s="12" t="inlineStr">
        <is>
          <t>Non</t>
        </is>
      </c>
      <c r="AC25" s="12" t="inlineStr">
        <is>
          <t>USB</t>
        </is>
      </c>
      <c r="AD25" s="12" t="inlineStr">
        <is>
          <t>Côte d'Ivoire (Jumia, vérifié)</t>
        </is>
      </c>
      <c r="AE25" s="12" t="inlineStr">
        <is>
          <t>Jumia CI</t>
        </is>
      </c>
      <c r="AF25" s="13" t="inlineStr">
        <is>
          <t>https://www.jumia.ci/addigoes-brosse-a-dents-electrique-sonique-rechargeable-usb-6-modes-etanche-haute-frequence-4-tetes-de-brosse-nettoyage-dentaire-professionnel-noir-30497266.html</t>
        </is>
      </c>
      <c r="AG25" s="13" t="inlineStr">
        <is>
          <t>https://www.jumia.ci/brosse-a-dents-electrique/</t>
        </is>
      </c>
      <c r="AH25" s="12" t="inlineStr">
        <is>
          <t>Rapprochement sur la haute fréquence (40 000 mouvements/min et plus) et le nombre élevé de modes. Amplitude 6 mm annoncée et pack 4 têtes, concurrent frontal des SEAGO à moteur magnétique.</t>
        </is>
      </c>
      <c r="AI25" s="14" t="n"/>
      <c r="AJ25" s="14" t="n"/>
      <c r="AK25" s="15" t="n"/>
      <c r="AL25" s="16" t="n"/>
      <c r="AM25" s="15" t="n"/>
      <c r="AN25" s="17">
        <f>IF(OR(AJ25="",AI25=""),"",AJ25-AI25)</f>
        <v/>
      </c>
      <c r="AO25" s="18">
        <f>IF(OR(AJ25="",AI25="",AI25=0),"",(AJ25-AI25)/AI25)</f>
        <v/>
      </c>
      <c r="AP25" s="19">
        <f>IF(AO25="","",IF(AO25&lt;-0.05,"Moins cher",IF(AO25&gt;0.05,"Plus cher","Équivalent")))</f>
        <v/>
      </c>
    </row>
    <row r="26">
      <c r="A26" s="5" t="inlineStr">
        <is>
          <t>SG-2725</t>
        </is>
      </c>
      <c r="B26" s="5" t="inlineStr">
        <is>
          <t>Advanced Clean</t>
        </is>
      </c>
      <c r="C26" s="5" t="inlineStr">
        <is>
          <t>Sonique</t>
        </is>
      </c>
      <c r="D26" s="5" t="inlineStr">
        <is>
          <t>Adulte</t>
        </is>
      </c>
      <c r="E26" s="6" t="n">
        <v>32000</v>
      </c>
      <c r="F26" s="6" t="n">
        <v>47000</v>
      </c>
      <c r="G26" s="7" t="n">
        <v>5</v>
      </c>
      <c r="H26" s="7" t="n">
        <v>60</v>
      </c>
      <c r="I26" s="7" t="n">
        <v>1500</v>
      </c>
      <c r="J26" s="5" t="inlineStr">
        <is>
          <t>Batterie Li-ion rechargeable</t>
        </is>
      </c>
      <c r="K26" s="5" t="inlineStr">
        <is>
          <t>Type-C</t>
        </is>
      </c>
      <c r="L26" s="8" t="inlineStr">
        <is>
          <t>N/D</t>
        </is>
      </c>
      <c r="M26" s="5" t="inlineStr">
        <is>
          <t>IPX7</t>
        </is>
      </c>
      <c r="N26" s="5" t="inlineStr">
        <is>
          <t>Non</t>
        </is>
      </c>
      <c r="O26" s="5" t="inlineStr">
        <is>
          <t>Aucun</t>
        </is>
      </c>
      <c r="P26" s="5" t="inlineStr">
        <is>
          <t>Oui</t>
        </is>
      </c>
      <c r="Q26" s="9" t="n">
        <v>222</v>
      </c>
      <c r="R26" s="5" t="inlineStr">
        <is>
          <t>28.3*28.3*252</t>
        </is>
      </c>
      <c r="S26" s="10" t="inlineStr">
        <is>
          <t>Moteur magnétique renforcé, implantation sans métal avec plus de 90 % de brins arrondis, manche compatible motifs 3D, rythme de vibration cadence</t>
        </is>
      </c>
      <c r="T26" s="11" t="n">
        <v>15</v>
      </c>
      <c r="U26" s="12" t="inlineStr">
        <is>
          <t>Brosse sonique USB 6 modes, 4 têtes</t>
        </is>
      </c>
      <c r="V26" s="12" t="inlineStr">
        <is>
          <t>Addigoes (marketplace)</t>
        </is>
      </c>
      <c r="W26" s="12" t="inlineStr">
        <is>
          <t>Sonique</t>
        </is>
      </c>
      <c r="X26" s="12" t="inlineStr">
        <is>
          <t>42 000 vibrations/min</t>
        </is>
      </c>
      <c r="Y26" s="12" t="inlineStr">
        <is>
          <t>6 modes</t>
        </is>
      </c>
      <c r="Z26" s="12" t="n">
        <v>60</v>
      </c>
      <c r="AA26" s="12" t="inlineStr">
        <is>
          <t>Étanche (indice non précisé)</t>
        </is>
      </c>
      <c r="AB26" s="12" t="inlineStr">
        <is>
          <t>Non</t>
        </is>
      </c>
      <c r="AC26" s="12" t="inlineStr">
        <is>
          <t>USB</t>
        </is>
      </c>
      <c r="AD26" s="12" t="inlineStr">
        <is>
          <t>Côte d'Ivoire (Jumia, vérifié)</t>
        </is>
      </c>
      <c r="AE26" s="12" t="inlineStr">
        <is>
          <t>Jumia CI</t>
        </is>
      </c>
      <c r="AF26" s="13" t="inlineStr">
        <is>
          <t>https://www.jumia.ci/addigoes-brosse-a-dents-electrique-sonique-rechargeable-usb-6-modes-etanche-haute-frequence-4-tetes-de-brosse-nettoyage-dentaire-professionnel-noir-30497266.html</t>
        </is>
      </c>
      <c r="AG26" s="13" t="inlineStr">
        <is>
          <t>https://www.jumia.ci/brosse-a-dents-electrique/</t>
        </is>
      </c>
      <c r="AH26" s="12" t="inlineStr">
        <is>
          <t>Rapprochement sur la haute fréquence (40 000 mouvements/min et plus) et le nombre élevé de modes. Amplitude 6 mm annoncée et pack 4 têtes, concurrent frontal des SEAGO à moteur magnétique.</t>
        </is>
      </c>
      <c r="AI26" s="14" t="n"/>
      <c r="AJ26" s="14" t="n"/>
      <c r="AK26" s="15" t="n"/>
      <c r="AL26" s="16" t="n"/>
      <c r="AM26" s="15" t="n"/>
      <c r="AN26" s="17">
        <f>IF(OR(AJ26="",AI26=""),"",AJ26-AI26)</f>
        <v/>
      </c>
      <c r="AO26" s="18">
        <f>IF(OR(AJ26="",AI26="",AI26=0),"",(AJ26-AI26)/AI26)</f>
        <v/>
      </c>
      <c r="AP26" s="19">
        <f>IF(AO26="","",IF(AO26&lt;-0.05,"Moins cher",IF(AO26&gt;0.05,"Plus cher","Équivalent")))</f>
        <v/>
      </c>
    </row>
    <row r="27">
      <c r="A27" s="20" t="inlineStr">
        <is>
          <t>SG-2015</t>
        </is>
      </c>
      <c r="B27" s="20" t="inlineStr">
        <is>
          <t>Advanced Clean</t>
        </is>
      </c>
      <c r="C27" s="20" t="inlineStr">
        <is>
          <t>Sonique</t>
        </is>
      </c>
      <c r="D27" s="20" t="inlineStr">
        <is>
          <t>Adulte</t>
        </is>
      </c>
      <c r="E27" s="21" t="n">
        <v>40000</v>
      </c>
      <c r="F27" s="21" t="n">
        <v>40000</v>
      </c>
      <c r="G27" s="22" t="n">
        <v>15</v>
      </c>
      <c r="H27" s="22" t="n">
        <v>21</v>
      </c>
      <c r="I27" s="22" t="n">
        <v>700</v>
      </c>
      <c r="J27" s="20" t="inlineStr">
        <is>
          <t>Batterie Li-ion rechargeable</t>
        </is>
      </c>
      <c r="K27" s="20" t="inlineStr">
        <is>
          <t>Inductive (socle)</t>
        </is>
      </c>
      <c r="L27" s="26" t="inlineStr">
        <is>
          <t>N/D</t>
        </is>
      </c>
      <c r="M27" s="20" t="inlineStr">
        <is>
          <t>IPX7</t>
        </is>
      </c>
      <c r="N27" s="20" t="inlineStr">
        <is>
          <t>Non</t>
        </is>
      </c>
      <c r="O27" s="20" t="inlineStr">
        <is>
          <t>Affichage digital</t>
        </is>
      </c>
      <c r="P27" s="20" t="inlineStr">
        <is>
          <t>Oui</t>
        </is>
      </c>
      <c r="Q27" s="23" t="n">
        <v>287</v>
      </c>
      <c r="R27" s="20" t="inlineStr">
        <is>
          <t>27.5*26.4*255 ; stérilisateur UV 135*60*131</t>
        </is>
      </c>
      <c r="S27" s="24" t="inlineStr">
        <is>
          <t>Socle et boîtier UV 2 en 1 (3-4 min, 99,9 % des bactéries), 15 combinaisons (3 modes x 5 intensités), double moteur magnétique</t>
        </is>
      </c>
      <c r="T27" s="25" t="n">
        <v>16</v>
      </c>
      <c r="U27" s="12" t="inlineStr">
        <is>
          <t>X Pro Elite</t>
        </is>
      </c>
      <c r="V27" s="12" t="inlineStr">
        <is>
          <t>Oclean</t>
        </is>
      </c>
      <c r="W27" s="12" t="inlineStr">
        <is>
          <t>Sonique à lévitation magnétique</t>
        </is>
      </c>
      <c r="X27" s="12" t="inlineStr">
        <is>
          <t>42 000 mouvements/min</t>
        </is>
      </c>
      <c r="Y27" s="12" t="inlineStr">
        <is>
          <t>4 modes x 32 intensités</t>
        </is>
      </c>
      <c r="Z27" s="12" t="n">
        <v>35</v>
      </c>
      <c r="AA27" s="29" t="inlineStr">
        <is>
          <t>N/D</t>
        </is>
      </c>
      <c r="AB27" s="29" t="inlineStr">
        <is>
          <t>N/D</t>
        </is>
      </c>
      <c r="AC27" s="12" t="inlineStr">
        <is>
          <t>Inductive, batterie 800 mAh</t>
        </is>
      </c>
      <c r="AD27" s="12" t="inlineStr">
        <is>
          <t>Non vérifié sur les marchés cibles</t>
        </is>
      </c>
      <c r="AE27" s="12" t="inlineStr">
        <is>
          <t>Marketplaces, e-commerce spécialisé</t>
        </is>
      </c>
      <c r="AF27" s="13" t="inlineStr">
        <is>
          <t>https://www.electricteeth.com/oclean-x-pro-elite-review/</t>
        </is>
      </c>
      <c r="AG27" s="13" t="inlineStr">
        <is>
          <t>https://www.techradar.com/reviews/oclean-x-pro-elite</t>
        </is>
      </c>
      <c r="AH27" s="12" t="inlineStr">
        <is>
          <t>Rapprochement sur la présence d'un écran de pilotage et le haut niveau de modes. Écran tactile couleur et pilotage par application, équivalent des SEAGO à écran LCD.</t>
        </is>
      </c>
      <c r="AI27" s="14" t="n"/>
      <c r="AJ27" s="14" t="n"/>
      <c r="AK27" s="15" t="n"/>
      <c r="AL27" s="16" t="n"/>
      <c r="AM27" s="15" t="n"/>
      <c r="AN27" s="17">
        <f>IF(OR(AJ27="",AI27=""),"",AJ27-AI27)</f>
        <v/>
      </c>
      <c r="AO27" s="18">
        <f>IF(OR(AJ27="",AI27="",AI27=0),"",(AJ27-AI27)/AI27)</f>
        <v/>
      </c>
      <c r="AP27" s="19">
        <f>IF(AO27="","",IF(AO27&lt;-0.05,"Moins cher",IF(AO27&gt;0.05,"Plus cher","Équivalent")))</f>
        <v/>
      </c>
    </row>
    <row r="28">
      <c r="A28" s="5" t="inlineStr">
        <is>
          <t>SG-2017</t>
        </is>
      </c>
      <c r="B28" s="5" t="inlineStr">
        <is>
          <t>Advanced Clean</t>
        </is>
      </c>
      <c r="C28" s="5" t="inlineStr">
        <is>
          <t>Sonique</t>
        </is>
      </c>
      <c r="D28" s="5" t="inlineStr">
        <is>
          <t>Adulte</t>
        </is>
      </c>
      <c r="E28" s="6" t="n">
        <v>32000</v>
      </c>
      <c r="F28" s="6" t="n">
        <v>40000</v>
      </c>
      <c r="G28" s="7" t="n">
        <v>15</v>
      </c>
      <c r="H28" s="7" t="n">
        <v>21</v>
      </c>
      <c r="I28" s="7" t="n">
        <v>700</v>
      </c>
      <c r="J28" s="5" t="inlineStr">
        <is>
          <t>Batterie Li-ion rechargeable</t>
        </is>
      </c>
      <c r="K28" s="5" t="inlineStr">
        <is>
          <t>Inductive (socle)</t>
        </is>
      </c>
      <c r="L28" s="8" t="inlineStr">
        <is>
          <t>N/D</t>
        </is>
      </c>
      <c r="M28" s="5" t="inlineStr">
        <is>
          <t>IPX7</t>
        </is>
      </c>
      <c r="N28" s="5" t="inlineStr">
        <is>
          <t>Non</t>
        </is>
      </c>
      <c r="O28" s="5" t="inlineStr">
        <is>
          <t>Affichage digital</t>
        </is>
      </c>
      <c r="P28" s="5" t="inlineStr">
        <is>
          <t>Oui</t>
        </is>
      </c>
      <c r="Q28" s="9" t="n">
        <v>222</v>
      </c>
      <c r="R28" s="5" t="inlineStr">
        <is>
          <t>27.1*28.1*255 ; chargeur 400 : 62*62*41</t>
        </is>
      </c>
      <c r="S28" s="10" t="inlineStr">
        <is>
          <t>15 combinaisons (3 modes x 5 intensités), moteur à lévitation magnétique amplitude 6 mm, double moteur magnétique, système super silencieux</t>
        </is>
      </c>
      <c r="T28" s="11" t="n">
        <v>16</v>
      </c>
      <c r="U28" s="12" t="inlineStr">
        <is>
          <t>X Pro Elite</t>
        </is>
      </c>
      <c r="V28" s="12" t="inlineStr">
        <is>
          <t>Oclean</t>
        </is>
      </c>
      <c r="W28" s="12" t="inlineStr">
        <is>
          <t>Sonique à lévitation magnétique</t>
        </is>
      </c>
      <c r="X28" s="12" t="inlineStr">
        <is>
          <t>42 000 mouvements/min</t>
        </is>
      </c>
      <c r="Y28" s="12" t="inlineStr">
        <is>
          <t>4 modes x 32 intensités</t>
        </is>
      </c>
      <c r="Z28" s="12" t="n">
        <v>35</v>
      </c>
      <c r="AA28" s="29" t="inlineStr">
        <is>
          <t>N/D</t>
        </is>
      </c>
      <c r="AB28" s="29" t="inlineStr">
        <is>
          <t>N/D</t>
        </is>
      </c>
      <c r="AC28" s="12" t="inlineStr">
        <is>
          <t>Inductive, batterie 800 mAh</t>
        </is>
      </c>
      <c r="AD28" s="12" t="inlineStr">
        <is>
          <t>Non vérifié sur les marchés cibles</t>
        </is>
      </c>
      <c r="AE28" s="12" t="inlineStr">
        <is>
          <t>Marketplaces, e-commerce spécialisé</t>
        </is>
      </c>
      <c r="AF28" s="13" t="inlineStr">
        <is>
          <t>https://www.electricteeth.com/oclean-x-pro-elite-review/</t>
        </is>
      </c>
      <c r="AG28" s="13" t="inlineStr">
        <is>
          <t>https://www.techradar.com/reviews/oclean-x-pro-elite</t>
        </is>
      </c>
      <c r="AH28" s="12" t="inlineStr">
        <is>
          <t>Rapprochement sur la présence d'un écran de pilotage et le haut niveau de modes. Écran tactile couleur et pilotage par application, équivalent des SEAGO à écran LCD.</t>
        </is>
      </c>
      <c r="AI28" s="14" t="n"/>
      <c r="AJ28" s="14" t="n"/>
      <c r="AK28" s="15" t="n"/>
      <c r="AL28" s="16" t="n"/>
      <c r="AM28" s="15" t="n"/>
      <c r="AN28" s="17">
        <f>IF(OR(AJ28="",AI28=""),"",AJ28-AI28)</f>
        <v/>
      </c>
      <c r="AO28" s="18">
        <f>IF(OR(AJ28="",AI28="",AI28=0),"",(AJ28-AI28)/AI28)</f>
        <v/>
      </c>
      <c r="AP28" s="19">
        <f>IF(AO28="","",IF(AO28&lt;-0.05,"Moins cher",IF(AO28&gt;0.05,"Plus cher","Équivalent")))</f>
        <v/>
      </c>
    </row>
    <row r="29">
      <c r="A29" s="20" t="inlineStr">
        <is>
          <t>SG-2701</t>
        </is>
      </c>
      <c r="B29" s="20" t="inlineStr">
        <is>
          <t>Advanced Clean</t>
        </is>
      </c>
      <c r="C29" s="20" t="inlineStr">
        <is>
          <t>Sonique</t>
        </is>
      </c>
      <c r="D29" s="20" t="inlineStr">
        <is>
          <t>Adulte</t>
        </is>
      </c>
      <c r="E29" s="21" t="n">
        <v>32000</v>
      </c>
      <c r="F29" s="21" t="n">
        <v>42000</v>
      </c>
      <c r="G29" s="22" t="n">
        <v>15</v>
      </c>
      <c r="H29" s="22" t="n">
        <v>60</v>
      </c>
      <c r="I29" s="22" t="n">
        <v>1500</v>
      </c>
      <c r="J29" s="20" t="inlineStr">
        <is>
          <t>Batterie Li-ion rechargeable</t>
        </is>
      </c>
      <c r="K29" s="20" t="inlineStr">
        <is>
          <t>Inductive (socle) ou USB</t>
        </is>
      </c>
      <c r="L29" s="26" t="inlineStr">
        <is>
          <t>N/D</t>
        </is>
      </c>
      <c r="M29" s="20" t="inlineStr">
        <is>
          <t>IPX7</t>
        </is>
      </c>
      <c r="N29" s="20" t="inlineStr">
        <is>
          <t>Oui</t>
        </is>
      </c>
      <c r="O29" s="20" t="inlineStr">
        <is>
          <t>Aucun</t>
        </is>
      </c>
      <c r="P29" s="20" t="inlineStr">
        <is>
          <t>Oui</t>
        </is>
      </c>
      <c r="Q29" s="23" t="n">
        <v>193</v>
      </c>
      <c r="R29" s="20" t="inlineStr">
        <is>
          <t>28*29.8*250 ; chargeur 4019 : 66.8*66.8*32.6</t>
        </is>
      </c>
      <c r="S29" s="24" t="inlineStr">
        <is>
          <t>15 combinaisons (5 modes x 3 intensités), montée progressive 3 s, résistant aux projections, mémoire intelligente</t>
        </is>
      </c>
      <c r="T29" s="25" t="n">
        <v>17</v>
      </c>
      <c r="U29" s="12" t="inlineStr">
        <is>
          <t>Sonicare ProtectiveClean 4100 (HX6817)</t>
        </is>
      </c>
      <c r="V29" s="12" t="inlineStr">
        <is>
          <t>Philips</t>
        </is>
      </c>
      <c r="W29" s="12" t="inlineStr">
        <is>
          <t>Sonique</t>
        </is>
      </c>
      <c r="X29" s="12" t="inlineStr">
        <is>
          <t>31 000 strokes/min (62 000 mouvements/min)</t>
        </is>
      </c>
      <c r="Y29" s="12" t="inlineStr">
        <is>
          <t>1 mode Clean (2 intensités selon version)</t>
        </is>
      </c>
      <c r="Z29" s="12" t="n">
        <v>14</v>
      </c>
      <c r="AA29" s="12" t="inlineStr">
        <is>
          <t>IPX7</t>
        </is>
      </c>
      <c r="AB29" s="12" t="inlineStr">
        <is>
          <t>Oui (alerte sonore)</t>
        </is>
      </c>
      <c r="AC29" s="12" t="inlineStr">
        <is>
          <t>Socle inductif</t>
        </is>
      </c>
      <c r="AD29" s="12" t="inlineStr">
        <is>
          <t>EAU (Noon, vérifié)</t>
        </is>
      </c>
      <c r="AE29" s="12" t="inlineStr">
        <is>
          <t>Noon UAE, pharmacies et GMS</t>
        </is>
      </c>
      <c r="AF29" s="13" t="inlineStr">
        <is>
          <t>https://www.usa.philips.com/c-p/HX6817_01/sonicare-protectiveclean-4100-sonic-electric-toothbrush</t>
        </is>
      </c>
      <c r="AG29" s="13" t="inlineStr">
        <is>
          <t>https://www.noon.com/uae-en/beauty/personal-care-16343/oral-hygiene/power-toothbrushes/philips_sonicare/</t>
        </is>
      </c>
      <c r="AH29" s="12" t="inlineStr">
        <is>
          <t>Rapprochement sur la charge par socle inductif et le positionnement premium du segment sonique. Technologie BrushSync (rappel de remplacement de tête). Référence premium du segment sonique.</t>
        </is>
      </c>
      <c r="AI29" s="14" t="n"/>
      <c r="AJ29" s="14" t="n"/>
      <c r="AK29" s="15" t="n"/>
      <c r="AL29" s="16" t="n"/>
      <c r="AM29" s="15" t="n"/>
      <c r="AN29" s="17">
        <f>IF(OR(AJ29="",AI29=""),"",AJ29-AI29)</f>
        <v/>
      </c>
      <c r="AO29" s="18">
        <f>IF(OR(AJ29="",AI29="",AI29=0),"",(AJ29-AI29)/AI29)</f>
        <v/>
      </c>
      <c r="AP29" s="19">
        <f>IF(AO29="","",IF(AO29&lt;-0.05,"Moins cher",IF(AO29&gt;0.05,"Plus cher","Équivalent")))</f>
        <v/>
      </c>
    </row>
    <row r="30">
      <c r="A30" s="5" t="inlineStr">
        <is>
          <t>SG-982</t>
        </is>
      </c>
      <c r="B30" s="5" t="inlineStr">
        <is>
          <t>Advanced Clean</t>
        </is>
      </c>
      <c r="C30" s="5" t="inlineStr">
        <is>
          <t>Sonique</t>
        </is>
      </c>
      <c r="D30" s="5" t="inlineStr">
        <is>
          <t>Adulte</t>
        </is>
      </c>
      <c r="E30" s="6" t="n">
        <v>32000</v>
      </c>
      <c r="F30" s="6" t="n">
        <v>42000</v>
      </c>
      <c r="G30" s="7" t="n">
        <v>9</v>
      </c>
      <c r="H30" s="7" t="n">
        <v>21</v>
      </c>
      <c r="I30" s="7" t="n">
        <v>700</v>
      </c>
      <c r="J30" s="5" t="inlineStr">
        <is>
          <t>Batterie Li-ion rechargeable</t>
        </is>
      </c>
      <c r="K30" s="5" t="inlineStr">
        <is>
          <t>Inductive (socle)</t>
        </is>
      </c>
      <c r="L30" s="8" t="inlineStr">
        <is>
          <t>N/D</t>
        </is>
      </c>
      <c r="M30" s="5" t="inlineStr">
        <is>
          <t>IPX7</t>
        </is>
      </c>
      <c r="N30" s="5" t="inlineStr">
        <is>
          <t>Non</t>
        </is>
      </c>
      <c r="O30" s="5" t="inlineStr">
        <is>
          <t>Aucun</t>
        </is>
      </c>
      <c r="P30" s="5" t="inlineStr">
        <is>
          <t>Non</t>
        </is>
      </c>
      <c r="Q30" s="9" t="n">
        <v>217</v>
      </c>
      <c r="R30" s="5" t="inlineStr">
        <is>
          <t>27.1*27.1*255 ; chargeur 400 : 62*62*41</t>
        </is>
      </c>
      <c r="S30" s="10" t="inlineStr">
        <is>
          <t>9 combinaisons (3 modes x 3 intensités), moteur à lévitation magnétique amplitude 6 mm, double moteur magnétique, système super silencieux</t>
        </is>
      </c>
      <c r="T30" s="11" t="n">
        <v>17</v>
      </c>
      <c r="U30" s="12" t="inlineStr">
        <is>
          <t>Sonicare ProtectiveClean 4100 (HX6817)</t>
        </is>
      </c>
      <c r="V30" s="12" t="inlineStr">
        <is>
          <t>Philips</t>
        </is>
      </c>
      <c r="W30" s="12" t="inlineStr">
        <is>
          <t>Sonique</t>
        </is>
      </c>
      <c r="X30" s="12" t="inlineStr">
        <is>
          <t>31 000 strokes/min (62 000 mouvements/min)</t>
        </is>
      </c>
      <c r="Y30" s="12" t="inlineStr">
        <is>
          <t>1 mode Clean (2 intensités selon version)</t>
        </is>
      </c>
      <c r="Z30" s="12" t="n">
        <v>14</v>
      </c>
      <c r="AA30" s="12" t="inlineStr">
        <is>
          <t>IPX7</t>
        </is>
      </c>
      <c r="AB30" s="12" t="inlineStr">
        <is>
          <t>Oui (alerte sonore)</t>
        </is>
      </c>
      <c r="AC30" s="12" t="inlineStr">
        <is>
          <t>Socle inductif</t>
        </is>
      </c>
      <c r="AD30" s="12" t="inlineStr">
        <is>
          <t>EAU (Noon, vérifié)</t>
        </is>
      </c>
      <c r="AE30" s="12" t="inlineStr">
        <is>
          <t>Noon UAE, pharmacies et GMS</t>
        </is>
      </c>
      <c r="AF30" s="13" t="inlineStr">
        <is>
          <t>https://www.usa.philips.com/c-p/HX6817_01/sonicare-protectiveclean-4100-sonic-electric-toothbrush</t>
        </is>
      </c>
      <c r="AG30" s="13" t="inlineStr">
        <is>
          <t>https://www.noon.com/uae-en/beauty/personal-care-16343/oral-hygiene/power-toothbrushes/philips_sonicare/</t>
        </is>
      </c>
      <c r="AH30" s="12" t="inlineStr">
        <is>
          <t>Rapprochement sur la charge par socle inductif et le positionnement premium du segment sonique. Technologie BrushSync (rappel de remplacement de tête). Référence premium du segment sonique.</t>
        </is>
      </c>
      <c r="AI30" s="14" t="n"/>
      <c r="AJ30" s="14" t="n"/>
      <c r="AK30" s="15" t="n"/>
      <c r="AL30" s="16" t="n"/>
      <c r="AM30" s="15" t="n"/>
      <c r="AN30" s="17">
        <f>IF(OR(AJ30="",AI30=""),"",AJ30-AI30)</f>
        <v/>
      </c>
      <c r="AO30" s="18">
        <f>IF(OR(AJ30="",AI30="",AI30=0),"",(AJ30-AI30)/AI30)</f>
        <v/>
      </c>
      <c r="AP30" s="19">
        <f>IF(AO30="","",IF(AO30&lt;-0.05,"Moins cher",IF(AO30&gt;0.05,"Plus cher","Équivalent")))</f>
        <v/>
      </c>
    </row>
    <row r="31">
      <c r="A31" s="20" t="inlineStr">
        <is>
          <t>SG-2009</t>
        </is>
      </c>
      <c r="B31" s="20" t="inlineStr">
        <is>
          <t>Advanced Clean</t>
        </is>
      </c>
      <c r="C31" s="20" t="inlineStr">
        <is>
          <t>Sonique</t>
        </is>
      </c>
      <c r="D31" s="20" t="inlineStr">
        <is>
          <t>Adulte</t>
        </is>
      </c>
      <c r="E31" s="21" t="n">
        <v>31000</v>
      </c>
      <c r="F31" s="21" t="n">
        <v>31000</v>
      </c>
      <c r="G31" s="22" t="n">
        <v>5</v>
      </c>
      <c r="H31" s="22" t="n">
        <v>21</v>
      </c>
      <c r="I31" s="22" t="n">
        <v>700</v>
      </c>
      <c r="J31" s="20" t="inlineStr">
        <is>
          <t>Batterie Li-ion rechargeable</t>
        </is>
      </c>
      <c r="K31" s="20" t="inlineStr">
        <is>
          <t>Inductive (socle)</t>
        </is>
      </c>
      <c r="L31" s="26" t="inlineStr">
        <is>
          <t>N/D</t>
        </is>
      </c>
      <c r="M31" s="20" t="inlineStr">
        <is>
          <t>IPX7</t>
        </is>
      </c>
      <c r="N31" s="20" t="inlineStr">
        <is>
          <t>Non</t>
        </is>
      </c>
      <c r="O31" s="20" t="inlineStr">
        <is>
          <t>Aucun</t>
        </is>
      </c>
      <c r="P31" s="20" t="inlineStr">
        <is>
          <t>Non</t>
        </is>
      </c>
      <c r="Q31" s="23" t="n">
        <v>238</v>
      </c>
      <c r="R31" s="20" t="inlineStr">
        <is>
          <t>26.7*26.7*252 ; chargeur 416 : 69*69*26.2</t>
        </is>
      </c>
      <c r="S31" s="24" t="inlineStr">
        <is>
          <t>Moteur à lévitation magnétique amplitude 6 mm, socle inductif haut de gamme avec éclairage LED, système super silencieux</t>
        </is>
      </c>
      <c r="T31" s="25" t="n">
        <v>18</v>
      </c>
      <c r="U31" s="12" t="inlineStr">
        <is>
          <t>Sonicare ProtectiveClean 4100 (HX6817)</t>
        </is>
      </c>
      <c r="V31" s="12" t="inlineStr">
        <is>
          <t>Philips</t>
        </is>
      </c>
      <c r="W31" s="12" t="inlineStr">
        <is>
          <t>Sonique</t>
        </is>
      </c>
      <c r="X31" s="12" t="inlineStr">
        <is>
          <t>31 000 strokes/min (62 000 mouvements/min)</t>
        </is>
      </c>
      <c r="Y31" s="12" t="inlineStr">
        <is>
          <t>1 mode Clean (2 intensités selon version)</t>
        </is>
      </c>
      <c r="Z31" s="12" t="n">
        <v>14</v>
      </c>
      <c r="AA31" s="12" t="inlineStr">
        <is>
          <t>IPX7</t>
        </is>
      </c>
      <c r="AB31" s="12" t="inlineStr">
        <is>
          <t>Oui (alerte sonore)</t>
        </is>
      </c>
      <c r="AC31" s="12" t="inlineStr">
        <is>
          <t>Socle inductif</t>
        </is>
      </c>
      <c r="AD31" s="12" t="inlineStr">
        <is>
          <t>EAU (Noon, vérifié)</t>
        </is>
      </c>
      <c r="AE31" s="12" t="inlineStr">
        <is>
          <t>Noon UAE, pharmacies et GMS</t>
        </is>
      </c>
      <c r="AF31" s="13" t="inlineStr">
        <is>
          <t>https://www.usa.philips.com/c-p/HX6817_01/sonicare-protectiveclean-4100-sonic-electric-toothbrush</t>
        </is>
      </c>
      <c r="AG31" s="13" t="inlineStr">
        <is>
          <t>https://www.noon.com/uae-en/beauty/personal-care-16343/oral-hygiene/power-toothbrushes/philips_sonicare/</t>
        </is>
      </c>
      <c r="AH31" s="12" t="inlineStr">
        <is>
          <t>Rapprochement sur la charge par socle inductif et le positionnement premium du segment sonique. Technologie BrushSync (rappel de remplacement de tête). Référence premium du segment sonique.</t>
        </is>
      </c>
      <c r="AI31" s="14" t="n"/>
      <c r="AJ31" s="14" t="n"/>
      <c r="AK31" s="15" t="n"/>
      <c r="AL31" s="16" t="n"/>
      <c r="AM31" s="15" t="n"/>
      <c r="AN31" s="17">
        <f>IF(OR(AJ31="",AI31=""),"",AJ31-AI31)</f>
        <v/>
      </c>
      <c r="AO31" s="18">
        <f>IF(OR(AJ31="",AI31="",AI31=0),"",(AJ31-AI31)/AI31)</f>
        <v/>
      </c>
      <c r="AP31" s="19">
        <f>IF(AO31="","",IF(AO31&lt;-0.05,"Moins cher",IF(AO31&gt;0.05,"Plus cher","Équivalent")))</f>
        <v/>
      </c>
    </row>
    <row r="32">
      <c r="A32" s="5" t="inlineStr">
        <is>
          <t>SG-998</t>
        </is>
      </c>
      <c r="B32" s="5" t="inlineStr">
        <is>
          <t>Advanced Clean</t>
        </is>
      </c>
      <c r="C32" s="5" t="inlineStr">
        <is>
          <t>Sonique</t>
        </is>
      </c>
      <c r="D32" s="5" t="inlineStr">
        <is>
          <t>Adulte</t>
        </is>
      </c>
      <c r="E32" s="6" t="n">
        <v>31000</v>
      </c>
      <c r="F32" s="6" t="n">
        <v>42000</v>
      </c>
      <c r="G32" s="7" t="n">
        <v>5</v>
      </c>
      <c r="H32" s="7" t="n">
        <v>21</v>
      </c>
      <c r="I32" s="7" t="n">
        <v>700</v>
      </c>
      <c r="J32" s="5" t="inlineStr">
        <is>
          <t>Batterie Li-ion rechargeable</t>
        </is>
      </c>
      <c r="K32" s="5" t="inlineStr">
        <is>
          <t>Inductive (socle)</t>
        </is>
      </c>
      <c r="L32" s="8" t="inlineStr">
        <is>
          <t>N/D</t>
        </is>
      </c>
      <c r="M32" s="5" t="inlineStr">
        <is>
          <t>IPX7</t>
        </is>
      </c>
      <c r="N32" s="5" t="inlineStr">
        <is>
          <t>Non</t>
        </is>
      </c>
      <c r="O32" s="5" t="inlineStr">
        <is>
          <t>Aucun</t>
        </is>
      </c>
      <c r="P32" s="5" t="inlineStr">
        <is>
          <t>Non</t>
        </is>
      </c>
      <c r="Q32" s="9" t="n">
        <v>230</v>
      </c>
      <c r="R32" s="5" t="inlineStr">
        <is>
          <t>25.6*25.7*280 ; chargeur 416 : 69*69*26.2</t>
        </is>
      </c>
      <c r="S32" s="10" t="inlineStr">
        <is>
          <t>Moteur à lévitation magnétique amplitude 6 mm, socle inductif avec éclairage LED, double moteur magnétique</t>
        </is>
      </c>
      <c r="T32" s="11" t="n">
        <v>18</v>
      </c>
      <c r="U32" s="12" t="inlineStr">
        <is>
          <t>Sonicare ProtectiveClean 4100 (HX6817)</t>
        </is>
      </c>
      <c r="V32" s="12" t="inlineStr">
        <is>
          <t>Philips</t>
        </is>
      </c>
      <c r="W32" s="12" t="inlineStr">
        <is>
          <t>Sonique</t>
        </is>
      </c>
      <c r="X32" s="12" t="inlineStr">
        <is>
          <t>31 000 strokes/min (62 000 mouvements/min)</t>
        </is>
      </c>
      <c r="Y32" s="12" t="inlineStr">
        <is>
          <t>1 mode Clean (2 intensités selon version)</t>
        </is>
      </c>
      <c r="Z32" s="12" t="n">
        <v>14</v>
      </c>
      <c r="AA32" s="12" t="inlineStr">
        <is>
          <t>IPX7</t>
        </is>
      </c>
      <c r="AB32" s="12" t="inlineStr">
        <is>
          <t>Oui (alerte sonore)</t>
        </is>
      </c>
      <c r="AC32" s="12" t="inlineStr">
        <is>
          <t>Socle inductif</t>
        </is>
      </c>
      <c r="AD32" s="12" t="inlineStr">
        <is>
          <t>EAU (Noon, vérifié)</t>
        </is>
      </c>
      <c r="AE32" s="12" t="inlineStr">
        <is>
          <t>Noon UAE, pharmacies et GMS</t>
        </is>
      </c>
      <c r="AF32" s="13" t="inlineStr">
        <is>
          <t>https://www.usa.philips.com/c-p/HX6817_01/sonicare-protectiveclean-4100-sonic-electric-toothbrush</t>
        </is>
      </c>
      <c r="AG32" s="13" t="inlineStr">
        <is>
          <t>https://www.noon.com/uae-en/beauty/personal-care-16343/oral-hygiene/power-toothbrushes/philips_sonicare/</t>
        </is>
      </c>
      <c r="AH32" s="12" t="inlineStr">
        <is>
          <t>Rapprochement sur la charge par socle inductif et le positionnement premium du segment sonique. Technologie BrushSync (rappel de remplacement de tête). Référence premium du segment sonique.</t>
        </is>
      </c>
      <c r="AI32" s="14" t="n"/>
      <c r="AJ32" s="14" t="n"/>
      <c r="AK32" s="15" t="n"/>
      <c r="AL32" s="16" t="n"/>
      <c r="AM32" s="15" t="n"/>
      <c r="AN32" s="17">
        <f>IF(OR(AJ32="",AI32=""),"",AJ32-AI32)</f>
        <v/>
      </c>
      <c r="AO32" s="18">
        <f>IF(OR(AJ32="",AI32="",AI32=0),"",(AJ32-AI32)/AI32)</f>
        <v/>
      </c>
      <c r="AP32" s="19">
        <f>IF(AO32="","",IF(AO32&lt;-0.05,"Moins cher",IF(AO32&gt;0.05,"Plus cher","Équivalent")))</f>
        <v/>
      </c>
    </row>
    <row r="33">
      <c r="A33" s="20" t="inlineStr">
        <is>
          <t>SG-986</t>
        </is>
      </c>
      <c r="B33" s="20" t="inlineStr">
        <is>
          <t>Advanced Clean</t>
        </is>
      </c>
      <c r="C33" s="20" t="inlineStr">
        <is>
          <t>Sonique</t>
        </is>
      </c>
      <c r="D33" s="20" t="inlineStr">
        <is>
          <t>Adulte</t>
        </is>
      </c>
      <c r="E33" s="21" t="n">
        <v>31000</v>
      </c>
      <c r="F33" s="21" t="n">
        <v>31000</v>
      </c>
      <c r="G33" s="22" t="n">
        <v>5</v>
      </c>
      <c r="H33" s="22" t="n">
        <v>21</v>
      </c>
      <c r="I33" s="22" t="n">
        <v>700</v>
      </c>
      <c r="J33" s="20" t="inlineStr">
        <is>
          <t>Batterie Li-ion rechargeable</t>
        </is>
      </c>
      <c r="K33" s="20" t="inlineStr">
        <is>
          <t>Inductive (socle)</t>
        </is>
      </c>
      <c r="L33" s="26" t="inlineStr">
        <is>
          <t>N/D</t>
        </is>
      </c>
      <c r="M33" s="20" t="inlineStr">
        <is>
          <t>IPX7</t>
        </is>
      </c>
      <c r="N33" s="20" t="inlineStr">
        <is>
          <t>Non</t>
        </is>
      </c>
      <c r="O33" s="20" t="inlineStr">
        <is>
          <t>Aucun</t>
        </is>
      </c>
      <c r="P33" s="20" t="inlineStr">
        <is>
          <t>Non</t>
        </is>
      </c>
      <c r="Q33" s="23" t="n">
        <v>213</v>
      </c>
      <c r="R33" s="20" t="inlineStr">
        <is>
          <t>26.4*27.6*255 ; chargeur 400 : 62*62*41</t>
        </is>
      </c>
      <c r="S33" s="24" t="inlineStr">
        <is>
          <t>Moteur à lévitation magnétique amplitude 6 mm, double moteur magnétique, système super silencieux</t>
        </is>
      </c>
      <c r="T33" s="25" t="n">
        <v>19</v>
      </c>
      <c r="U33" s="12" t="inlineStr">
        <is>
          <t>Sonicare ProtectiveClean 4100 (HX6817)</t>
        </is>
      </c>
      <c r="V33" s="12" t="inlineStr">
        <is>
          <t>Philips</t>
        </is>
      </c>
      <c r="W33" s="12" t="inlineStr">
        <is>
          <t>Sonique</t>
        </is>
      </c>
      <c r="X33" s="12" t="inlineStr">
        <is>
          <t>31 000 strokes/min (62 000 mouvements/min)</t>
        </is>
      </c>
      <c r="Y33" s="12" t="inlineStr">
        <is>
          <t>1 mode Clean (2 intensités selon version)</t>
        </is>
      </c>
      <c r="Z33" s="12" t="n">
        <v>14</v>
      </c>
      <c r="AA33" s="12" t="inlineStr">
        <is>
          <t>IPX7</t>
        </is>
      </c>
      <c r="AB33" s="12" t="inlineStr">
        <is>
          <t>Oui (alerte sonore)</t>
        </is>
      </c>
      <c r="AC33" s="12" t="inlineStr">
        <is>
          <t>Socle inductif</t>
        </is>
      </c>
      <c r="AD33" s="12" t="inlineStr">
        <is>
          <t>EAU (Noon, vérifié)</t>
        </is>
      </c>
      <c r="AE33" s="12" t="inlineStr">
        <is>
          <t>Noon UAE, pharmacies et GMS</t>
        </is>
      </c>
      <c r="AF33" s="13" t="inlineStr">
        <is>
          <t>https://www.usa.philips.com/c-p/HX6817_01/sonicare-protectiveclean-4100-sonic-electric-toothbrush</t>
        </is>
      </c>
      <c r="AG33" s="13" t="inlineStr">
        <is>
          <t>https://www.noon.com/uae-en/beauty/personal-care-16343/oral-hygiene/power-toothbrushes/philips_sonicare/</t>
        </is>
      </c>
      <c r="AH33" s="12" t="inlineStr">
        <is>
          <t>Rapprochement sur la charge par socle inductif et le positionnement premium du segment sonique. Technologie BrushSync (rappel de remplacement de tête). Référence premium du segment sonique.</t>
        </is>
      </c>
      <c r="AI33" s="14" t="n"/>
      <c r="AJ33" s="14" t="n"/>
      <c r="AK33" s="15" t="n"/>
      <c r="AL33" s="16" t="n"/>
      <c r="AM33" s="15" t="n"/>
      <c r="AN33" s="17">
        <f>IF(OR(AJ33="",AI33=""),"",AJ33-AI33)</f>
        <v/>
      </c>
      <c r="AO33" s="18">
        <f>IF(OR(AJ33="",AI33="",AI33=0),"",(AJ33-AI33)/AI33)</f>
        <v/>
      </c>
      <c r="AP33" s="19">
        <f>IF(AO33="","",IF(AO33&lt;-0.05,"Moins cher",IF(AO33&gt;0.05,"Plus cher","Équivalent")))</f>
        <v/>
      </c>
    </row>
    <row r="34">
      <c r="A34" s="5" t="inlineStr">
        <is>
          <t>SG-972</t>
        </is>
      </c>
      <c r="B34" s="5" t="inlineStr">
        <is>
          <t>Advanced Clean</t>
        </is>
      </c>
      <c r="C34" s="5" t="inlineStr">
        <is>
          <t>Sonique</t>
        </is>
      </c>
      <c r="D34" s="5" t="inlineStr">
        <is>
          <t>Adulte</t>
        </is>
      </c>
      <c r="E34" s="6" t="n">
        <v>35000</v>
      </c>
      <c r="F34" s="6" t="n">
        <v>42000</v>
      </c>
      <c r="G34" s="7" t="n">
        <v>5</v>
      </c>
      <c r="H34" s="7" t="n">
        <v>21</v>
      </c>
      <c r="I34" s="7" t="n">
        <v>700</v>
      </c>
      <c r="J34" s="5" t="inlineStr">
        <is>
          <t>Batterie Li-ion rechargeable</t>
        </is>
      </c>
      <c r="K34" s="5" t="inlineStr">
        <is>
          <t>USB ou inductive</t>
        </is>
      </c>
      <c r="L34" s="8" t="inlineStr">
        <is>
          <t>N/D</t>
        </is>
      </c>
      <c r="M34" s="5" t="inlineStr">
        <is>
          <t>IPX7</t>
        </is>
      </c>
      <c r="N34" s="5" t="inlineStr">
        <is>
          <t>Non</t>
        </is>
      </c>
      <c r="O34" s="5" t="inlineStr">
        <is>
          <t>Aucun</t>
        </is>
      </c>
      <c r="P34" s="5" t="inlineStr">
        <is>
          <t>Non</t>
        </is>
      </c>
      <c r="Q34" s="9" t="n">
        <v>102</v>
      </c>
      <c r="R34" s="5" t="inlineStr">
        <is>
          <t>26.9*26.4*253</t>
        </is>
      </c>
      <c r="S34" s="10" t="inlineStr">
        <is>
          <t>Moteur à lévitation magnétique amplitude 6 mm, impression intégrale du manche possible, double moteur magnétique</t>
        </is>
      </c>
      <c r="T34" s="11" t="n">
        <v>19</v>
      </c>
      <c r="U34" s="12" t="inlineStr">
        <is>
          <t>Brosse sonique USB 6 modes, 4 têtes</t>
        </is>
      </c>
      <c r="V34" s="12" t="inlineStr">
        <is>
          <t>Addigoes (marketplace)</t>
        </is>
      </c>
      <c r="W34" s="12" t="inlineStr">
        <is>
          <t>Sonique</t>
        </is>
      </c>
      <c r="X34" s="12" t="inlineStr">
        <is>
          <t>42 000 vibrations/min</t>
        </is>
      </c>
      <c r="Y34" s="12" t="inlineStr">
        <is>
          <t>6 modes</t>
        </is>
      </c>
      <c r="Z34" s="12" t="n">
        <v>60</v>
      </c>
      <c r="AA34" s="12" t="inlineStr">
        <is>
          <t>Étanche (indice non précisé)</t>
        </is>
      </c>
      <c r="AB34" s="12" t="inlineStr">
        <is>
          <t>Non</t>
        </is>
      </c>
      <c r="AC34" s="12" t="inlineStr">
        <is>
          <t>USB</t>
        </is>
      </c>
      <c r="AD34" s="12" t="inlineStr">
        <is>
          <t>Côte d'Ivoire (Jumia, vérifié)</t>
        </is>
      </c>
      <c r="AE34" s="12" t="inlineStr">
        <is>
          <t>Jumia CI</t>
        </is>
      </c>
      <c r="AF34" s="13" t="inlineStr">
        <is>
          <t>https://www.jumia.ci/addigoes-brosse-a-dents-electrique-sonique-rechargeable-usb-6-modes-etanche-haute-frequence-4-tetes-de-brosse-nettoyage-dentaire-professionnel-noir-30497266.html</t>
        </is>
      </c>
      <c r="AG34" s="13" t="inlineStr">
        <is>
          <t>https://www.jumia.ci/brosse-a-dents-electrique/</t>
        </is>
      </c>
      <c r="AH34" s="12" t="inlineStr">
        <is>
          <t>Rapprochement sur la haute fréquence (40 000 mouvements/min et plus) et le nombre élevé de modes. Amplitude 6 mm annoncée et pack 4 têtes, concurrent frontal des SEAGO à moteur magnétique.</t>
        </is>
      </c>
      <c r="AI34" s="14" t="n"/>
      <c r="AJ34" s="14" t="n"/>
      <c r="AK34" s="15" t="n"/>
      <c r="AL34" s="16" t="n"/>
      <c r="AM34" s="15" t="n"/>
      <c r="AN34" s="17">
        <f>IF(OR(AJ34="",AI34=""),"",AJ34-AI34)</f>
        <v/>
      </c>
      <c r="AO34" s="18">
        <f>IF(OR(AJ34="",AI34="",AI34=0),"",(AJ34-AI34)/AI34)</f>
        <v/>
      </c>
      <c r="AP34" s="19">
        <f>IF(AO34="","",IF(AO34&lt;-0.05,"Moins cher",IF(AO34&gt;0.05,"Plus cher","Équivalent")))</f>
        <v/>
      </c>
    </row>
    <row r="35">
      <c r="A35" s="20" t="inlineStr">
        <is>
          <t>SG-987</t>
        </is>
      </c>
      <c r="B35" s="20" t="inlineStr">
        <is>
          <t>Advanced Clean</t>
        </is>
      </c>
      <c r="C35" s="20" t="inlineStr">
        <is>
          <t>Sonique</t>
        </is>
      </c>
      <c r="D35" s="20" t="inlineStr">
        <is>
          <t>Adulte</t>
        </is>
      </c>
      <c r="E35" s="21" t="n">
        <v>31000</v>
      </c>
      <c r="F35" s="21" t="n">
        <v>31000</v>
      </c>
      <c r="G35" s="22" t="n">
        <v>3</v>
      </c>
      <c r="H35" s="27" t="inlineStr">
        <is>
          <t>N/D</t>
        </is>
      </c>
      <c r="I35" s="22" t="n">
        <v>700</v>
      </c>
      <c r="J35" s="20" t="inlineStr">
        <is>
          <t>Batterie Li-ion rechargeable</t>
        </is>
      </c>
      <c r="K35" s="20" t="inlineStr">
        <is>
          <t>Inductive (socle)</t>
        </is>
      </c>
      <c r="L35" s="26" t="inlineStr">
        <is>
          <t>N/D</t>
        </is>
      </c>
      <c r="M35" s="20" t="inlineStr">
        <is>
          <t>IPX7</t>
        </is>
      </c>
      <c r="N35" s="20" t="inlineStr">
        <is>
          <t>Non</t>
        </is>
      </c>
      <c r="O35" s="20" t="inlineStr">
        <is>
          <t>Aucun</t>
        </is>
      </c>
      <c r="P35" s="20" t="inlineStr">
        <is>
          <t>Non</t>
        </is>
      </c>
      <c r="Q35" s="23" t="n">
        <v>210</v>
      </c>
      <c r="R35" s="20" t="inlineStr">
        <is>
          <t>28.3*27.6*252.5 ; chargeur 400 : 62*62*41</t>
        </is>
      </c>
      <c r="S35" s="24" t="inlineStr">
        <is>
          <t>Design diamant, moteur à lévitation magnétique amplitude 6 mm, double moteur magnétique, système super silencieux</t>
        </is>
      </c>
      <c r="T35" s="25" t="n">
        <v>20</v>
      </c>
      <c r="U35" s="12" t="inlineStr">
        <is>
          <t>Sonicare ProtectiveClean 4100 (HX6817)</t>
        </is>
      </c>
      <c r="V35" s="12" t="inlineStr">
        <is>
          <t>Philips</t>
        </is>
      </c>
      <c r="W35" s="12" t="inlineStr">
        <is>
          <t>Sonique</t>
        </is>
      </c>
      <c r="X35" s="12" t="inlineStr">
        <is>
          <t>31 000 strokes/min (62 000 mouvements/min)</t>
        </is>
      </c>
      <c r="Y35" s="12" t="inlineStr">
        <is>
          <t>1 mode Clean (2 intensités selon version)</t>
        </is>
      </c>
      <c r="Z35" s="12" t="n">
        <v>14</v>
      </c>
      <c r="AA35" s="12" t="inlineStr">
        <is>
          <t>IPX7</t>
        </is>
      </c>
      <c r="AB35" s="12" t="inlineStr">
        <is>
          <t>Oui (alerte sonore)</t>
        </is>
      </c>
      <c r="AC35" s="12" t="inlineStr">
        <is>
          <t>Socle inductif</t>
        </is>
      </c>
      <c r="AD35" s="12" t="inlineStr">
        <is>
          <t>EAU (Noon, vérifié)</t>
        </is>
      </c>
      <c r="AE35" s="12" t="inlineStr">
        <is>
          <t>Noon UAE, pharmacies et GMS</t>
        </is>
      </c>
      <c r="AF35" s="13" t="inlineStr">
        <is>
          <t>https://www.usa.philips.com/c-p/HX6817_01/sonicare-protectiveclean-4100-sonic-electric-toothbrush</t>
        </is>
      </c>
      <c r="AG35" s="13" t="inlineStr">
        <is>
          <t>https://www.noon.com/uae-en/beauty/personal-care-16343/oral-hygiene/power-toothbrushes/philips_sonicare/</t>
        </is>
      </c>
      <c r="AH35" s="12" t="inlineStr">
        <is>
          <t>Rapprochement sur la charge par socle inductif et le positionnement premium du segment sonique. Technologie BrushSync (rappel de remplacement de tête). Référence premium du segment sonique.</t>
        </is>
      </c>
      <c r="AI35" s="14" t="n"/>
      <c r="AJ35" s="14" t="n"/>
      <c r="AK35" s="15" t="n"/>
      <c r="AL35" s="16" t="n"/>
      <c r="AM35" s="15" t="n"/>
      <c r="AN35" s="17">
        <f>IF(OR(AJ35="",AI35=""),"",AJ35-AI35)</f>
        <v/>
      </c>
      <c r="AO35" s="18">
        <f>IF(OR(AJ35="",AI35="",AI35=0),"",(AJ35-AI35)/AI35)</f>
        <v/>
      </c>
      <c r="AP35" s="19">
        <f>IF(AO35="","",IF(AO35&lt;-0.05,"Moins cher",IF(AO35&gt;0.05,"Plus cher","Équivalent")))</f>
        <v/>
      </c>
    </row>
    <row r="36">
      <c r="A36" s="5" t="inlineStr">
        <is>
          <t>SG-585</t>
        </is>
      </c>
      <c r="B36" s="5" t="inlineStr">
        <is>
          <t>Advanced Clean</t>
        </is>
      </c>
      <c r="C36" s="5" t="inlineStr">
        <is>
          <t>Sonique</t>
        </is>
      </c>
      <c r="D36" s="5" t="inlineStr">
        <is>
          <t>Adulte</t>
        </is>
      </c>
      <c r="E36" s="6" t="n">
        <v>35000</v>
      </c>
      <c r="F36" s="6" t="n">
        <v>35000</v>
      </c>
      <c r="G36" s="7" t="n">
        <v>3</v>
      </c>
      <c r="H36" s="7" t="n">
        <v>21</v>
      </c>
      <c r="I36" s="7" t="n">
        <v>600</v>
      </c>
      <c r="J36" s="5" t="inlineStr">
        <is>
          <t>Batterie Li-ion rechargeable</t>
        </is>
      </c>
      <c r="K36" s="5" t="inlineStr">
        <is>
          <t>Magnétique</t>
        </is>
      </c>
      <c r="L36" s="8" t="inlineStr">
        <is>
          <t>N/D</t>
        </is>
      </c>
      <c r="M36" s="5" t="inlineStr">
        <is>
          <t>IPX7</t>
        </is>
      </c>
      <c r="N36" s="5" t="inlineStr">
        <is>
          <t>Non</t>
        </is>
      </c>
      <c r="O36" s="5" t="inlineStr">
        <is>
          <t>Aucun</t>
        </is>
      </c>
      <c r="P36" s="5" t="inlineStr">
        <is>
          <t>Non</t>
        </is>
      </c>
      <c r="Q36" s="9" t="n">
        <v>80</v>
      </c>
      <c r="R36" s="5" t="inlineStr">
        <is>
          <t>23.8*21.1*193.3</t>
        </is>
      </c>
      <c r="S36" s="10" t="inlineStr">
        <is>
          <t>Format voyage, moteur à lévitation magnétique, charge par aimantation, double moteur magnétique</t>
        </is>
      </c>
      <c r="T36" s="11" t="n">
        <v>20</v>
      </c>
      <c r="U36" s="12" t="inlineStr">
        <is>
          <t>Brosse à dents électrique sonique durable</t>
        </is>
      </c>
      <c r="V36" s="12" t="inlineStr">
        <is>
          <t>Suri (marketplace)</t>
        </is>
      </c>
      <c r="W36" s="12" t="inlineStr">
        <is>
          <t>Sonique</t>
        </is>
      </c>
      <c r="X36" s="12" t="inlineStr">
        <is>
          <t>40 000 VPM</t>
        </is>
      </c>
      <c r="Y36" s="12" t="inlineStr">
        <is>
          <t>5 modes (Clean, White, Polish, Soft, Gum Care)</t>
        </is>
      </c>
      <c r="Z36" s="12" t="n">
        <v>30</v>
      </c>
      <c r="AA36" s="29" t="inlineStr">
        <is>
          <t>N/D</t>
        </is>
      </c>
      <c r="AB36" s="12" t="inlineStr">
        <is>
          <t>Non</t>
        </is>
      </c>
      <c r="AC36" s="12" t="inlineStr">
        <is>
          <t>Li-ion, charge rapide 4 h</t>
        </is>
      </c>
      <c r="AD36" s="12" t="inlineStr">
        <is>
          <t>Côte d'Ivoire (Jumia, vérifié)</t>
        </is>
      </c>
      <c r="AE36" s="12" t="inlineStr">
        <is>
          <t>Jumia CI</t>
        </is>
      </c>
      <c r="AF36" s="13" t="inlineStr">
        <is>
          <t>https://www.jumia.ci/slp/brosse-a-dents-electrique-durable-suri</t>
        </is>
      </c>
      <c r="AG36" s="13" t="inlineStr">
        <is>
          <t>https://www.jumia.ci/brosse-a-dents-electrique/</t>
        </is>
      </c>
      <c r="AH36" s="12" t="inlineStr">
        <is>
          <t>Rapprochement sur le positionnement marketplace : specs proches, marque non installée. Offre marketplace au positionnement identique à SEAGO : mêmes specs annoncées, marque non installée.</t>
        </is>
      </c>
      <c r="AI36" s="14" t="n"/>
      <c r="AJ36" s="14" t="n"/>
      <c r="AK36" s="15" t="n"/>
      <c r="AL36" s="16" t="n"/>
      <c r="AM36" s="15" t="n"/>
      <c r="AN36" s="17">
        <f>IF(OR(AJ36="",AI36=""),"",AJ36-AI36)</f>
        <v/>
      </c>
      <c r="AO36" s="18">
        <f>IF(OR(AJ36="",AI36="",AI36=0),"",(AJ36-AI36)/AI36)</f>
        <v/>
      </c>
      <c r="AP36" s="19">
        <f>IF(AO36="","",IF(AO36&lt;-0.05,"Moins cher",IF(AO36&gt;0.05,"Plus cher","Équivalent")))</f>
        <v/>
      </c>
    </row>
    <row r="37">
      <c r="A37" s="20" t="inlineStr">
        <is>
          <t>SG-539</t>
        </is>
      </c>
      <c r="B37" s="20" t="inlineStr">
        <is>
          <t>Advanced Clean</t>
        </is>
      </c>
      <c r="C37" s="20" t="inlineStr">
        <is>
          <t>Sonique</t>
        </is>
      </c>
      <c r="D37" s="20" t="inlineStr">
        <is>
          <t>Adulte (senior)</t>
        </is>
      </c>
      <c r="E37" s="21" t="n">
        <v>32000</v>
      </c>
      <c r="F37" s="21" t="n">
        <v>42000</v>
      </c>
      <c r="G37" s="22" t="n">
        <v>2</v>
      </c>
      <c r="H37" s="22" t="n">
        <v>21</v>
      </c>
      <c r="I37" s="22" t="n">
        <v>700</v>
      </c>
      <c r="J37" s="20" t="inlineStr">
        <is>
          <t>Batterie Li-ion rechargeable</t>
        </is>
      </c>
      <c r="K37" s="20" t="inlineStr">
        <is>
          <t>Inductive (socle)</t>
        </is>
      </c>
      <c r="L37" s="26" t="inlineStr">
        <is>
          <t>N/D</t>
        </is>
      </c>
      <c r="M37" s="20" t="inlineStr">
        <is>
          <t>IPX7</t>
        </is>
      </c>
      <c r="N37" s="20" t="inlineStr">
        <is>
          <t>Non</t>
        </is>
      </c>
      <c r="O37" s="20" t="inlineStr">
        <is>
          <t>Aucun</t>
        </is>
      </c>
      <c r="P37" s="20" t="inlineStr">
        <is>
          <t>Oui</t>
        </is>
      </c>
      <c r="Q37" s="23" t="n">
        <v>244</v>
      </c>
      <c r="R37" s="20" t="inlineStr">
        <is>
          <t>34.0*29.8*220</t>
        </is>
      </c>
      <c r="S37" s="24" t="inlineStr">
        <is>
          <t>Utilisation simplifiée pensée pour les seniors, moteur à lévitation magnétique amplitude 6 mm, étui de voyage fourni</t>
        </is>
      </c>
      <c r="T37" s="25" t="n">
        <v>21</v>
      </c>
      <c r="U37" s="12" t="inlineStr">
        <is>
          <t>Sonicare ProtectiveClean 4100 (HX6817)</t>
        </is>
      </c>
      <c r="V37" s="12" t="inlineStr">
        <is>
          <t>Philips</t>
        </is>
      </c>
      <c r="W37" s="12" t="inlineStr">
        <is>
          <t>Sonique</t>
        </is>
      </c>
      <c r="X37" s="12" t="inlineStr">
        <is>
          <t>31 000 strokes/min (62 000 mouvements/min)</t>
        </is>
      </c>
      <c r="Y37" s="12" t="inlineStr">
        <is>
          <t>1 mode Clean (2 intensités selon version)</t>
        </is>
      </c>
      <c r="Z37" s="12" t="n">
        <v>14</v>
      </c>
      <c r="AA37" s="12" t="inlineStr">
        <is>
          <t>IPX7</t>
        </is>
      </c>
      <c r="AB37" s="12" t="inlineStr">
        <is>
          <t>Oui (alerte sonore)</t>
        </is>
      </c>
      <c r="AC37" s="12" t="inlineStr">
        <is>
          <t>Socle inductif</t>
        </is>
      </c>
      <c r="AD37" s="12" t="inlineStr">
        <is>
          <t>EAU (Noon, vérifié)</t>
        </is>
      </c>
      <c r="AE37" s="12" t="inlineStr">
        <is>
          <t>Noon UAE, pharmacies et GMS</t>
        </is>
      </c>
      <c r="AF37" s="13" t="inlineStr">
        <is>
          <t>https://www.usa.philips.com/c-p/HX6817_01/sonicare-protectiveclean-4100-sonic-electric-toothbrush</t>
        </is>
      </c>
      <c r="AG37" s="13" t="inlineStr">
        <is>
          <t>https://www.noon.com/uae-en/beauty/personal-care-16343/oral-hygiene/power-toothbrushes/philips_sonicare/</t>
        </is>
      </c>
      <c r="AH37" s="12" t="inlineStr">
        <is>
          <t>Rapprochement sur la charge par socle inductif et le positionnement premium du segment sonique. Technologie BrushSync (rappel de remplacement de tête). Référence premium du segment sonique.</t>
        </is>
      </c>
      <c r="AI37" s="14" t="n"/>
      <c r="AJ37" s="14" t="n"/>
      <c r="AK37" s="15" t="n"/>
      <c r="AL37" s="16" t="n"/>
      <c r="AM37" s="15" t="n"/>
      <c r="AN37" s="17">
        <f>IF(OR(AJ37="",AI37=""),"",AJ37-AI37)</f>
        <v/>
      </c>
      <c r="AO37" s="18">
        <f>IF(OR(AJ37="",AI37="",AI37=0),"",(AJ37-AI37)/AI37)</f>
        <v/>
      </c>
      <c r="AP37" s="19">
        <f>IF(AO37="","",IF(AO37&lt;-0.05,"Moins cher",IF(AO37&gt;0.05,"Plus cher","Équivalent")))</f>
        <v/>
      </c>
    </row>
    <row r="38">
      <c r="A38" s="5" t="inlineStr">
        <is>
          <t>SG-540</t>
        </is>
      </c>
      <c r="B38" s="5" t="inlineStr">
        <is>
          <t>Advanced Clean</t>
        </is>
      </c>
      <c r="C38" s="5" t="inlineStr">
        <is>
          <t>Sonique</t>
        </is>
      </c>
      <c r="D38" s="5" t="inlineStr">
        <is>
          <t>Adulte</t>
        </is>
      </c>
      <c r="E38" s="6" t="n">
        <v>32000</v>
      </c>
      <c r="F38" s="6" t="n">
        <v>42000</v>
      </c>
      <c r="G38" s="7" t="n">
        <v>5</v>
      </c>
      <c r="H38" s="7" t="n">
        <v>21</v>
      </c>
      <c r="I38" s="7" t="n">
        <v>700</v>
      </c>
      <c r="J38" s="5" t="inlineStr">
        <is>
          <t>Batterie Li-ion rechargeable</t>
        </is>
      </c>
      <c r="K38" s="5" t="inlineStr">
        <is>
          <t>Inductive (socle) ou USB</t>
        </is>
      </c>
      <c r="L38" s="8" t="inlineStr">
        <is>
          <t>N/D</t>
        </is>
      </c>
      <c r="M38" s="5" t="inlineStr">
        <is>
          <t>IPX7</t>
        </is>
      </c>
      <c r="N38" s="5" t="inlineStr">
        <is>
          <t>Non</t>
        </is>
      </c>
      <c r="O38" s="5" t="inlineStr">
        <is>
          <t>Aucun</t>
        </is>
      </c>
      <c r="P38" s="5" t="inlineStr">
        <is>
          <t>Non</t>
        </is>
      </c>
      <c r="Q38" s="9" t="n">
        <v>220</v>
      </c>
      <c r="R38" s="5" t="inlineStr">
        <is>
          <t>27.2*28.6*226</t>
        </is>
      </c>
      <c r="S38" s="10" t="inlineStr">
        <is>
          <t>Moteur à lévitation magnétique amplitude 6 mm, manche antidérapant, double moteur magnétique, version USB en option</t>
        </is>
      </c>
      <c r="T38" s="11" t="n">
        <v>21</v>
      </c>
      <c r="U38" s="12" t="inlineStr">
        <is>
          <t>Sonicare ProtectiveClean 4100 (HX6817)</t>
        </is>
      </c>
      <c r="V38" s="12" t="inlineStr">
        <is>
          <t>Philips</t>
        </is>
      </c>
      <c r="W38" s="12" t="inlineStr">
        <is>
          <t>Sonique</t>
        </is>
      </c>
      <c r="X38" s="12" t="inlineStr">
        <is>
          <t>31 000 strokes/min (62 000 mouvements/min)</t>
        </is>
      </c>
      <c r="Y38" s="12" t="inlineStr">
        <is>
          <t>1 mode Clean (2 intensités selon version)</t>
        </is>
      </c>
      <c r="Z38" s="12" t="n">
        <v>14</v>
      </c>
      <c r="AA38" s="12" t="inlineStr">
        <is>
          <t>IPX7</t>
        </is>
      </c>
      <c r="AB38" s="12" t="inlineStr">
        <is>
          <t>Oui (alerte sonore)</t>
        </is>
      </c>
      <c r="AC38" s="12" t="inlineStr">
        <is>
          <t>Socle inductif</t>
        </is>
      </c>
      <c r="AD38" s="12" t="inlineStr">
        <is>
          <t>EAU (Noon, vérifié)</t>
        </is>
      </c>
      <c r="AE38" s="12" t="inlineStr">
        <is>
          <t>Noon UAE, pharmacies et GMS</t>
        </is>
      </c>
      <c r="AF38" s="13" t="inlineStr">
        <is>
          <t>https://www.usa.philips.com/c-p/HX6817_01/sonicare-protectiveclean-4100-sonic-electric-toothbrush</t>
        </is>
      </c>
      <c r="AG38" s="13" t="inlineStr">
        <is>
          <t>https://www.noon.com/uae-en/beauty/personal-care-16343/oral-hygiene/power-toothbrushes/philips_sonicare/</t>
        </is>
      </c>
      <c r="AH38" s="12" t="inlineStr">
        <is>
          <t>Rapprochement sur la charge par socle inductif et le positionnement premium du segment sonique. Technologie BrushSync (rappel de remplacement de tête). Référence premium du segment sonique.</t>
        </is>
      </c>
      <c r="AI38" s="14" t="n"/>
      <c r="AJ38" s="14" t="n"/>
      <c r="AK38" s="15" t="n"/>
      <c r="AL38" s="16" t="n"/>
      <c r="AM38" s="15" t="n"/>
      <c r="AN38" s="17">
        <f>IF(OR(AJ38="",AI38=""),"",AJ38-AI38)</f>
        <v/>
      </c>
      <c r="AO38" s="18">
        <f>IF(OR(AJ38="",AI38="",AI38=0),"",(AJ38-AI38)/AI38)</f>
        <v/>
      </c>
      <c r="AP38" s="19">
        <f>IF(AO38="","",IF(AO38&lt;-0.05,"Moins cher",IF(AO38&gt;0.05,"Plus cher","Équivalent")))</f>
        <v/>
      </c>
    </row>
    <row r="39">
      <c r="A39" s="20" t="inlineStr">
        <is>
          <t>SG-2316</t>
        </is>
      </c>
      <c r="B39" s="20" t="inlineStr">
        <is>
          <t>Pro Sonic</t>
        </is>
      </c>
      <c r="C39" s="20" t="inlineStr">
        <is>
          <t>Sonique</t>
        </is>
      </c>
      <c r="D39" s="20" t="inlineStr">
        <is>
          <t>Adulte</t>
        </is>
      </c>
      <c r="E39" s="21" t="n">
        <v>35000</v>
      </c>
      <c r="F39" s="21" t="n">
        <v>35000</v>
      </c>
      <c r="G39" s="22" t="n">
        <v>3</v>
      </c>
      <c r="H39" s="22" t="n">
        <v>30</v>
      </c>
      <c r="I39" s="22" t="n">
        <v>360</v>
      </c>
      <c r="J39" s="20" t="inlineStr">
        <is>
          <t>Batterie Li-ion rechargeable</t>
        </is>
      </c>
      <c r="K39" s="20" t="inlineStr">
        <is>
          <t>Type-C</t>
        </is>
      </c>
      <c r="L39" s="23" t="n">
        <v>2.5</v>
      </c>
      <c r="M39" s="20" t="inlineStr">
        <is>
          <t>IPX7</t>
        </is>
      </c>
      <c r="N39" s="20" t="inlineStr">
        <is>
          <t>Non</t>
        </is>
      </c>
      <c r="O39" s="20" t="inlineStr">
        <is>
          <t>Aucun</t>
        </is>
      </c>
      <c r="P39" s="20" t="inlineStr">
        <is>
          <t>Oui</t>
        </is>
      </c>
      <c r="Q39" s="23" t="n">
        <v>167</v>
      </c>
      <c r="R39" s="20" t="inlineStr">
        <is>
          <t>25*25*224</t>
        </is>
      </c>
      <c r="S39" s="24" t="inlineStr">
        <is>
          <t>Charge rapide 2,5 h pour 30 jours, rappel de remplacement de tête, tête sans cuivre</t>
        </is>
      </c>
      <c r="T39" s="25" t="n">
        <v>24</v>
      </c>
      <c r="U39" s="12" t="inlineStr">
        <is>
          <t>Brosse à dents électrique sonique durable</t>
        </is>
      </c>
      <c r="V39" s="12" t="inlineStr">
        <is>
          <t>Suri (marketplace)</t>
        </is>
      </c>
      <c r="W39" s="12" t="inlineStr">
        <is>
          <t>Sonique</t>
        </is>
      </c>
      <c r="X39" s="12" t="inlineStr">
        <is>
          <t>40 000 VPM</t>
        </is>
      </c>
      <c r="Y39" s="12" t="inlineStr">
        <is>
          <t>5 modes (Clean, White, Polish, Soft, Gum Care)</t>
        </is>
      </c>
      <c r="Z39" s="12" t="n">
        <v>30</v>
      </c>
      <c r="AA39" s="29" t="inlineStr">
        <is>
          <t>N/D</t>
        </is>
      </c>
      <c r="AB39" s="12" t="inlineStr">
        <is>
          <t>Non</t>
        </is>
      </c>
      <c r="AC39" s="12" t="inlineStr">
        <is>
          <t>Li-ion, charge rapide 4 h</t>
        </is>
      </c>
      <c r="AD39" s="12" t="inlineStr">
        <is>
          <t>Côte d'Ivoire (Jumia, vérifié)</t>
        </is>
      </c>
      <c r="AE39" s="12" t="inlineStr">
        <is>
          <t>Jumia CI</t>
        </is>
      </c>
      <c r="AF39" s="13" t="inlineStr">
        <is>
          <t>https://www.jumia.ci/slp/brosse-a-dents-electrique-durable-suri</t>
        </is>
      </c>
      <c r="AG39" s="13" t="inlineStr">
        <is>
          <t>https://www.jumia.ci/brosse-a-dents-electrique/</t>
        </is>
      </c>
      <c r="AH39" s="12" t="inlineStr">
        <is>
          <t>Rapprochement sur le positionnement marketplace : specs proches, marque non installée. Offre marketplace au positionnement identique à SEAGO : mêmes specs annoncées, marque non installée.</t>
        </is>
      </c>
      <c r="AI39" s="14" t="n"/>
      <c r="AJ39" s="14" t="n"/>
      <c r="AK39" s="15" t="n"/>
      <c r="AL39" s="16" t="n"/>
      <c r="AM39" s="15" t="n"/>
      <c r="AN39" s="17">
        <f>IF(OR(AJ39="",AI39=""),"",AJ39-AI39)</f>
        <v/>
      </c>
      <c r="AO39" s="18">
        <f>IF(OR(AJ39="",AI39="",AI39=0),"",(AJ39-AI39)/AI39)</f>
        <v/>
      </c>
      <c r="AP39" s="19">
        <f>IF(AO39="","",IF(AO39&lt;-0.05,"Moins cher",IF(AO39&gt;0.05,"Plus cher","Équivalent")))</f>
        <v/>
      </c>
    </row>
    <row r="40">
      <c r="A40" s="5" t="inlineStr">
        <is>
          <t>SG-2320</t>
        </is>
      </c>
      <c r="B40" s="5" t="inlineStr">
        <is>
          <t>Pro Sonic</t>
        </is>
      </c>
      <c r="C40" s="5" t="inlineStr">
        <is>
          <t>Sonique</t>
        </is>
      </c>
      <c r="D40" s="5" t="inlineStr">
        <is>
          <t>Adulte</t>
        </is>
      </c>
      <c r="E40" s="6" t="n">
        <v>35000</v>
      </c>
      <c r="F40" s="6" t="n">
        <v>35000</v>
      </c>
      <c r="G40" s="7" t="n">
        <v>5</v>
      </c>
      <c r="H40" s="7" t="n">
        <v>200</v>
      </c>
      <c r="I40" s="7" t="n">
        <v>2000</v>
      </c>
      <c r="J40" s="5" t="inlineStr">
        <is>
          <t>Batterie Li-ion rechargeable</t>
        </is>
      </c>
      <c r="K40" s="5" t="inlineStr">
        <is>
          <t>USB</t>
        </is>
      </c>
      <c r="L40" s="9" t="n">
        <v>8</v>
      </c>
      <c r="M40" s="5" t="inlineStr">
        <is>
          <t>IPX7</t>
        </is>
      </c>
      <c r="N40" s="5" t="inlineStr">
        <is>
          <t>Non</t>
        </is>
      </c>
      <c r="O40" s="5" t="inlineStr">
        <is>
          <t>Indicateur batterie</t>
        </is>
      </c>
      <c r="P40" s="5" t="inlineStr">
        <is>
          <t>Oui</t>
        </is>
      </c>
      <c r="Q40" s="9" t="n">
        <v>115.1</v>
      </c>
      <c r="R40" s="5" t="inlineStr">
        <is>
          <t>201.3*29.2*27.0</t>
        </is>
      </c>
      <c r="S40" s="10" t="inlineStr">
        <is>
          <t>Charge 8 h pour 200 jours (2x/j 2 min), mémoire intelligente, protection surcharge et décharge profonde</t>
        </is>
      </c>
      <c r="T40" s="11" t="n">
        <v>24</v>
      </c>
      <c r="U40" s="12" t="inlineStr">
        <is>
          <t>Y1S Sonic</t>
        </is>
      </c>
      <c r="V40" s="12" t="inlineStr">
        <is>
          <t>usmile</t>
        </is>
      </c>
      <c r="W40" s="12" t="inlineStr">
        <is>
          <t>Sonique</t>
        </is>
      </c>
      <c r="X40" s="12" t="inlineStr">
        <is>
          <t>38 000 vibrations/min</t>
        </is>
      </c>
      <c r="Y40" s="12" t="inlineStr">
        <is>
          <t>3 modes (Clean, White, Soft)</t>
        </is>
      </c>
      <c r="Z40" s="12" t="n">
        <v>180</v>
      </c>
      <c r="AA40" s="12" t="inlineStr">
        <is>
          <t>IPX7</t>
        </is>
      </c>
      <c r="AB40" s="12" t="inlineStr">
        <is>
          <t>Non</t>
        </is>
      </c>
      <c r="AC40" s="12" t="inlineStr">
        <is>
          <t>USB Type-C</t>
        </is>
      </c>
      <c r="AD40" s="12" t="inlineStr">
        <is>
          <t>Non vérifié sur les marchés cibles</t>
        </is>
      </c>
      <c r="AE40" s="12" t="inlineStr">
        <is>
          <t>Marketplaces, retail spécialisé</t>
        </is>
      </c>
      <c r="AF40" s="13" t="inlineStr">
        <is>
          <t>https://www.usmile.com/electrictoothbrush/info.html?id=4</t>
        </is>
      </c>
      <c r="AG40" s="13" t="inlineStr">
        <is>
          <t>https://www.ada.org/resources/research/science/ada-seal-of-acceptance/product-search/a065e00000BWImYAAX/usmile-sonic-electric-toothbrush-y1s</t>
        </is>
      </c>
      <c r="AH40" s="12" t="inlineStr">
        <is>
          <t>Rapprochement sur l'argument longue autonomie (au-delà de 100 jours). Référence de l'argument longue autonomie (180 jours), acceptée par l'American Dental Association.</t>
        </is>
      </c>
      <c r="AI40" s="14" t="n"/>
      <c r="AJ40" s="14" t="n"/>
      <c r="AK40" s="15" t="n"/>
      <c r="AL40" s="16" t="n"/>
      <c r="AM40" s="15" t="n"/>
      <c r="AN40" s="17">
        <f>IF(OR(AJ40="",AI40=""),"",AJ40-AI40)</f>
        <v/>
      </c>
      <c r="AO40" s="18">
        <f>IF(OR(AJ40="",AI40="",AI40=0),"",(AJ40-AI40)/AI40)</f>
        <v/>
      </c>
      <c r="AP40" s="19">
        <f>IF(AO40="","",IF(AO40&lt;-0.05,"Moins cher",IF(AO40&gt;0.05,"Plus cher","Équivalent")))</f>
        <v/>
      </c>
    </row>
    <row r="41">
      <c r="A41" s="20" t="inlineStr">
        <is>
          <t>SG-2318</t>
        </is>
      </c>
      <c r="B41" s="20" t="inlineStr">
        <is>
          <t>Pro Sonic</t>
        </is>
      </c>
      <c r="C41" s="20" t="inlineStr">
        <is>
          <t>Sonique</t>
        </is>
      </c>
      <c r="D41" s="20" t="inlineStr">
        <is>
          <t>Adulte</t>
        </is>
      </c>
      <c r="E41" s="21" t="n">
        <v>40000</v>
      </c>
      <c r="F41" s="21" t="n">
        <v>40000</v>
      </c>
      <c r="G41" s="22" t="n">
        <v>3</v>
      </c>
      <c r="H41" s="22" t="n">
        <v>90</v>
      </c>
      <c r="I41" s="27" t="inlineStr">
        <is>
          <t>N/D</t>
        </is>
      </c>
      <c r="J41" s="20" t="inlineStr">
        <is>
          <t>Piles (2x AAA)</t>
        </is>
      </c>
      <c r="K41" s="20" t="inlineStr">
        <is>
          <t>Piles</t>
        </is>
      </c>
      <c r="L41" s="26" t="inlineStr">
        <is>
          <t>N/D</t>
        </is>
      </c>
      <c r="M41" s="20" t="inlineStr">
        <is>
          <t>IPX7</t>
        </is>
      </c>
      <c r="N41" s="20" t="inlineStr">
        <is>
          <t>Non</t>
        </is>
      </c>
      <c r="O41" s="20" t="inlineStr">
        <is>
          <t>Aucun</t>
        </is>
      </c>
      <c r="P41" s="20" t="inlineStr">
        <is>
          <t>Oui</t>
        </is>
      </c>
      <c r="Q41" s="23" t="n">
        <v>59.4</v>
      </c>
      <c r="R41" s="20" t="inlineStr">
        <is>
          <t>22*22*218</t>
        </is>
      </c>
      <c r="S41" s="24" t="inlineStr">
        <is>
          <t>Tête de brosse remplaçable, poids indiqué piles comprises</t>
        </is>
      </c>
      <c r="T41" s="25" t="n">
        <v>25</v>
      </c>
      <c r="U41" s="12" t="inlineStr">
        <is>
          <t>ProClinical 150 (Charcoal / Deep Clean)</t>
        </is>
      </c>
      <c r="V41" s="12" t="inlineStr">
        <is>
          <t>Colgate</t>
        </is>
      </c>
      <c r="W41" s="12" t="inlineStr">
        <is>
          <t>Sonique à piles</t>
        </is>
      </c>
      <c r="X41" s="12" t="inlineStr">
        <is>
          <t>20 000 strokes/min</t>
        </is>
      </c>
      <c r="Y41" s="12" t="inlineStr">
        <is>
          <t>1 mode</t>
        </is>
      </c>
      <c r="Z41" s="29" t="inlineStr">
        <is>
          <t>N/D</t>
        </is>
      </c>
      <c r="AA41" s="29" t="inlineStr">
        <is>
          <t>N/D</t>
        </is>
      </c>
      <c r="AB41" s="12" t="inlineStr">
        <is>
          <t>Non</t>
        </is>
      </c>
      <c r="AC41" s="12" t="inlineStr">
        <is>
          <t>2 piles AAA</t>
        </is>
      </c>
      <c r="AD41" s="12" t="inlineStr">
        <is>
          <t>Non vérifié sur les marchés cibles (marque Colgate largement distribuée en GMS et pharmacie)</t>
        </is>
      </c>
      <c r="AE41" s="12" t="inlineStr">
        <is>
          <t>GMS, pharmacies</t>
        </is>
      </c>
      <c r="AF41" s="13" t="inlineStr">
        <is>
          <t>https://www.colgate.com/en-my/products/toothbrush/colgate-proclinical-150-charcoal-battery-powered-toothbrush</t>
        </is>
      </c>
      <c r="AG41" s="13" t="inlineStr">
        <is>
          <t>https://www.colgate.com/en-my/products/toothbrush/colgate-proclinical-150-deepclean-battery-powered-toothbrush</t>
        </is>
      </c>
      <c r="AH41" s="12" t="inlineStr">
        <is>
          <t>Rapprochement sur l'alimentation à piles et le positionnement prix d'entrée de gamme. Concurrent de référence du segment SEAGO à piles : marque installée, prix d'entrée, tête remplaçable.</t>
        </is>
      </c>
      <c r="AI41" s="14" t="n"/>
      <c r="AJ41" s="14" t="n"/>
      <c r="AK41" s="15" t="n"/>
      <c r="AL41" s="16" t="n"/>
      <c r="AM41" s="15" t="n"/>
      <c r="AN41" s="17">
        <f>IF(OR(AJ41="",AI41=""),"",AJ41-AI41)</f>
        <v/>
      </c>
      <c r="AO41" s="18">
        <f>IF(OR(AJ41="",AI41="",AI41=0),"",(AJ41-AI41)/AI41)</f>
        <v/>
      </c>
      <c r="AP41" s="19">
        <f>IF(AO41="","",IF(AO41&lt;-0.05,"Moins cher",IF(AO41&gt;0.05,"Plus cher","Équivalent")))</f>
        <v/>
      </c>
    </row>
    <row r="42">
      <c r="A42" s="5" t="inlineStr">
        <is>
          <t>SG-2319</t>
        </is>
      </c>
      <c r="B42" s="5" t="inlineStr">
        <is>
          <t>Pro Sonic</t>
        </is>
      </c>
      <c r="C42" s="5" t="inlineStr">
        <is>
          <t>Sonique</t>
        </is>
      </c>
      <c r="D42" s="5" t="inlineStr">
        <is>
          <t>Adulte</t>
        </is>
      </c>
      <c r="E42" s="6" t="n">
        <v>40000</v>
      </c>
      <c r="F42" s="6" t="n">
        <v>40000</v>
      </c>
      <c r="G42" s="7" t="n">
        <v>3</v>
      </c>
      <c r="H42" s="7" t="n">
        <v>150</v>
      </c>
      <c r="I42" s="30" t="inlineStr">
        <is>
          <t>N/D</t>
        </is>
      </c>
      <c r="J42" s="5" t="inlineStr">
        <is>
          <t>Piles (2x AA)</t>
        </is>
      </c>
      <c r="K42" s="5" t="inlineStr">
        <is>
          <t>Piles</t>
        </is>
      </c>
      <c r="L42" s="8" t="inlineStr">
        <is>
          <t>N/D</t>
        </is>
      </c>
      <c r="M42" s="5" t="inlineStr">
        <is>
          <t>IPX7</t>
        </is>
      </c>
      <c r="N42" s="5" t="inlineStr">
        <is>
          <t>Non</t>
        </is>
      </c>
      <c r="O42" s="5" t="inlineStr">
        <is>
          <t>Aucun</t>
        </is>
      </c>
      <c r="P42" s="5" t="inlineStr">
        <is>
          <t>Oui</t>
        </is>
      </c>
      <c r="Q42" s="9" t="n">
        <v>91.40000000000001</v>
      </c>
      <c r="R42" s="5" t="inlineStr">
        <is>
          <t>26*26*227</t>
        </is>
      </c>
      <c r="S42" s="10" t="inlineStr">
        <is>
          <t>Tête de brosse remplaçable, poids indiqué piles comprises</t>
        </is>
      </c>
      <c r="T42" s="11" t="n">
        <v>25</v>
      </c>
      <c r="U42" s="12" t="inlineStr">
        <is>
          <t>ProClinical 150 (Charcoal / Deep Clean)</t>
        </is>
      </c>
      <c r="V42" s="12" t="inlineStr">
        <is>
          <t>Colgate</t>
        </is>
      </c>
      <c r="W42" s="12" t="inlineStr">
        <is>
          <t>Sonique à piles</t>
        </is>
      </c>
      <c r="X42" s="12" t="inlineStr">
        <is>
          <t>20 000 strokes/min</t>
        </is>
      </c>
      <c r="Y42" s="12" t="inlineStr">
        <is>
          <t>1 mode</t>
        </is>
      </c>
      <c r="Z42" s="29" t="inlineStr">
        <is>
          <t>N/D</t>
        </is>
      </c>
      <c r="AA42" s="29" t="inlineStr">
        <is>
          <t>N/D</t>
        </is>
      </c>
      <c r="AB42" s="12" t="inlineStr">
        <is>
          <t>Non</t>
        </is>
      </c>
      <c r="AC42" s="12" t="inlineStr">
        <is>
          <t>2 piles AAA</t>
        </is>
      </c>
      <c r="AD42" s="12" t="inlineStr">
        <is>
          <t>Non vérifié sur les marchés cibles (marque Colgate largement distribuée en GMS et pharmacie)</t>
        </is>
      </c>
      <c r="AE42" s="12" t="inlineStr">
        <is>
          <t>GMS, pharmacies</t>
        </is>
      </c>
      <c r="AF42" s="13" t="inlineStr">
        <is>
          <t>https://www.colgate.com/en-my/products/toothbrush/colgate-proclinical-150-charcoal-battery-powered-toothbrush</t>
        </is>
      </c>
      <c r="AG42" s="13" t="inlineStr">
        <is>
          <t>https://www.colgate.com/en-my/products/toothbrush/colgate-proclinical-150-deepclean-battery-powered-toothbrush</t>
        </is>
      </c>
      <c r="AH42" s="12" t="inlineStr">
        <is>
          <t>Rapprochement sur l'alimentation à piles et le positionnement prix d'entrée de gamme. Concurrent de référence du segment SEAGO à piles : marque installée, prix d'entrée, tête remplaçable.</t>
        </is>
      </c>
      <c r="AI42" s="14" t="n"/>
      <c r="AJ42" s="14" t="n"/>
      <c r="AK42" s="15" t="n"/>
      <c r="AL42" s="16" t="n"/>
      <c r="AM42" s="15" t="n"/>
      <c r="AN42" s="17">
        <f>IF(OR(AJ42="",AI42=""),"",AJ42-AI42)</f>
        <v/>
      </c>
      <c r="AO42" s="18">
        <f>IF(OR(AJ42="",AI42="",AI42=0),"",(AJ42-AI42)/AI42)</f>
        <v/>
      </c>
      <c r="AP42" s="19">
        <f>IF(AO42="","",IF(AO42&lt;-0.05,"Moins cher",IF(AO42&gt;0.05,"Plus cher","Équivalent")))</f>
        <v/>
      </c>
    </row>
    <row r="43">
      <c r="A43" s="20" t="inlineStr">
        <is>
          <t>SG-917</t>
        </is>
      </c>
      <c r="B43" s="20" t="inlineStr">
        <is>
          <t>Pro Sonic</t>
        </is>
      </c>
      <c r="C43" s="20" t="inlineStr">
        <is>
          <t>Sonique</t>
        </is>
      </c>
      <c r="D43" s="20" t="inlineStr">
        <is>
          <t>Adulte</t>
        </is>
      </c>
      <c r="E43" s="21" t="n">
        <v>40000</v>
      </c>
      <c r="F43" s="21" t="n">
        <v>40000</v>
      </c>
      <c r="G43" s="22" t="n">
        <v>3</v>
      </c>
      <c r="H43" s="22" t="n">
        <v>25</v>
      </c>
      <c r="I43" s="22" t="n">
        <v>260</v>
      </c>
      <c r="J43" s="20" t="inlineStr">
        <is>
          <t>Batterie Li-ion rechargeable</t>
        </is>
      </c>
      <c r="K43" s="20" t="inlineStr">
        <is>
          <t>Adaptateur DC12V</t>
        </is>
      </c>
      <c r="L43" s="26" t="inlineStr">
        <is>
          <t>N/D</t>
        </is>
      </c>
      <c r="M43" s="20" t="inlineStr">
        <is>
          <t>IPX7</t>
        </is>
      </c>
      <c r="N43" s="20" t="inlineStr">
        <is>
          <t>Non</t>
        </is>
      </c>
      <c r="O43" s="20" t="inlineStr">
        <is>
          <t>Aucun</t>
        </is>
      </c>
      <c r="P43" s="20" t="inlineStr">
        <is>
          <t>Oui</t>
        </is>
      </c>
      <c r="Q43" s="23" t="n">
        <v>227.5</v>
      </c>
      <c r="R43" s="20" t="inlineStr">
        <is>
          <t>126*62*261</t>
        </is>
      </c>
      <c r="S43" s="24" t="inlineStr">
        <is>
          <t>Stérilisateur UVC intégré 6-8 min (99,9 % des germes, dont SARS et H1N1), tube UVC à cathode froide longue durée, 3 modes (super, normal, massage)</t>
        </is>
      </c>
      <c r="T43" s="25" t="n">
        <v>26</v>
      </c>
      <c r="U43" s="12" t="inlineStr">
        <is>
          <t>Brosse à dents électrique sonique durable</t>
        </is>
      </c>
      <c r="V43" s="12" t="inlineStr">
        <is>
          <t>Suri (marketplace)</t>
        </is>
      </c>
      <c r="W43" s="12" t="inlineStr">
        <is>
          <t>Sonique</t>
        </is>
      </c>
      <c r="X43" s="12" t="inlineStr">
        <is>
          <t>40 000 VPM</t>
        </is>
      </c>
      <c r="Y43" s="12" t="inlineStr">
        <is>
          <t>5 modes (Clean, White, Polish, Soft, Gum Care)</t>
        </is>
      </c>
      <c r="Z43" s="12" t="n">
        <v>30</v>
      </c>
      <c r="AA43" s="29" t="inlineStr">
        <is>
          <t>N/D</t>
        </is>
      </c>
      <c r="AB43" s="12" t="inlineStr">
        <is>
          <t>Non</t>
        </is>
      </c>
      <c r="AC43" s="12" t="inlineStr">
        <is>
          <t>Li-ion, charge rapide 4 h</t>
        </is>
      </c>
      <c r="AD43" s="12" t="inlineStr">
        <is>
          <t>Côte d'Ivoire (Jumia, vérifié)</t>
        </is>
      </c>
      <c r="AE43" s="12" t="inlineStr">
        <is>
          <t>Jumia CI</t>
        </is>
      </c>
      <c r="AF43" s="13" t="inlineStr">
        <is>
          <t>https://www.jumia.ci/slp/brosse-a-dents-electrique-durable-suri</t>
        </is>
      </c>
      <c r="AG43" s="13" t="inlineStr">
        <is>
          <t>https://www.jumia.ci/brosse-a-dents-electrique/</t>
        </is>
      </c>
      <c r="AH43" s="12" t="inlineStr">
        <is>
          <t>Rapprochement sur le positionnement marketplace : specs proches, marque non installée. Offre marketplace au positionnement identique à SEAGO : mêmes specs annoncées, marque non installée.</t>
        </is>
      </c>
      <c r="AI43" s="14" t="n"/>
      <c r="AJ43" s="14" t="n"/>
      <c r="AK43" s="15" t="n"/>
      <c r="AL43" s="16" t="n"/>
      <c r="AM43" s="15" t="n"/>
      <c r="AN43" s="17">
        <f>IF(OR(AJ43="",AI43=""),"",AJ43-AI43)</f>
        <v/>
      </c>
      <c r="AO43" s="18">
        <f>IF(OR(AJ43="",AI43="",AI43=0),"",(AJ43-AI43)/AI43)</f>
        <v/>
      </c>
      <c r="AP43" s="19">
        <f>IF(AO43="","",IF(AO43&lt;-0.05,"Moins cher",IF(AO43&gt;0.05,"Plus cher","Équivalent")))</f>
        <v/>
      </c>
    </row>
    <row r="44">
      <c r="A44" s="5" t="inlineStr">
        <is>
          <t>SG-508</t>
        </is>
      </c>
      <c r="B44" s="5" t="inlineStr">
        <is>
          <t>Pro Sonic</t>
        </is>
      </c>
      <c r="C44" s="5" t="inlineStr">
        <is>
          <t>Sonique</t>
        </is>
      </c>
      <c r="D44" s="5" t="inlineStr">
        <is>
          <t>Adulte</t>
        </is>
      </c>
      <c r="E44" s="6" t="n">
        <v>40000</v>
      </c>
      <c r="F44" s="6" t="n">
        <v>40000</v>
      </c>
      <c r="G44" s="7" t="n">
        <v>5</v>
      </c>
      <c r="H44" s="7" t="n">
        <v>25</v>
      </c>
      <c r="I44" s="30" t="inlineStr">
        <is>
          <t>N/D</t>
        </is>
      </c>
      <c r="J44" s="5" t="inlineStr">
        <is>
          <t>Batterie Li-ion rechargeable</t>
        </is>
      </c>
      <c r="K44" s="5" t="inlineStr">
        <is>
          <t>USB + sans fil (socle en option)</t>
        </is>
      </c>
      <c r="L44" s="8" t="inlineStr">
        <is>
          <t>N/D</t>
        </is>
      </c>
      <c r="M44" s="5" t="inlineStr">
        <is>
          <t>IPX7</t>
        </is>
      </c>
      <c r="N44" s="5" t="inlineStr">
        <is>
          <t>Non</t>
        </is>
      </c>
      <c r="O44" s="5" t="inlineStr">
        <is>
          <t>Aucun</t>
        </is>
      </c>
      <c r="P44" s="5" t="inlineStr">
        <is>
          <t>Oui</t>
        </is>
      </c>
      <c r="Q44" s="9" t="n">
        <v>75</v>
      </c>
      <c r="R44" s="5" t="inlineStr">
        <is>
          <t>25.4*26.5*233</t>
        </is>
      </c>
      <c r="S44" s="10" t="inlineStr">
        <is>
          <t>Socle de charge sans fil en option (USB ou inductif), mémoire intelligente</t>
        </is>
      </c>
      <c r="T44" s="11" t="n">
        <v>26</v>
      </c>
      <c r="U44" s="12" t="inlineStr">
        <is>
          <t>Brosse sonique USB 6 modes, 4 têtes</t>
        </is>
      </c>
      <c r="V44" s="12" t="inlineStr">
        <is>
          <t>Addigoes (marketplace)</t>
        </is>
      </c>
      <c r="W44" s="12" t="inlineStr">
        <is>
          <t>Sonique</t>
        </is>
      </c>
      <c r="X44" s="12" t="inlineStr">
        <is>
          <t>42 000 vibrations/min</t>
        </is>
      </c>
      <c r="Y44" s="12" t="inlineStr">
        <is>
          <t>6 modes</t>
        </is>
      </c>
      <c r="Z44" s="12" t="n">
        <v>60</v>
      </c>
      <c r="AA44" s="12" t="inlineStr">
        <is>
          <t>Étanche (indice non précisé)</t>
        </is>
      </c>
      <c r="AB44" s="12" t="inlineStr">
        <is>
          <t>Non</t>
        </is>
      </c>
      <c r="AC44" s="12" t="inlineStr">
        <is>
          <t>USB</t>
        </is>
      </c>
      <c r="AD44" s="12" t="inlineStr">
        <is>
          <t>Côte d'Ivoire (Jumia, vérifié)</t>
        </is>
      </c>
      <c r="AE44" s="12" t="inlineStr">
        <is>
          <t>Jumia CI</t>
        </is>
      </c>
      <c r="AF44" s="13" t="inlineStr">
        <is>
          <t>https://www.jumia.ci/addigoes-brosse-a-dents-electrique-sonique-rechargeable-usb-6-modes-etanche-haute-frequence-4-tetes-de-brosse-nettoyage-dentaire-professionnel-noir-30497266.html</t>
        </is>
      </c>
      <c r="AG44" s="13" t="inlineStr">
        <is>
          <t>https://www.jumia.ci/brosse-a-dents-electrique/</t>
        </is>
      </c>
      <c r="AH44" s="12" t="inlineStr">
        <is>
          <t>Rapprochement sur la haute fréquence (40 000 mouvements/min et plus) et le nombre élevé de modes. Amplitude 6 mm annoncée et pack 4 têtes, concurrent frontal des SEAGO à moteur magnétique.</t>
        </is>
      </c>
      <c r="AI44" s="14" t="n"/>
      <c r="AJ44" s="14" t="n"/>
      <c r="AK44" s="15" t="n"/>
      <c r="AL44" s="16" t="n"/>
      <c r="AM44" s="15" t="n"/>
      <c r="AN44" s="17">
        <f>IF(OR(AJ44="",AI44=""),"",AJ44-AI44)</f>
        <v/>
      </c>
      <c r="AO44" s="18">
        <f>IF(OR(AJ44="",AI44="",AI44=0),"",(AJ44-AI44)/AI44)</f>
        <v/>
      </c>
      <c r="AP44" s="19">
        <f>IF(AO44="","",IF(AO44&lt;-0.05,"Moins cher",IF(AO44&gt;0.05,"Plus cher","Équivalent")))</f>
        <v/>
      </c>
    </row>
    <row r="45">
      <c r="A45" s="20" t="inlineStr">
        <is>
          <t>SG-949</t>
        </is>
      </c>
      <c r="B45" s="20" t="inlineStr">
        <is>
          <t>Pro Sonic</t>
        </is>
      </c>
      <c r="C45" s="20" t="inlineStr">
        <is>
          <t>Sonique</t>
        </is>
      </c>
      <c r="D45" s="20" t="inlineStr">
        <is>
          <t>Adulte</t>
        </is>
      </c>
      <c r="E45" s="21" t="n">
        <v>40000</v>
      </c>
      <c r="F45" s="21" t="n">
        <v>40000</v>
      </c>
      <c r="G45" s="22" t="n">
        <v>5</v>
      </c>
      <c r="H45" s="22" t="n">
        <v>25</v>
      </c>
      <c r="I45" s="22" t="n">
        <v>260</v>
      </c>
      <c r="J45" s="20" t="inlineStr">
        <is>
          <t>Batterie Li-ion rechargeable</t>
        </is>
      </c>
      <c r="K45" s="20" t="inlineStr">
        <is>
          <t>USB</t>
        </is>
      </c>
      <c r="L45" s="26" t="inlineStr">
        <is>
          <t>N/D</t>
        </is>
      </c>
      <c r="M45" s="20" t="inlineStr">
        <is>
          <t>IPX7</t>
        </is>
      </c>
      <c r="N45" s="20" t="inlineStr">
        <is>
          <t>Non</t>
        </is>
      </c>
      <c r="O45" s="20" t="inlineStr">
        <is>
          <t>Aucun</t>
        </is>
      </c>
      <c r="P45" s="20" t="inlineStr">
        <is>
          <t>Oui</t>
        </is>
      </c>
      <c r="Q45" s="23" t="n">
        <v>78.5</v>
      </c>
      <c r="R45" s="20" t="inlineStr">
        <is>
          <t>26.2*26.2*225</t>
        </is>
      </c>
      <c r="S45" s="24" t="inlineStr">
        <is>
          <t>Mémoire intelligente, alerte batterie faible</t>
        </is>
      </c>
      <c r="T45" s="25" t="n">
        <v>27</v>
      </c>
      <c r="U45" s="12" t="inlineStr">
        <is>
          <t>Brosse sonique USB 6 modes, 4 têtes</t>
        </is>
      </c>
      <c r="V45" s="12" t="inlineStr">
        <is>
          <t>Addigoes (marketplace)</t>
        </is>
      </c>
      <c r="W45" s="12" t="inlineStr">
        <is>
          <t>Sonique</t>
        </is>
      </c>
      <c r="X45" s="12" t="inlineStr">
        <is>
          <t>42 000 vibrations/min</t>
        </is>
      </c>
      <c r="Y45" s="12" t="inlineStr">
        <is>
          <t>6 modes</t>
        </is>
      </c>
      <c r="Z45" s="12" t="n">
        <v>60</v>
      </c>
      <c r="AA45" s="12" t="inlineStr">
        <is>
          <t>Étanche (indice non précisé)</t>
        </is>
      </c>
      <c r="AB45" s="12" t="inlineStr">
        <is>
          <t>Non</t>
        </is>
      </c>
      <c r="AC45" s="12" t="inlineStr">
        <is>
          <t>USB</t>
        </is>
      </c>
      <c r="AD45" s="12" t="inlineStr">
        <is>
          <t>Côte d'Ivoire (Jumia, vérifié)</t>
        </is>
      </c>
      <c r="AE45" s="12" t="inlineStr">
        <is>
          <t>Jumia CI</t>
        </is>
      </c>
      <c r="AF45" s="13" t="inlineStr">
        <is>
          <t>https://www.jumia.ci/addigoes-brosse-a-dents-electrique-sonique-rechargeable-usb-6-modes-etanche-haute-frequence-4-tetes-de-brosse-nettoyage-dentaire-professionnel-noir-30497266.html</t>
        </is>
      </c>
      <c r="AG45" s="13" t="inlineStr">
        <is>
          <t>https://www.jumia.ci/brosse-a-dents-electrique/</t>
        </is>
      </c>
      <c r="AH45" s="12" t="inlineStr">
        <is>
          <t>Rapprochement sur la haute fréquence (40 000 mouvements/min et plus) et le nombre élevé de modes. Amplitude 6 mm annoncée et pack 4 têtes, concurrent frontal des SEAGO à moteur magnétique.</t>
        </is>
      </c>
      <c r="AI45" s="14" t="n"/>
      <c r="AJ45" s="14" t="n"/>
      <c r="AK45" s="15" t="n"/>
      <c r="AL45" s="16" t="n"/>
      <c r="AM45" s="15" t="n"/>
      <c r="AN45" s="17">
        <f>IF(OR(AJ45="",AI45=""),"",AJ45-AI45)</f>
        <v/>
      </c>
      <c r="AO45" s="18">
        <f>IF(OR(AJ45="",AI45="",AI45=0),"",(AJ45-AI45)/AI45)</f>
        <v/>
      </c>
      <c r="AP45" s="19">
        <f>IF(AO45="","",IF(AO45&lt;-0.05,"Moins cher",IF(AO45&gt;0.05,"Plus cher","Équivalent")))</f>
        <v/>
      </c>
    </row>
    <row r="46">
      <c r="A46" s="5" t="inlineStr">
        <is>
          <t>SG-575</t>
        </is>
      </c>
      <c r="B46" s="5" t="inlineStr">
        <is>
          <t>Pro Sonic</t>
        </is>
      </c>
      <c r="C46" s="5" t="inlineStr">
        <is>
          <t>Sonique</t>
        </is>
      </c>
      <c r="D46" s="5" t="inlineStr">
        <is>
          <t>Adulte</t>
        </is>
      </c>
      <c r="E46" s="6" t="n">
        <v>40000</v>
      </c>
      <c r="F46" s="6" t="n">
        <v>40000</v>
      </c>
      <c r="G46" s="7" t="n">
        <v>5</v>
      </c>
      <c r="H46" s="7" t="n">
        <v>300</v>
      </c>
      <c r="I46" s="7" t="n">
        <v>1500</v>
      </c>
      <c r="J46" s="5" t="inlineStr">
        <is>
          <t>Batterie Li-ion rechargeable</t>
        </is>
      </c>
      <c r="K46" s="5" t="inlineStr">
        <is>
          <t>USB</t>
        </is>
      </c>
      <c r="L46" s="9" t="n">
        <v>8</v>
      </c>
      <c r="M46" s="5" t="inlineStr">
        <is>
          <t>IPX7</t>
        </is>
      </c>
      <c r="N46" s="5" t="inlineStr">
        <is>
          <t>Non</t>
        </is>
      </c>
      <c r="O46" s="5" t="inlineStr">
        <is>
          <t>Indicateur batterie</t>
        </is>
      </c>
      <c r="P46" s="5" t="inlineStr">
        <is>
          <t>Oui</t>
        </is>
      </c>
      <c r="Q46" s="9" t="n">
        <v>109</v>
      </c>
      <c r="R46" s="5" t="inlineStr">
        <is>
          <t>28.7*266*240 (valeur catalogue)</t>
        </is>
      </c>
      <c r="S46" s="10" t="inlineStr">
        <is>
          <t>Charge 8 h pour 300 jours (2x/j 2 min), batterie surdimensionnée, mémoire intelligente</t>
        </is>
      </c>
      <c r="T46" s="11" t="n">
        <v>27</v>
      </c>
      <c r="U46" s="12" t="inlineStr">
        <is>
          <t>Y1S Sonic</t>
        </is>
      </c>
      <c r="V46" s="12" t="inlineStr">
        <is>
          <t>usmile</t>
        </is>
      </c>
      <c r="W46" s="12" t="inlineStr">
        <is>
          <t>Sonique</t>
        </is>
      </c>
      <c r="X46" s="12" t="inlineStr">
        <is>
          <t>38 000 vibrations/min</t>
        </is>
      </c>
      <c r="Y46" s="12" t="inlineStr">
        <is>
          <t>3 modes (Clean, White, Soft)</t>
        </is>
      </c>
      <c r="Z46" s="12" t="n">
        <v>180</v>
      </c>
      <c r="AA46" s="12" t="inlineStr">
        <is>
          <t>IPX7</t>
        </is>
      </c>
      <c r="AB46" s="12" t="inlineStr">
        <is>
          <t>Non</t>
        </is>
      </c>
      <c r="AC46" s="12" t="inlineStr">
        <is>
          <t>USB Type-C</t>
        </is>
      </c>
      <c r="AD46" s="12" t="inlineStr">
        <is>
          <t>Non vérifié sur les marchés cibles</t>
        </is>
      </c>
      <c r="AE46" s="12" t="inlineStr">
        <is>
          <t>Marketplaces, retail spécialisé</t>
        </is>
      </c>
      <c r="AF46" s="13" t="inlineStr">
        <is>
          <t>https://www.usmile.com/electrictoothbrush/info.html?id=4</t>
        </is>
      </c>
      <c r="AG46" s="13" t="inlineStr">
        <is>
          <t>https://www.ada.org/resources/research/science/ada-seal-of-acceptance/product-search/a065e00000BWImYAAX/usmile-sonic-electric-toothbrush-y1s</t>
        </is>
      </c>
      <c r="AH46" s="12" t="inlineStr">
        <is>
          <t>Rapprochement sur l'argument longue autonomie (au-delà de 100 jours). Référence de l'argument longue autonomie (180 jours), acceptée par l'American Dental Association.</t>
        </is>
      </c>
      <c r="AI46" s="14" t="n"/>
      <c r="AJ46" s="14" t="n"/>
      <c r="AK46" s="15" t="n"/>
      <c r="AL46" s="16" t="n"/>
      <c r="AM46" s="15" t="n"/>
      <c r="AN46" s="17">
        <f>IF(OR(AJ46="",AI46=""),"",AJ46-AI46)</f>
        <v/>
      </c>
      <c r="AO46" s="18">
        <f>IF(OR(AJ46="",AI46="",AI46=0),"",(AJ46-AI46)/AI46)</f>
        <v/>
      </c>
      <c r="AP46" s="19">
        <f>IF(AO46="","",IF(AO46&lt;-0.05,"Moins cher",IF(AO46&gt;0.05,"Plus cher","Équivalent")))</f>
        <v/>
      </c>
    </row>
    <row r="47">
      <c r="A47" s="20" t="inlineStr">
        <is>
          <t>SG-2303</t>
        </is>
      </c>
      <c r="B47" s="20" t="inlineStr">
        <is>
          <t>Pro Sonic</t>
        </is>
      </c>
      <c r="C47" s="20" t="inlineStr">
        <is>
          <t>Sonique</t>
        </is>
      </c>
      <c r="D47" s="20" t="inlineStr">
        <is>
          <t>Adulte</t>
        </is>
      </c>
      <c r="E47" s="21" t="n">
        <v>40000</v>
      </c>
      <c r="F47" s="21" t="n">
        <v>40000</v>
      </c>
      <c r="G47" s="22" t="n">
        <v>5</v>
      </c>
      <c r="H47" s="22" t="n">
        <v>60</v>
      </c>
      <c r="I47" s="22" t="n">
        <v>700</v>
      </c>
      <c r="J47" s="20" t="inlineStr">
        <is>
          <t>Batterie Li-ion rechargeable</t>
        </is>
      </c>
      <c r="K47" s="20" t="inlineStr">
        <is>
          <t>USB</t>
        </is>
      </c>
      <c r="L47" s="23" t="n">
        <v>4</v>
      </c>
      <c r="M47" s="20" t="inlineStr">
        <is>
          <t>IPX7</t>
        </is>
      </c>
      <c r="N47" s="20" t="inlineStr">
        <is>
          <t>Non</t>
        </is>
      </c>
      <c r="O47" s="20" t="inlineStr">
        <is>
          <t>Indicateur batterie</t>
        </is>
      </c>
      <c r="P47" s="20" t="inlineStr">
        <is>
          <t>Oui</t>
        </is>
      </c>
      <c r="Q47" s="23" t="n">
        <v>77</v>
      </c>
      <c r="R47" s="20" t="inlineStr">
        <is>
          <t>22.6*23.8*230</t>
        </is>
      </c>
      <c r="S47" s="24" t="inlineStr">
        <is>
          <t>Charge 4 h pour 60 jours (2x/j 2 min), mémoire intelligente</t>
        </is>
      </c>
      <c r="T47" s="25" t="n">
        <v>28</v>
      </c>
      <c r="U47" s="12" t="inlineStr">
        <is>
          <t>Brosse sonique USB 6 modes, 4 têtes</t>
        </is>
      </c>
      <c r="V47" s="12" t="inlineStr">
        <is>
          <t>Addigoes (marketplace)</t>
        </is>
      </c>
      <c r="W47" s="12" t="inlineStr">
        <is>
          <t>Sonique</t>
        </is>
      </c>
      <c r="X47" s="12" t="inlineStr">
        <is>
          <t>42 000 vibrations/min</t>
        </is>
      </c>
      <c r="Y47" s="12" t="inlineStr">
        <is>
          <t>6 modes</t>
        </is>
      </c>
      <c r="Z47" s="12" t="n">
        <v>60</v>
      </c>
      <c r="AA47" s="12" t="inlineStr">
        <is>
          <t>Étanche (indice non précisé)</t>
        </is>
      </c>
      <c r="AB47" s="12" t="inlineStr">
        <is>
          <t>Non</t>
        </is>
      </c>
      <c r="AC47" s="12" t="inlineStr">
        <is>
          <t>USB</t>
        </is>
      </c>
      <c r="AD47" s="12" t="inlineStr">
        <is>
          <t>Côte d'Ivoire (Jumia, vérifié)</t>
        </is>
      </c>
      <c r="AE47" s="12" t="inlineStr">
        <is>
          <t>Jumia CI</t>
        </is>
      </c>
      <c r="AF47" s="13" t="inlineStr">
        <is>
          <t>https://www.jumia.ci/addigoes-brosse-a-dents-electrique-sonique-rechargeable-usb-6-modes-etanche-haute-frequence-4-tetes-de-brosse-nettoyage-dentaire-professionnel-noir-30497266.html</t>
        </is>
      </c>
      <c r="AG47" s="13" t="inlineStr">
        <is>
          <t>https://www.jumia.ci/brosse-a-dents-electrique/</t>
        </is>
      </c>
      <c r="AH47" s="12" t="inlineStr">
        <is>
          <t>Rapprochement sur la haute fréquence (40 000 mouvements/min et plus) et le nombre élevé de modes. Amplitude 6 mm annoncée et pack 4 têtes, concurrent frontal des SEAGO à moteur magnétique.</t>
        </is>
      </c>
      <c r="AI47" s="14" t="n"/>
      <c r="AJ47" s="14" t="n"/>
      <c r="AK47" s="15" t="n"/>
      <c r="AL47" s="16" t="n"/>
      <c r="AM47" s="15" t="n"/>
      <c r="AN47" s="17">
        <f>IF(OR(AJ47="",AI47=""),"",AJ47-AI47)</f>
        <v/>
      </c>
      <c r="AO47" s="18">
        <f>IF(OR(AJ47="",AI47="",AI47=0),"",(AJ47-AI47)/AI47)</f>
        <v/>
      </c>
      <c r="AP47" s="19">
        <f>IF(AO47="","",IF(AO47&lt;-0.05,"Moins cher",IF(AO47&gt;0.05,"Plus cher","Équivalent")))</f>
        <v/>
      </c>
    </row>
    <row r="48">
      <c r="A48" s="5" t="inlineStr">
        <is>
          <t>SG-507</t>
        </is>
      </c>
      <c r="B48" s="5" t="inlineStr">
        <is>
          <t>Pro Sonic</t>
        </is>
      </c>
      <c r="C48" s="5" t="inlineStr">
        <is>
          <t>Sonique</t>
        </is>
      </c>
      <c r="D48" s="5" t="inlineStr">
        <is>
          <t>Adulte</t>
        </is>
      </c>
      <c r="E48" s="6" t="n">
        <v>40000</v>
      </c>
      <c r="F48" s="6" t="n">
        <v>40000</v>
      </c>
      <c r="G48" s="7" t="n">
        <v>5</v>
      </c>
      <c r="H48" s="7" t="n">
        <v>25</v>
      </c>
      <c r="I48" s="7" t="n">
        <v>260</v>
      </c>
      <c r="J48" s="5" t="inlineStr">
        <is>
          <t>Batterie Li-ion rechargeable</t>
        </is>
      </c>
      <c r="K48" s="5" t="inlineStr">
        <is>
          <t>USB + sans fil (socle en option)</t>
        </is>
      </c>
      <c r="L48" s="8" t="inlineStr">
        <is>
          <t>N/D</t>
        </is>
      </c>
      <c r="M48" s="5" t="inlineStr">
        <is>
          <t>IPX7</t>
        </is>
      </c>
      <c r="N48" s="5" t="inlineStr">
        <is>
          <t>Non</t>
        </is>
      </c>
      <c r="O48" s="5" t="inlineStr">
        <is>
          <t>Aucun</t>
        </is>
      </c>
      <c r="P48" s="5" t="inlineStr">
        <is>
          <t>Oui</t>
        </is>
      </c>
      <c r="Q48" s="9" t="n">
        <v>77.5</v>
      </c>
      <c r="R48" s="5" t="inlineStr">
        <is>
          <t>25.6*25.5*225</t>
        </is>
      </c>
      <c r="S48" s="10" t="inlineStr">
        <is>
          <t>Socle de charge sans fil en option (USB ou inductif), mémoire intelligente</t>
        </is>
      </c>
      <c r="T48" s="11" t="n">
        <v>28</v>
      </c>
      <c r="U48" s="12" t="inlineStr">
        <is>
          <t>Brosse sonique USB 6 modes, 4 têtes</t>
        </is>
      </c>
      <c r="V48" s="12" t="inlineStr">
        <is>
          <t>Addigoes (marketplace)</t>
        </is>
      </c>
      <c r="W48" s="12" t="inlineStr">
        <is>
          <t>Sonique</t>
        </is>
      </c>
      <c r="X48" s="12" t="inlineStr">
        <is>
          <t>42 000 vibrations/min</t>
        </is>
      </c>
      <c r="Y48" s="12" t="inlineStr">
        <is>
          <t>6 modes</t>
        </is>
      </c>
      <c r="Z48" s="12" t="n">
        <v>60</v>
      </c>
      <c r="AA48" s="12" t="inlineStr">
        <is>
          <t>Étanche (indice non précisé)</t>
        </is>
      </c>
      <c r="AB48" s="12" t="inlineStr">
        <is>
          <t>Non</t>
        </is>
      </c>
      <c r="AC48" s="12" t="inlineStr">
        <is>
          <t>USB</t>
        </is>
      </c>
      <c r="AD48" s="12" t="inlineStr">
        <is>
          <t>Côte d'Ivoire (Jumia, vérifié)</t>
        </is>
      </c>
      <c r="AE48" s="12" t="inlineStr">
        <is>
          <t>Jumia CI</t>
        </is>
      </c>
      <c r="AF48" s="13" t="inlineStr">
        <is>
          <t>https://www.jumia.ci/addigoes-brosse-a-dents-electrique-sonique-rechargeable-usb-6-modes-etanche-haute-frequence-4-tetes-de-brosse-nettoyage-dentaire-professionnel-noir-30497266.html</t>
        </is>
      </c>
      <c r="AG48" s="13" t="inlineStr">
        <is>
          <t>https://www.jumia.ci/brosse-a-dents-electrique/</t>
        </is>
      </c>
      <c r="AH48" s="12" t="inlineStr">
        <is>
          <t>Rapprochement sur la haute fréquence (40 000 mouvements/min et plus) et le nombre élevé de modes. Amplitude 6 mm annoncée et pack 4 têtes, concurrent frontal des SEAGO à moteur magnétique.</t>
        </is>
      </c>
      <c r="AI48" s="14" t="n"/>
      <c r="AJ48" s="14" t="n"/>
      <c r="AK48" s="15" t="n"/>
      <c r="AL48" s="16" t="n"/>
      <c r="AM48" s="15" t="n"/>
      <c r="AN48" s="17">
        <f>IF(OR(AJ48="",AI48=""),"",AJ48-AI48)</f>
        <v/>
      </c>
      <c r="AO48" s="18">
        <f>IF(OR(AJ48="",AI48="",AI48=0),"",(AJ48-AI48)/AI48)</f>
        <v/>
      </c>
      <c r="AP48" s="19">
        <f>IF(AO48="","",IF(AO48&lt;-0.05,"Moins cher",IF(AO48&gt;0.05,"Plus cher","Équivalent")))</f>
        <v/>
      </c>
    </row>
    <row r="49">
      <c r="A49" s="20" t="inlineStr">
        <is>
          <t>SG-958</t>
        </is>
      </c>
      <c r="B49" s="20" t="inlineStr">
        <is>
          <t>Pro Sonic</t>
        </is>
      </c>
      <c r="C49" s="20" t="inlineStr">
        <is>
          <t>Sonique</t>
        </is>
      </c>
      <c r="D49" s="20" t="inlineStr">
        <is>
          <t>Adulte</t>
        </is>
      </c>
      <c r="E49" s="21" t="n">
        <v>40000</v>
      </c>
      <c r="F49" s="21" t="n">
        <v>40000</v>
      </c>
      <c r="G49" s="22" t="n">
        <v>5</v>
      </c>
      <c r="H49" s="22" t="n">
        <v>25</v>
      </c>
      <c r="I49" s="22" t="n">
        <v>260</v>
      </c>
      <c r="J49" s="20" t="inlineStr">
        <is>
          <t>Batterie Li-ion rechargeable</t>
        </is>
      </c>
      <c r="K49" s="20" t="inlineStr">
        <is>
          <t>USB</t>
        </is>
      </c>
      <c r="L49" s="26" t="inlineStr">
        <is>
          <t>N/D</t>
        </is>
      </c>
      <c r="M49" s="20" t="inlineStr">
        <is>
          <t>IPX7</t>
        </is>
      </c>
      <c r="N49" s="20" t="inlineStr">
        <is>
          <t>Non</t>
        </is>
      </c>
      <c r="O49" s="20" t="inlineStr">
        <is>
          <t>Indicateur batterie</t>
        </is>
      </c>
      <c r="P49" s="20" t="inlineStr">
        <is>
          <t>Oui</t>
        </is>
      </c>
      <c r="Q49" s="23" t="n">
        <v>79</v>
      </c>
      <c r="R49" s="20" t="inlineStr">
        <is>
          <t>27.6*26*227</t>
        </is>
      </c>
      <c r="S49" s="24" t="inlineStr">
        <is>
          <t>Mémoire intelligente, alerte batterie faible</t>
        </is>
      </c>
      <c r="T49" s="25" t="n">
        <v>29</v>
      </c>
      <c r="U49" s="12" t="inlineStr">
        <is>
          <t>Brosse sonique USB 6 modes, 4 têtes</t>
        </is>
      </c>
      <c r="V49" s="12" t="inlineStr">
        <is>
          <t>Addigoes (marketplace)</t>
        </is>
      </c>
      <c r="W49" s="12" t="inlineStr">
        <is>
          <t>Sonique</t>
        </is>
      </c>
      <c r="X49" s="12" t="inlineStr">
        <is>
          <t>42 000 vibrations/min</t>
        </is>
      </c>
      <c r="Y49" s="12" t="inlineStr">
        <is>
          <t>6 modes</t>
        </is>
      </c>
      <c r="Z49" s="12" t="n">
        <v>60</v>
      </c>
      <c r="AA49" s="12" t="inlineStr">
        <is>
          <t>Étanche (indice non précisé)</t>
        </is>
      </c>
      <c r="AB49" s="12" t="inlineStr">
        <is>
          <t>Non</t>
        </is>
      </c>
      <c r="AC49" s="12" t="inlineStr">
        <is>
          <t>USB</t>
        </is>
      </c>
      <c r="AD49" s="12" t="inlineStr">
        <is>
          <t>Côte d'Ivoire (Jumia, vérifié)</t>
        </is>
      </c>
      <c r="AE49" s="12" t="inlineStr">
        <is>
          <t>Jumia CI</t>
        </is>
      </c>
      <c r="AF49" s="13" t="inlineStr">
        <is>
          <t>https://www.jumia.ci/addigoes-brosse-a-dents-electrique-sonique-rechargeable-usb-6-modes-etanche-haute-frequence-4-tetes-de-brosse-nettoyage-dentaire-professionnel-noir-30497266.html</t>
        </is>
      </c>
      <c r="AG49" s="13" t="inlineStr">
        <is>
          <t>https://www.jumia.ci/brosse-a-dents-electrique/</t>
        </is>
      </c>
      <c r="AH49" s="12" t="inlineStr">
        <is>
          <t>Rapprochement sur la haute fréquence (40 000 mouvements/min et plus) et le nombre élevé de modes. Amplitude 6 mm annoncée et pack 4 têtes, concurrent frontal des SEAGO à moteur magnétique.</t>
        </is>
      </c>
      <c r="AI49" s="14" t="n"/>
      <c r="AJ49" s="14" t="n"/>
      <c r="AK49" s="15" t="n"/>
      <c r="AL49" s="16" t="n"/>
      <c r="AM49" s="15" t="n"/>
      <c r="AN49" s="17">
        <f>IF(OR(AJ49="",AI49=""),"",AJ49-AI49)</f>
        <v/>
      </c>
      <c r="AO49" s="18">
        <f>IF(OR(AJ49="",AI49="",AI49=0),"",(AJ49-AI49)/AI49)</f>
        <v/>
      </c>
      <c r="AP49" s="19">
        <f>IF(AO49="","",IF(AO49&lt;-0.05,"Moins cher",IF(AO49&gt;0.05,"Plus cher","Équivalent")))</f>
        <v/>
      </c>
    </row>
    <row r="50">
      <c r="A50" s="5" t="inlineStr">
        <is>
          <t>SG-548</t>
        </is>
      </c>
      <c r="B50" s="5" t="inlineStr">
        <is>
          <t>Pro Sonic</t>
        </is>
      </c>
      <c r="C50" s="5" t="inlineStr">
        <is>
          <t>Sonique</t>
        </is>
      </c>
      <c r="D50" s="5" t="inlineStr">
        <is>
          <t>Adulte</t>
        </is>
      </c>
      <c r="E50" s="6" t="n">
        <v>38000</v>
      </c>
      <c r="F50" s="6" t="n">
        <v>38000</v>
      </c>
      <c r="G50" s="7" t="n">
        <v>5</v>
      </c>
      <c r="H50" s="7" t="n">
        <v>25</v>
      </c>
      <c r="I50" s="7" t="n">
        <v>600</v>
      </c>
      <c r="J50" s="5" t="inlineStr">
        <is>
          <t>Batterie Ni-MH rechargeable</t>
        </is>
      </c>
      <c r="K50" s="5" t="inlineStr">
        <is>
          <t>USB</t>
        </is>
      </c>
      <c r="L50" s="9" t="n">
        <v>4</v>
      </c>
      <c r="M50" s="5" t="inlineStr">
        <is>
          <t>IPX7</t>
        </is>
      </c>
      <c r="N50" s="5" t="inlineStr">
        <is>
          <t>Non</t>
        </is>
      </c>
      <c r="O50" s="5" t="inlineStr">
        <is>
          <t>Aucun</t>
        </is>
      </c>
      <c r="P50" s="5" t="inlineStr">
        <is>
          <t>Oui</t>
        </is>
      </c>
      <c r="Q50" s="9" t="n">
        <v>43</v>
      </c>
      <c r="R50" s="5" t="inlineStr">
        <is>
          <t>D20*227</t>
        </is>
      </c>
      <c r="S50" s="10" t="inlineStr">
        <is>
          <t>Charge rapide 3-4 h pour 25 jours, mémoire intelligente, batterie Ni-MH 1,2 V</t>
        </is>
      </c>
      <c r="T50" s="11" t="n">
        <v>29</v>
      </c>
      <c r="U50" s="12" t="inlineStr">
        <is>
          <t>FW-507 Sonic</t>
        </is>
      </c>
      <c r="V50" s="12" t="inlineStr">
        <is>
          <t>Fairywill</t>
        </is>
      </c>
      <c r="W50" s="12" t="inlineStr">
        <is>
          <t>Sonique</t>
        </is>
      </c>
      <c r="X50" s="12" t="inlineStr">
        <is>
          <t>40 000 strokes/min</t>
        </is>
      </c>
      <c r="Y50" s="12" t="inlineStr">
        <is>
          <t>5 modes (Clean, Sensitive, Massage, White, Polish)</t>
        </is>
      </c>
      <c r="Z50" s="12" t="n">
        <v>30</v>
      </c>
      <c r="AA50" s="12" t="inlineStr">
        <is>
          <t>IPX7</t>
        </is>
      </c>
      <c r="AB50" s="12" t="inlineStr">
        <is>
          <t>Non</t>
        </is>
      </c>
      <c r="AC50" s="12" t="inlineStr">
        <is>
          <t>USB, charge 4 h</t>
        </is>
      </c>
      <c r="AD50" s="12" t="inlineStr">
        <is>
          <t>Maroc (Jumia, marque référencée)</t>
        </is>
      </c>
      <c r="AE50" s="12" t="inlineStr">
        <is>
          <t>Jumia, Amazon, marketplaces</t>
        </is>
      </c>
      <c r="AF50" s="13" t="inlineStr">
        <is>
          <t>https://www.fairywill.com/products/fairywill-electric-toothbrush-30-days-usage-5-modes-changeable-heads-timer</t>
        </is>
      </c>
      <c r="AG50" s="13" t="inlineStr">
        <is>
          <t>https://www.jumia.ma/brosse-a-dents-electrique/fairywill/</t>
        </is>
      </c>
      <c r="AH50" s="12" t="inlineStr">
        <is>
          <t>Rapprochement sur les 5 modes, la fréquence et l'architecture de charge USB. Concurrent le plus proche du coeur de gamme SEAGO : mêmes 5 modes, même fréquence, même architecture USB.</t>
        </is>
      </c>
      <c r="AI50" s="14" t="n"/>
      <c r="AJ50" s="14" t="n"/>
      <c r="AK50" s="15" t="n"/>
      <c r="AL50" s="16" t="n"/>
      <c r="AM50" s="15" t="n"/>
      <c r="AN50" s="17">
        <f>IF(OR(AJ50="",AI50=""),"",AJ50-AI50)</f>
        <v/>
      </c>
      <c r="AO50" s="18">
        <f>IF(OR(AJ50="",AI50="",AI50=0),"",(AJ50-AI50)/AI50)</f>
        <v/>
      </c>
      <c r="AP50" s="19">
        <f>IF(AO50="","",IF(AO50&lt;-0.05,"Moins cher",IF(AO50&gt;0.05,"Plus cher","Équivalent")))</f>
        <v/>
      </c>
    </row>
    <row r="51">
      <c r="A51" s="20" t="inlineStr">
        <is>
          <t>SG-551</t>
        </is>
      </c>
      <c r="B51" s="20" t="inlineStr">
        <is>
          <t>Pro Sonic</t>
        </is>
      </c>
      <c r="C51" s="20" t="inlineStr">
        <is>
          <t>Sonique</t>
        </is>
      </c>
      <c r="D51" s="20" t="inlineStr">
        <is>
          <t>Adulte</t>
        </is>
      </c>
      <c r="E51" s="21" t="n">
        <v>40000</v>
      </c>
      <c r="F51" s="21" t="n">
        <v>40000</v>
      </c>
      <c r="G51" s="22" t="n">
        <v>4</v>
      </c>
      <c r="H51" s="22" t="n">
        <v>25</v>
      </c>
      <c r="I51" s="22" t="n">
        <v>260</v>
      </c>
      <c r="J51" s="20" t="inlineStr">
        <is>
          <t>Batterie Li-ion rechargeable</t>
        </is>
      </c>
      <c r="K51" s="20" t="inlineStr">
        <is>
          <t>USB</t>
        </is>
      </c>
      <c r="L51" s="26" t="inlineStr">
        <is>
          <t>N/D</t>
        </is>
      </c>
      <c r="M51" s="20" t="inlineStr">
        <is>
          <t>IPX7</t>
        </is>
      </c>
      <c r="N51" s="20" t="inlineStr">
        <is>
          <t>Non</t>
        </is>
      </c>
      <c r="O51" s="20" t="inlineStr">
        <is>
          <t>Aucun</t>
        </is>
      </c>
      <c r="P51" s="20" t="inlineStr">
        <is>
          <t>Oui</t>
        </is>
      </c>
      <c r="Q51" s="23" t="n">
        <v>57</v>
      </c>
      <c r="R51" s="20" t="inlineStr">
        <is>
          <t>19.6*20.4*210</t>
        </is>
      </c>
      <c r="S51" s="24" t="inlineStr">
        <is>
          <t>Mémoire intelligente, alerte batterie faible</t>
        </is>
      </c>
      <c r="T51" s="25" t="n">
        <v>30</v>
      </c>
      <c r="U51" s="12" t="inlineStr">
        <is>
          <t>Brosse à dents électrique sonique durable</t>
        </is>
      </c>
      <c r="V51" s="12" t="inlineStr">
        <is>
          <t>Suri (marketplace)</t>
        </is>
      </c>
      <c r="W51" s="12" t="inlineStr">
        <is>
          <t>Sonique</t>
        </is>
      </c>
      <c r="X51" s="12" t="inlineStr">
        <is>
          <t>40 000 VPM</t>
        </is>
      </c>
      <c r="Y51" s="12" t="inlineStr">
        <is>
          <t>5 modes (Clean, White, Polish, Soft, Gum Care)</t>
        </is>
      </c>
      <c r="Z51" s="12" t="n">
        <v>30</v>
      </c>
      <c r="AA51" s="29" t="inlineStr">
        <is>
          <t>N/D</t>
        </is>
      </c>
      <c r="AB51" s="12" t="inlineStr">
        <is>
          <t>Non</t>
        </is>
      </c>
      <c r="AC51" s="12" t="inlineStr">
        <is>
          <t>Li-ion, charge rapide 4 h</t>
        </is>
      </c>
      <c r="AD51" s="12" t="inlineStr">
        <is>
          <t>Côte d'Ivoire (Jumia, vérifié)</t>
        </is>
      </c>
      <c r="AE51" s="12" t="inlineStr">
        <is>
          <t>Jumia CI</t>
        </is>
      </c>
      <c r="AF51" s="13" t="inlineStr">
        <is>
          <t>https://www.jumia.ci/slp/brosse-a-dents-electrique-durable-suri</t>
        </is>
      </c>
      <c r="AG51" s="13" t="inlineStr">
        <is>
          <t>https://www.jumia.ci/brosse-a-dents-electrique/</t>
        </is>
      </c>
      <c r="AH51" s="12" t="inlineStr">
        <is>
          <t>Rapprochement sur le positionnement marketplace : specs proches, marque non installée. Offre marketplace au positionnement identique à SEAGO : mêmes specs annoncées, marque non installée.</t>
        </is>
      </c>
      <c r="AI51" s="14" t="n"/>
      <c r="AJ51" s="14" t="n"/>
      <c r="AK51" s="15" t="n"/>
      <c r="AL51" s="16" t="n"/>
      <c r="AM51" s="15" t="n"/>
      <c r="AN51" s="17">
        <f>IF(OR(AJ51="",AI51=""),"",AJ51-AI51)</f>
        <v/>
      </c>
      <c r="AO51" s="18">
        <f>IF(OR(AJ51="",AI51="",AI51=0),"",(AJ51-AI51)/AI51)</f>
        <v/>
      </c>
      <c r="AP51" s="19">
        <f>IF(AO51="","",IF(AO51&lt;-0.05,"Moins cher",IF(AO51&gt;0.05,"Plus cher","Équivalent")))</f>
        <v/>
      </c>
    </row>
    <row r="52">
      <c r="A52" s="5" t="inlineStr">
        <is>
          <t>SG-2315</t>
        </is>
      </c>
      <c r="B52" s="5" t="inlineStr">
        <is>
          <t>Pro Sonic</t>
        </is>
      </c>
      <c r="C52" s="5" t="inlineStr">
        <is>
          <t>Sonique</t>
        </is>
      </c>
      <c r="D52" s="5" t="inlineStr">
        <is>
          <t>Adulte</t>
        </is>
      </c>
      <c r="E52" s="6" t="n">
        <v>36000</v>
      </c>
      <c r="F52" s="6" t="n">
        <v>36000</v>
      </c>
      <c r="G52" s="7" t="n">
        <v>3</v>
      </c>
      <c r="H52" s="7" t="n">
        <v>25</v>
      </c>
      <c r="I52" s="7" t="n">
        <v>600</v>
      </c>
      <c r="J52" s="5" t="inlineStr">
        <is>
          <t>Batterie Ni-MH rechargeable</t>
        </is>
      </c>
      <c r="K52" s="5" t="inlineStr">
        <is>
          <t>USB</t>
        </is>
      </c>
      <c r="L52" s="8" t="inlineStr">
        <is>
          <t>N/D</t>
        </is>
      </c>
      <c r="M52" s="5" t="inlineStr">
        <is>
          <t>IPX7</t>
        </is>
      </c>
      <c r="N52" s="5" t="inlineStr">
        <is>
          <t>Non</t>
        </is>
      </c>
      <c r="O52" s="5" t="inlineStr">
        <is>
          <t>Aucun</t>
        </is>
      </c>
      <c r="P52" s="5" t="inlineStr">
        <is>
          <t>Oui</t>
        </is>
      </c>
      <c r="Q52" s="9" t="n">
        <v>49</v>
      </c>
      <c r="R52" s="5" t="inlineStr">
        <is>
          <t>229*D20</t>
        </is>
      </c>
      <c r="S52" s="10" t="inlineStr">
        <is>
          <t>Manche fin et léger, impression intégrale du manche possible, mémoire intelligente</t>
        </is>
      </c>
      <c r="T52" s="11" t="n">
        <v>30</v>
      </c>
      <c r="U52" s="12" t="inlineStr">
        <is>
          <t>Brosse à dents électrique sonique durable</t>
        </is>
      </c>
      <c r="V52" s="12" t="inlineStr">
        <is>
          <t>Suri (marketplace)</t>
        </is>
      </c>
      <c r="W52" s="12" t="inlineStr">
        <is>
          <t>Sonique</t>
        </is>
      </c>
      <c r="X52" s="12" t="inlineStr">
        <is>
          <t>40 000 VPM</t>
        </is>
      </c>
      <c r="Y52" s="12" t="inlineStr">
        <is>
          <t>5 modes (Clean, White, Polish, Soft, Gum Care)</t>
        </is>
      </c>
      <c r="Z52" s="12" t="n">
        <v>30</v>
      </c>
      <c r="AA52" s="29" t="inlineStr">
        <is>
          <t>N/D</t>
        </is>
      </c>
      <c r="AB52" s="12" t="inlineStr">
        <is>
          <t>Non</t>
        </is>
      </c>
      <c r="AC52" s="12" t="inlineStr">
        <is>
          <t>Li-ion, charge rapide 4 h</t>
        </is>
      </c>
      <c r="AD52" s="12" t="inlineStr">
        <is>
          <t>Côte d'Ivoire (Jumia, vérifié)</t>
        </is>
      </c>
      <c r="AE52" s="12" t="inlineStr">
        <is>
          <t>Jumia CI</t>
        </is>
      </c>
      <c r="AF52" s="13" t="inlineStr">
        <is>
          <t>https://www.jumia.ci/slp/brosse-a-dents-electrique-durable-suri</t>
        </is>
      </c>
      <c r="AG52" s="13" t="inlineStr">
        <is>
          <t>https://www.jumia.ci/brosse-a-dents-electrique/</t>
        </is>
      </c>
      <c r="AH52" s="12" t="inlineStr">
        <is>
          <t>Rapprochement sur le positionnement marketplace : specs proches, marque non installée. Offre marketplace au positionnement identique à SEAGO : mêmes specs annoncées, marque non installée.</t>
        </is>
      </c>
      <c r="AI52" s="14" t="n"/>
      <c r="AJ52" s="14" t="n"/>
      <c r="AK52" s="15" t="n"/>
      <c r="AL52" s="16" t="n"/>
      <c r="AM52" s="15" t="n"/>
      <c r="AN52" s="17">
        <f>IF(OR(AJ52="",AI52=""),"",AJ52-AI52)</f>
        <v/>
      </c>
      <c r="AO52" s="18">
        <f>IF(OR(AJ52="",AI52="",AI52=0),"",(AJ52-AI52)/AI52)</f>
        <v/>
      </c>
      <c r="AP52" s="19">
        <f>IF(AO52="","",IF(AO52&lt;-0.05,"Moins cher",IF(AO52&gt;0.05,"Plus cher","Équivalent")))</f>
        <v/>
      </c>
    </row>
    <row r="53">
      <c r="A53" s="20" t="inlineStr">
        <is>
          <t>SG-2308</t>
        </is>
      </c>
      <c r="B53" s="20" t="inlineStr">
        <is>
          <t>Pro Sonic</t>
        </is>
      </c>
      <c r="C53" s="20" t="inlineStr">
        <is>
          <t>Sonique</t>
        </is>
      </c>
      <c r="D53" s="20" t="inlineStr">
        <is>
          <t>Adulte</t>
        </is>
      </c>
      <c r="E53" s="21" t="n">
        <v>35000</v>
      </c>
      <c r="F53" s="21" t="n">
        <v>35000</v>
      </c>
      <c r="G53" s="22" t="n">
        <v>5</v>
      </c>
      <c r="H53" s="22" t="n">
        <v>60</v>
      </c>
      <c r="I53" s="22" t="n">
        <v>700</v>
      </c>
      <c r="J53" s="20" t="inlineStr">
        <is>
          <t>Batterie Li-ion rechargeable</t>
        </is>
      </c>
      <c r="K53" s="20" t="inlineStr">
        <is>
          <t>USB</t>
        </is>
      </c>
      <c r="L53" s="23" t="n">
        <v>3</v>
      </c>
      <c r="M53" s="20" t="inlineStr">
        <is>
          <t>IPX7</t>
        </is>
      </c>
      <c r="N53" s="20" t="inlineStr">
        <is>
          <t>Non</t>
        </is>
      </c>
      <c r="O53" s="20" t="inlineStr">
        <is>
          <t>Aucun</t>
        </is>
      </c>
      <c r="P53" s="20" t="inlineStr">
        <is>
          <t>Oui</t>
        </is>
      </c>
      <c r="Q53" s="23" t="n">
        <v>93</v>
      </c>
      <c r="R53" s="20" t="inlineStr">
        <is>
          <t>D25.0*233.5</t>
        </is>
      </c>
      <c r="S53" s="24" t="inlineStr">
        <is>
          <t>Charge rapide 2-3 h pour 60 jours, alerte batterie faible</t>
        </is>
      </c>
      <c r="T53" s="25" t="n">
        <v>31</v>
      </c>
      <c r="U53" s="12" t="inlineStr">
        <is>
          <t>FW-507 Sonic</t>
        </is>
      </c>
      <c r="V53" s="12" t="inlineStr">
        <is>
          <t>Fairywill</t>
        </is>
      </c>
      <c r="W53" s="12" t="inlineStr">
        <is>
          <t>Sonique</t>
        </is>
      </c>
      <c r="X53" s="12" t="inlineStr">
        <is>
          <t>40 000 strokes/min</t>
        </is>
      </c>
      <c r="Y53" s="12" t="inlineStr">
        <is>
          <t>5 modes (Clean, Sensitive, Massage, White, Polish)</t>
        </is>
      </c>
      <c r="Z53" s="12" t="n">
        <v>30</v>
      </c>
      <c r="AA53" s="12" t="inlineStr">
        <is>
          <t>IPX7</t>
        </is>
      </c>
      <c r="AB53" s="12" t="inlineStr">
        <is>
          <t>Non</t>
        </is>
      </c>
      <c r="AC53" s="12" t="inlineStr">
        <is>
          <t>USB, charge 4 h</t>
        </is>
      </c>
      <c r="AD53" s="12" t="inlineStr">
        <is>
          <t>Maroc (Jumia, marque référencée)</t>
        </is>
      </c>
      <c r="AE53" s="12" t="inlineStr">
        <is>
          <t>Jumia, Amazon, marketplaces</t>
        </is>
      </c>
      <c r="AF53" s="13" t="inlineStr">
        <is>
          <t>https://www.fairywill.com/products/fairywill-electric-toothbrush-30-days-usage-5-modes-changeable-heads-timer</t>
        </is>
      </c>
      <c r="AG53" s="13" t="inlineStr">
        <is>
          <t>https://www.jumia.ma/brosse-a-dents-electrique/fairywill/</t>
        </is>
      </c>
      <c r="AH53" s="12" t="inlineStr">
        <is>
          <t>Rapprochement sur les 5 modes, la fréquence et l'architecture de charge USB. Concurrent le plus proche du coeur de gamme SEAGO : mêmes 5 modes, même fréquence, même architecture USB.</t>
        </is>
      </c>
      <c r="AI53" s="14" t="n"/>
      <c r="AJ53" s="14" t="n"/>
      <c r="AK53" s="15" t="n"/>
      <c r="AL53" s="16" t="n"/>
      <c r="AM53" s="15" t="n"/>
      <c r="AN53" s="17">
        <f>IF(OR(AJ53="",AI53=""),"",AJ53-AI53)</f>
        <v/>
      </c>
      <c r="AO53" s="18">
        <f>IF(OR(AJ53="",AI53="",AI53=0),"",(AJ53-AI53)/AI53)</f>
        <v/>
      </c>
      <c r="AP53" s="19">
        <f>IF(AO53="","",IF(AO53&lt;-0.05,"Moins cher",IF(AO53&gt;0.05,"Plus cher","Équivalent")))</f>
        <v/>
      </c>
    </row>
    <row r="54">
      <c r="A54" s="5" t="inlineStr">
        <is>
          <t>SG-515</t>
        </is>
      </c>
      <c r="B54" s="5" t="inlineStr">
        <is>
          <t>Pro Sonic</t>
        </is>
      </c>
      <c r="C54" s="5" t="inlineStr">
        <is>
          <t>Sonique</t>
        </is>
      </c>
      <c r="D54" s="5" t="inlineStr">
        <is>
          <t>Adulte</t>
        </is>
      </c>
      <c r="E54" s="6" t="n">
        <v>40000</v>
      </c>
      <c r="F54" s="6" t="n">
        <v>40000</v>
      </c>
      <c r="G54" s="7" t="n">
        <v>3</v>
      </c>
      <c r="H54" s="7" t="n">
        <v>25</v>
      </c>
      <c r="I54" s="7" t="n">
        <v>260</v>
      </c>
      <c r="J54" s="5" t="inlineStr">
        <is>
          <t>Batterie Li-ion rechargeable</t>
        </is>
      </c>
      <c r="K54" s="5" t="inlineStr">
        <is>
          <t>USB</t>
        </is>
      </c>
      <c r="L54" s="8" t="inlineStr">
        <is>
          <t>N/D</t>
        </is>
      </c>
      <c r="M54" s="5" t="inlineStr">
        <is>
          <t>IPX6</t>
        </is>
      </c>
      <c r="N54" s="5" t="inlineStr">
        <is>
          <t>Non</t>
        </is>
      </c>
      <c r="O54" s="5" t="inlineStr">
        <is>
          <t>Aucun</t>
        </is>
      </c>
      <c r="P54" s="5" t="inlineStr">
        <is>
          <t>Oui</t>
        </is>
      </c>
      <c r="Q54" s="9" t="n">
        <v>51.5</v>
      </c>
      <c r="R54" s="5" t="inlineStr">
        <is>
          <t>19.6*23.2*192</t>
        </is>
      </c>
      <c r="S54" s="10" t="inlineStr">
        <is>
          <t>Format voyage, mémoire intelligente, alerte batterie faible</t>
        </is>
      </c>
      <c r="T54" s="11" t="n">
        <v>31</v>
      </c>
      <c r="U54" s="12" t="inlineStr">
        <is>
          <t>Brosse à dents électrique sonique durable</t>
        </is>
      </c>
      <c r="V54" s="12" t="inlineStr">
        <is>
          <t>Suri (marketplace)</t>
        </is>
      </c>
      <c r="W54" s="12" t="inlineStr">
        <is>
          <t>Sonique</t>
        </is>
      </c>
      <c r="X54" s="12" t="inlineStr">
        <is>
          <t>40 000 VPM</t>
        </is>
      </c>
      <c r="Y54" s="12" t="inlineStr">
        <is>
          <t>5 modes (Clean, White, Polish, Soft, Gum Care)</t>
        </is>
      </c>
      <c r="Z54" s="12" t="n">
        <v>30</v>
      </c>
      <c r="AA54" s="29" t="inlineStr">
        <is>
          <t>N/D</t>
        </is>
      </c>
      <c r="AB54" s="12" t="inlineStr">
        <is>
          <t>Non</t>
        </is>
      </c>
      <c r="AC54" s="12" t="inlineStr">
        <is>
          <t>Li-ion, charge rapide 4 h</t>
        </is>
      </c>
      <c r="AD54" s="12" t="inlineStr">
        <is>
          <t>Côte d'Ivoire (Jumia, vérifié)</t>
        </is>
      </c>
      <c r="AE54" s="12" t="inlineStr">
        <is>
          <t>Jumia CI</t>
        </is>
      </c>
      <c r="AF54" s="13" t="inlineStr">
        <is>
          <t>https://www.jumia.ci/slp/brosse-a-dents-electrique-durable-suri</t>
        </is>
      </c>
      <c r="AG54" s="13" t="inlineStr">
        <is>
          <t>https://www.jumia.ci/brosse-a-dents-electrique/</t>
        </is>
      </c>
      <c r="AH54" s="12" t="inlineStr">
        <is>
          <t>Rapprochement sur le positionnement marketplace : specs proches, marque non installée. Offre marketplace au positionnement identique à SEAGO : mêmes specs annoncées, marque non installée.</t>
        </is>
      </c>
      <c r="AI54" s="14" t="n"/>
      <c r="AJ54" s="14" t="n"/>
      <c r="AK54" s="15" t="n"/>
      <c r="AL54" s="16" t="n"/>
      <c r="AM54" s="15" t="n"/>
      <c r="AN54" s="17">
        <f>IF(OR(AJ54="",AI54=""),"",AJ54-AI54)</f>
        <v/>
      </c>
      <c r="AO54" s="18">
        <f>IF(OR(AJ54="",AI54="",AI54=0),"",(AJ54-AI54)/AI54)</f>
        <v/>
      </c>
      <c r="AP54" s="19">
        <f>IF(AO54="","",IF(AO54&lt;-0.05,"Moins cher",IF(AO54&gt;0.05,"Plus cher","Équivalent")))</f>
        <v/>
      </c>
    </row>
    <row r="55">
      <c r="A55" s="20" t="inlineStr">
        <is>
          <t>SG-910</t>
        </is>
      </c>
      <c r="B55" s="20" t="inlineStr">
        <is>
          <t>Pro Sonic</t>
        </is>
      </c>
      <c r="C55" s="20" t="inlineStr">
        <is>
          <t>Sonique</t>
        </is>
      </c>
      <c r="D55" s="20" t="inlineStr">
        <is>
          <t>Adulte</t>
        </is>
      </c>
      <c r="E55" s="21" t="n">
        <v>40000</v>
      </c>
      <c r="F55" s="21" t="n">
        <v>40000</v>
      </c>
      <c r="G55" s="22" t="n">
        <v>2</v>
      </c>
      <c r="H55" s="22" t="n">
        <v>150</v>
      </c>
      <c r="I55" s="27" t="inlineStr">
        <is>
          <t>N/D</t>
        </is>
      </c>
      <c r="J55" s="20" t="inlineStr">
        <is>
          <t>Piles (2x AA)</t>
        </is>
      </c>
      <c r="K55" s="20" t="inlineStr">
        <is>
          <t>Piles</t>
        </is>
      </c>
      <c r="L55" s="26" t="inlineStr">
        <is>
          <t>N/D</t>
        </is>
      </c>
      <c r="M55" s="20" t="inlineStr">
        <is>
          <t>IPX7</t>
        </is>
      </c>
      <c r="N55" s="20" t="inlineStr">
        <is>
          <t>Non</t>
        </is>
      </c>
      <c r="O55" s="20" t="inlineStr">
        <is>
          <t>Aucun</t>
        </is>
      </c>
      <c r="P55" s="20" t="inlineStr">
        <is>
          <t>Oui</t>
        </is>
      </c>
      <c r="Q55" s="23" t="n">
        <v>45</v>
      </c>
      <c r="R55" s="20" t="inlineStr">
        <is>
          <t>26*26*228</t>
        </is>
      </c>
      <c r="S55" s="24" t="inlineStr">
        <is>
          <t>Tête de brosse remplaçable</t>
        </is>
      </c>
      <c r="T55" s="25" t="n">
        <v>32</v>
      </c>
      <c r="U55" s="12" t="inlineStr">
        <is>
          <t>ProClinical 150 (Charcoal / Deep Clean)</t>
        </is>
      </c>
      <c r="V55" s="12" t="inlineStr">
        <is>
          <t>Colgate</t>
        </is>
      </c>
      <c r="W55" s="12" t="inlineStr">
        <is>
          <t>Sonique à piles</t>
        </is>
      </c>
      <c r="X55" s="12" t="inlineStr">
        <is>
          <t>20 000 strokes/min</t>
        </is>
      </c>
      <c r="Y55" s="12" t="inlineStr">
        <is>
          <t>1 mode</t>
        </is>
      </c>
      <c r="Z55" s="29" t="inlineStr">
        <is>
          <t>N/D</t>
        </is>
      </c>
      <c r="AA55" s="29" t="inlineStr">
        <is>
          <t>N/D</t>
        </is>
      </c>
      <c r="AB55" s="12" t="inlineStr">
        <is>
          <t>Non</t>
        </is>
      </c>
      <c r="AC55" s="12" t="inlineStr">
        <is>
          <t>2 piles AAA</t>
        </is>
      </c>
      <c r="AD55" s="12" t="inlineStr">
        <is>
          <t>Non vérifié sur les marchés cibles (marque Colgate largement distribuée en GMS et pharmacie)</t>
        </is>
      </c>
      <c r="AE55" s="12" t="inlineStr">
        <is>
          <t>GMS, pharmacies</t>
        </is>
      </c>
      <c r="AF55" s="13" t="inlineStr">
        <is>
          <t>https://www.colgate.com/en-my/products/toothbrush/colgate-proclinical-150-charcoal-battery-powered-toothbrush</t>
        </is>
      </c>
      <c r="AG55" s="13" t="inlineStr">
        <is>
          <t>https://www.colgate.com/en-my/products/toothbrush/colgate-proclinical-150-deepclean-battery-powered-toothbrush</t>
        </is>
      </c>
      <c r="AH55" s="12" t="inlineStr">
        <is>
          <t>Rapprochement sur l'alimentation à piles et le positionnement prix d'entrée de gamme. Concurrent de référence du segment SEAGO à piles : marque installée, prix d'entrée, tête remplaçable.</t>
        </is>
      </c>
      <c r="AI55" s="14" t="n"/>
      <c r="AJ55" s="14" t="n"/>
      <c r="AK55" s="15" t="n"/>
      <c r="AL55" s="16" t="n"/>
      <c r="AM55" s="15" t="n"/>
      <c r="AN55" s="17">
        <f>IF(OR(AJ55="",AI55=""),"",AJ55-AI55)</f>
        <v/>
      </c>
      <c r="AO55" s="18">
        <f>IF(OR(AJ55="",AI55="",AI55=0),"",(AJ55-AI55)/AI55)</f>
        <v/>
      </c>
      <c r="AP55" s="19">
        <f>IF(AO55="","",IF(AO55&lt;-0.05,"Moins cher",IF(AO55&gt;0.05,"Plus cher","Équivalent")))</f>
        <v/>
      </c>
    </row>
    <row r="56">
      <c r="A56" s="5" t="inlineStr">
        <is>
          <t>SG-959</t>
        </is>
      </c>
      <c r="B56" s="5" t="inlineStr">
        <is>
          <t>Pro Sonic</t>
        </is>
      </c>
      <c r="C56" s="5" t="inlineStr">
        <is>
          <t>Sonique</t>
        </is>
      </c>
      <c r="D56" s="5" t="inlineStr">
        <is>
          <t>Adulte</t>
        </is>
      </c>
      <c r="E56" s="6" t="n">
        <v>40000</v>
      </c>
      <c r="F56" s="6" t="n">
        <v>40000</v>
      </c>
      <c r="G56" s="7" t="n">
        <v>3</v>
      </c>
      <c r="H56" s="7" t="n">
        <v>90</v>
      </c>
      <c r="I56" s="30" t="inlineStr">
        <is>
          <t>N/D</t>
        </is>
      </c>
      <c r="J56" s="5" t="inlineStr">
        <is>
          <t>Piles (2x AAA)</t>
        </is>
      </c>
      <c r="K56" s="5" t="inlineStr">
        <is>
          <t>Piles</t>
        </is>
      </c>
      <c r="L56" s="8" t="inlineStr">
        <is>
          <t>N/D</t>
        </is>
      </c>
      <c r="M56" s="5" t="inlineStr">
        <is>
          <t>IPX7</t>
        </is>
      </c>
      <c r="N56" s="5" t="inlineStr">
        <is>
          <t>Non</t>
        </is>
      </c>
      <c r="O56" s="5" t="inlineStr">
        <is>
          <t>Aucun</t>
        </is>
      </c>
      <c r="P56" s="5" t="inlineStr">
        <is>
          <t>Oui</t>
        </is>
      </c>
      <c r="Q56" s="9" t="n">
        <v>35.5</v>
      </c>
      <c r="R56" s="5" t="inlineStr">
        <is>
          <t>22*22*218</t>
        </is>
      </c>
      <c r="S56" s="10" t="inlineStr">
        <is>
          <t>Tête de brosse remplaçable, fonction mémoire</t>
        </is>
      </c>
      <c r="T56" s="11" t="n">
        <v>32</v>
      </c>
      <c r="U56" s="12" t="inlineStr">
        <is>
          <t>ProClinical 150 (Charcoal / Deep Clean)</t>
        </is>
      </c>
      <c r="V56" s="12" t="inlineStr">
        <is>
          <t>Colgate</t>
        </is>
      </c>
      <c r="W56" s="12" t="inlineStr">
        <is>
          <t>Sonique à piles</t>
        </is>
      </c>
      <c r="X56" s="12" t="inlineStr">
        <is>
          <t>20 000 strokes/min</t>
        </is>
      </c>
      <c r="Y56" s="12" t="inlineStr">
        <is>
          <t>1 mode</t>
        </is>
      </c>
      <c r="Z56" s="29" t="inlineStr">
        <is>
          <t>N/D</t>
        </is>
      </c>
      <c r="AA56" s="29" t="inlineStr">
        <is>
          <t>N/D</t>
        </is>
      </c>
      <c r="AB56" s="12" t="inlineStr">
        <is>
          <t>Non</t>
        </is>
      </c>
      <c r="AC56" s="12" t="inlineStr">
        <is>
          <t>2 piles AAA</t>
        </is>
      </c>
      <c r="AD56" s="12" t="inlineStr">
        <is>
          <t>Non vérifié sur les marchés cibles (marque Colgate largement distribuée en GMS et pharmacie)</t>
        </is>
      </c>
      <c r="AE56" s="12" t="inlineStr">
        <is>
          <t>GMS, pharmacies</t>
        </is>
      </c>
      <c r="AF56" s="13" t="inlineStr">
        <is>
          <t>https://www.colgate.com/en-my/products/toothbrush/colgate-proclinical-150-charcoal-battery-powered-toothbrush</t>
        </is>
      </c>
      <c r="AG56" s="13" t="inlineStr">
        <is>
          <t>https://www.colgate.com/en-my/products/toothbrush/colgate-proclinical-150-deepclean-battery-powered-toothbrush</t>
        </is>
      </c>
      <c r="AH56" s="12" t="inlineStr">
        <is>
          <t>Rapprochement sur l'alimentation à piles et le positionnement prix d'entrée de gamme. Concurrent de référence du segment SEAGO à piles : marque installée, prix d'entrée, tête remplaçable.</t>
        </is>
      </c>
      <c r="AI56" s="14" t="n"/>
      <c r="AJ56" s="14" t="n"/>
      <c r="AK56" s="15" t="n"/>
      <c r="AL56" s="16" t="n"/>
      <c r="AM56" s="15" t="n"/>
      <c r="AN56" s="17">
        <f>IF(OR(AJ56="",AI56=""),"",AJ56-AI56)</f>
        <v/>
      </c>
      <c r="AO56" s="18">
        <f>IF(OR(AJ56="",AI56="",AI56=0),"",(AJ56-AI56)/AI56)</f>
        <v/>
      </c>
      <c r="AP56" s="19">
        <f>IF(AO56="","",IF(AO56&lt;-0.05,"Moins cher",IF(AO56&gt;0.05,"Plus cher","Équivalent")))</f>
        <v/>
      </c>
    </row>
    <row r="57">
      <c r="A57" s="20" t="inlineStr">
        <is>
          <t>SG-549</t>
        </is>
      </c>
      <c r="B57" s="20" t="inlineStr">
        <is>
          <t>Pro Sonic</t>
        </is>
      </c>
      <c r="C57" s="20" t="inlineStr">
        <is>
          <t>Sonique</t>
        </is>
      </c>
      <c r="D57" s="20" t="inlineStr">
        <is>
          <t>Adulte</t>
        </is>
      </c>
      <c r="E57" s="21" t="n">
        <v>40000</v>
      </c>
      <c r="F57" s="21" t="n">
        <v>40000</v>
      </c>
      <c r="G57" s="22" t="n">
        <v>3</v>
      </c>
      <c r="H57" s="22" t="n">
        <v>90</v>
      </c>
      <c r="I57" s="27" t="inlineStr">
        <is>
          <t>N/D</t>
        </is>
      </c>
      <c r="J57" s="20" t="inlineStr">
        <is>
          <t>Piles (2x AAA)</t>
        </is>
      </c>
      <c r="K57" s="20" t="inlineStr">
        <is>
          <t>Piles</t>
        </is>
      </c>
      <c r="L57" s="26" t="inlineStr">
        <is>
          <t>N/D</t>
        </is>
      </c>
      <c r="M57" s="20" t="inlineStr">
        <is>
          <t>IPX7</t>
        </is>
      </c>
      <c r="N57" s="20" t="inlineStr">
        <is>
          <t>Non</t>
        </is>
      </c>
      <c r="O57" s="20" t="inlineStr">
        <is>
          <t>Aucun</t>
        </is>
      </c>
      <c r="P57" s="20" t="inlineStr">
        <is>
          <t>Oui</t>
        </is>
      </c>
      <c r="Q57" s="23" t="n">
        <v>34</v>
      </c>
      <c r="R57" s="20" t="inlineStr">
        <is>
          <t>19.9*20.8*220</t>
        </is>
      </c>
      <c r="S57" s="24" t="inlineStr">
        <is>
          <t>Tête de brosse remplaçable, fonction mémoire</t>
        </is>
      </c>
      <c r="T57" s="25" t="n">
        <v>33</v>
      </c>
      <c r="U57" s="12" t="inlineStr">
        <is>
          <t>ProClinical 150 (Charcoal / Deep Clean)</t>
        </is>
      </c>
      <c r="V57" s="12" t="inlineStr">
        <is>
          <t>Colgate</t>
        </is>
      </c>
      <c r="W57" s="12" t="inlineStr">
        <is>
          <t>Sonique à piles</t>
        </is>
      </c>
      <c r="X57" s="12" t="inlineStr">
        <is>
          <t>20 000 strokes/min</t>
        </is>
      </c>
      <c r="Y57" s="12" t="inlineStr">
        <is>
          <t>1 mode</t>
        </is>
      </c>
      <c r="Z57" s="29" t="inlineStr">
        <is>
          <t>N/D</t>
        </is>
      </c>
      <c r="AA57" s="29" t="inlineStr">
        <is>
          <t>N/D</t>
        </is>
      </c>
      <c r="AB57" s="12" t="inlineStr">
        <is>
          <t>Non</t>
        </is>
      </c>
      <c r="AC57" s="12" t="inlineStr">
        <is>
          <t>2 piles AAA</t>
        </is>
      </c>
      <c r="AD57" s="12" t="inlineStr">
        <is>
          <t>Non vérifié sur les marchés cibles (marque Colgate largement distribuée en GMS et pharmacie)</t>
        </is>
      </c>
      <c r="AE57" s="12" t="inlineStr">
        <is>
          <t>GMS, pharmacies</t>
        </is>
      </c>
      <c r="AF57" s="13" t="inlineStr">
        <is>
          <t>https://www.colgate.com/en-my/products/toothbrush/colgate-proclinical-150-charcoal-battery-powered-toothbrush</t>
        </is>
      </c>
      <c r="AG57" s="13" t="inlineStr">
        <is>
          <t>https://www.colgate.com/en-my/products/toothbrush/colgate-proclinical-150-deepclean-battery-powered-toothbrush</t>
        </is>
      </c>
      <c r="AH57" s="12" t="inlineStr">
        <is>
          <t>Rapprochement sur l'alimentation à piles et le positionnement prix d'entrée de gamme. Concurrent de référence du segment SEAGO à piles : marque installée, prix d'entrée, tête remplaçable.</t>
        </is>
      </c>
      <c r="AI57" s="14" t="n"/>
      <c r="AJ57" s="14" t="n"/>
      <c r="AK57" s="15" t="n"/>
      <c r="AL57" s="16" t="n"/>
      <c r="AM57" s="15" t="n"/>
      <c r="AN57" s="17">
        <f>IF(OR(AJ57="",AI57=""),"",AJ57-AI57)</f>
        <v/>
      </c>
      <c r="AO57" s="18">
        <f>IF(OR(AJ57="",AI57="",AI57=0),"",(AJ57-AI57)/AI57)</f>
        <v/>
      </c>
      <c r="AP57" s="19">
        <f>IF(AO57="","",IF(AO57&lt;-0.05,"Moins cher",IF(AO57&gt;0.05,"Plus cher","Équivalent")))</f>
        <v/>
      </c>
    </row>
    <row r="58">
      <c r="A58" s="5" t="inlineStr">
        <is>
          <t>SG-2011</t>
        </is>
      </c>
      <c r="B58" s="5" t="inlineStr">
        <is>
          <t>Pro Sonic</t>
        </is>
      </c>
      <c r="C58" s="5" t="inlineStr">
        <is>
          <t>Sonique</t>
        </is>
      </c>
      <c r="D58" s="5" t="inlineStr">
        <is>
          <t>Adulte</t>
        </is>
      </c>
      <c r="E58" s="6" t="n">
        <v>40000</v>
      </c>
      <c r="F58" s="6" t="n">
        <v>40000</v>
      </c>
      <c r="G58" s="7" t="n">
        <v>5</v>
      </c>
      <c r="H58" s="7" t="n">
        <v>90</v>
      </c>
      <c r="I58" s="30" t="inlineStr">
        <is>
          <t>N/D</t>
        </is>
      </c>
      <c r="J58" s="5" t="inlineStr">
        <is>
          <t>Piles (2x AAA)</t>
        </is>
      </c>
      <c r="K58" s="5" t="inlineStr">
        <is>
          <t>Piles</t>
        </is>
      </c>
      <c r="L58" s="8" t="inlineStr">
        <is>
          <t>N/D</t>
        </is>
      </c>
      <c r="M58" s="5" t="inlineStr">
        <is>
          <t>IPX7</t>
        </is>
      </c>
      <c r="N58" s="5" t="inlineStr">
        <is>
          <t>Non</t>
        </is>
      </c>
      <c r="O58" s="5" t="inlineStr">
        <is>
          <t>Aucun</t>
        </is>
      </c>
      <c r="P58" s="5" t="inlineStr">
        <is>
          <t>Oui</t>
        </is>
      </c>
      <c r="Q58" s="9" t="n">
        <v>36.5</v>
      </c>
      <c r="R58" s="5" t="inlineStr">
        <is>
          <t>21*20.9*218</t>
        </is>
      </c>
      <c r="S58" s="10" t="inlineStr">
        <is>
          <t>Tête de brosse remplaçable</t>
        </is>
      </c>
      <c r="T58" s="11" t="n">
        <v>33</v>
      </c>
      <c r="U58" s="12" t="inlineStr">
        <is>
          <t>ProClinical 150 (Charcoal / Deep Clean)</t>
        </is>
      </c>
      <c r="V58" s="12" t="inlineStr">
        <is>
          <t>Colgate</t>
        </is>
      </c>
      <c r="W58" s="12" t="inlineStr">
        <is>
          <t>Sonique à piles</t>
        </is>
      </c>
      <c r="X58" s="12" t="inlineStr">
        <is>
          <t>20 000 strokes/min</t>
        </is>
      </c>
      <c r="Y58" s="12" t="inlineStr">
        <is>
          <t>1 mode</t>
        </is>
      </c>
      <c r="Z58" s="29" t="inlineStr">
        <is>
          <t>N/D</t>
        </is>
      </c>
      <c r="AA58" s="29" t="inlineStr">
        <is>
          <t>N/D</t>
        </is>
      </c>
      <c r="AB58" s="12" t="inlineStr">
        <is>
          <t>Non</t>
        </is>
      </c>
      <c r="AC58" s="12" t="inlineStr">
        <is>
          <t>2 piles AAA</t>
        </is>
      </c>
      <c r="AD58" s="12" t="inlineStr">
        <is>
          <t>Non vérifié sur les marchés cibles (marque Colgate largement distribuée en GMS et pharmacie)</t>
        </is>
      </c>
      <c r="AE58" s="12" t="inlineStr">
        <is>
          <t>GMS, pharmacies</t>
        </is>
      </c>
      <c r="AF58" s="13" t="inlineStr">
        <is>
          <t>https://www.colgate.com/en-my/products/toothbrush/colgate-proclinical-150-charcoal-battery-powered-toothbrush</t>
        </is>
      </c>
      <c r="AG58" s="13" t="inlineStr">
        <is>
          <t>https://www.colgate.com/en-my/products/toothbrush/colgate-proclinical-150-deepclean-battery-powered-toothbrush</t>
        </is>
      </c>
      <c r="AH58" s="12" t="inlineStr">
        <is>
          <t>Rapprochement sur l'alimentation à piles et le positionnement prix d'entrée de gamme. Concurrent de référence du segment SEAGO à piles : marque installée, prix d'entrée, tête remplaçable.</t>
        </is>
      </c>
      <c r="AI58" s="14" t="n"/>
      <c r="AJ58" s="14" t="n"/>
      <c r="AK58" s="15" t="n"/>
      <c r="AL58" s="16" t="n"/>
      <c r="AM58" s="15" t="n"/>
      <c r="AN58" s="17">
        <f>IF(OR(AJ58="",AI58=""),"",AJ58-AI58)</f>
        <v/>
      </c>
      <c r="AO58" s="18">
        <f>IF(OR(AJ58="",AI58="",AI58=0),"",(AJ58-AI58)/AI58)</f>
        <v/>
      </c>
      <c r="AP58" s="19">
        <f>IF(AO58="","",IF(AO58&lt;-0.05,"Moins cher",IF(AO58&gt;0.05,"Plus cher","Équivalent")))</f>
        <v/>
      </c>
    </row>
    <row r="59">
      <c r="A59" s="20" t="inlineStr">
        <is>
          <t>SG-503</t>
        </is>
      </c>
      <c r="B59" s="20" t="inlineStr">
        <is>
          <t>Pro Sonic</t>
        </is>
      </c>
      <c r="C59" s="20" t="inlineStr">
        <is>
          <t>Sonique</t>
        </is>
      </c>
      <c r="D59" s="20" t="inlineStr">
        <is>
          <t>Adulte</t>
        </is>
      </c>
      <c r="E59" s="21" t="n">
        <v>40000</v>
      </c>
      <c r="F59" s="21" t="n">
        <v>40000</v>
      </c>
      <c r="G59" s="27" t="inlineStr">
        <is>
          <t>N/D</t>
        </is>
      </c>
      <c r="H59" s="22" t="n">
        <v>90</v>
      </c>
      <c r="I59" s="27" t="inlineStr">
        <is>
          <t>N/D</t>
        </is>
      </c>
      <c r="J59" s="20" t="inlineStr">
        <is>
          <t>Piles (2x AAA)</t>
        </is>
      </c>
      <c r="K59" s="20" t="inlineStr">
        <is>
          <t>Piles</t>
        </is>
      </c>
      <c r="L59" s="26" t="inlineStr">
        <is>
          <t>N/D</t>
        </is>
      </c>
      <c r="M59" s="20" t="inlineStr">
        <is>
          <t>IPX7</t>
        </is>
      </c>
      <c r="N59" s="20" t="inlineStr">
        <is>
          <t>Non</t>
        </is>
      </c>
      <c r="O59" s="20" t="inlineStr">
        <is>
          <t>Aucun</t>
        </is>
      </c>
      <c r="P59" s="20" t="inlineStr">
        <is>
          <t>Non</t>
        </is>
      </c>
      <c r="Q59" s="23" t="n">
        <v>37.5</v>
      </c>
      <c r="R59" s="20" t="inlineStr">
        <is>
          <t>25*25*219</t>
        </is>
      </c>
      <c r="S59" s="24" t="inlineStr">
        <is>
          <t>Commande à un seul bouton, tête de brosse remplaçable</t>
        </is>
      </c>
      <c r="T59" s="25" t="n">
        <v>34</v>
      </c>
      <c r="U59" s="12" t="inlineStr">
        <is>
          <t>ProClinical 150 (Charcoal / Deep Clean)</t>
        </is>
      </c>
      <c r="V59" s="12" t="inlineStr">
        <is>
          <t>Colgate</t>
        </is>
      </c>
      <c r="W59" s="12" t="inlineStr">
        <is>
          <t>Sonique à piles</t>
        </is>
      </c>
      <c r="X59" s="12" t="inlineStr">
        <is>
          <t>20 000 strokes/min</t>
        </is>
      </c>
      <c r="Y59" s="12" t="inlineStr">
        <is>
          <t>1 mode</t>
        </is>
      </c>
      <c r="Z59" s="29" t="inlineStr">
        <is>
          <t>N/D</t>
        </is>
      </c>
      <c r="AA59" s="29" t="inlineStr">
        <is>
          <t>N/D</t>
        </is>
      </c>
      <c r="AB59" s="12" t="inlineStr">
        <is>
          <t>Non</t>
        </is>
      </c>
      <c r="AC59" s="12" t="inlineStr">
        <is>
          <t>2 piles AAA</t>
        </is>
      </c>
      <c r="AD59" s="12" t="inlineStr">
        <is>
          <t>Non vérifié sur les marchés cibles (marque Colgate largement distribuée en GMS et pharmacie)</t>
        </is>
      </c>
      <c r="AE59" s="12" t="inlineStr">
        <is>
          <t>GMS, pharmacies</t>
        </is>
      </c>
      <c r="AF59" s="13" t="inlineStr">
        <is>
          <t>https://www.colgate.com/en-my/products/toothbrush/colgate-proclinical-150-charcoal-battery-powered-toothbrush</t>
        </is>
      </c>
      <c r="AG59" s="13" t="inlineStr">
        <is>
          <t>https://www.colgate.com/en-my/products/toothbrush/colgate-proclinical-150-deepclean-battery-powered-toothbrush</t>
        </is>
      </c>
      <c r="AH59" s="12" t="inlineStr">
        <is>
          <t>Rapprochement sur l'alimentation à piles et le positionnement prix d'entrée de gamme. Concurrent de référence du segment SEAGO à piles : marque installée, prix d'entrée, tête remplaçable.</t>
        </is>
      </c>
      <c r="AI59" s="14" t="n"/>
      <c r="AJ59" s="14" t="n"/>
      <c r="AK59" s="15" t="n"/>
      <c r="AL59" s="16" t="n"/>
      <c r="AM59" s="15" t="n"/>
      <c r="AN59" s="17">
        <f>IF(OR(AJ59="",AI59=""),"",AJ59-AI59)</f>
        <v/>
      </c>
      <c r="AO59" s="18">
        <f>IF(OR(AJ59="",AI59="",AI59=0),"",(AJ59-AI59)/AI59)</f>
        <v/>
      </c>
      <c r="AP59" s="19">
        <f>IF(AO59="","",IF(AO59&lt;-0.05,"Moins cher",IF(AO59&gt;0.05,"Plus cher","Équivalent")))</f>
        <v/>
      </c>
    </row>
    <row r="60">
      <c r="A60" s="5" t="inlineStr">
        <is>
          <t>SG-2301</t>
        </is>
      </c>
      <c r="B60" s="5" t="inlineStr">
        <is>
          <t>Pro Sonic</t>
        </is>
      </c>
      <c r="C60" s="5" t="inlineStr">
        <is>
          <t>Sonique</t>
        </is>
      </c>
      <c r="D60" s="5" t="inlineStr">
        <is>
          <t>Adulte</t>
        </is>
      </c>
      <c r="E60" s="6" t="n">
        <v>40000</v>
      </c>
      <c r="F60" s="6" t="n">
        <v>40000</v>
      </c>
      <c r="G60" s="30" t="inlineStr">
        <is>
          <t>N/D</t>
        </is>
      </c>
      <c r="H60" s="7" t="n">
        <v>90</v>
      </c>
      <c r="I60" s="30" t="inlineStr">
        <is>
          <t>N/D</t>
        </is>
      </c>
      <c r="J60" s="5" t="inlineStr">
        <is>
          <t>Piles (2x AAA)</t>
        </is>
      </c>
      <c r="K60" s="5" t="inlineStr">
        <is>
          <t>Piles</t>
        </is>
      </c>
      <c r="L60" s="8" t="inlineStr">
        <is>
          <t>N/D</t>
        </is>
      </c>
      <c r="M60" s="5" t="inlineStr">
        <is>
          <t>IPX7</t>
        </is>
      </c>
      <c r="N60" s="5" t="inlineStr">
        <is>
          <t>Non</t>
        </is>
      </c>
      <c r="O60" s="5" t="inlineStr">
        <is>
          <t>Aucun</t>
        </is>
      </c>
      <c r="P60" s="5" t="inlineStr">
        <is>
          <t>Non</t>
        </is>
      </c>
      <c r="Q60" s="9" t="n">
        <v>35</v>
      </c>
      <c r="R60" s="5" t="inlineStr">
        <is>
          <t>22.4*22.4*217.6</t>
        </is>
      </c>
      <c r="S60" s="10" t="inlineStr">
        <is>
          <t>Manche fin et léger, commande à un seul bouton, tête remplaçable</t>
        </is>
      </c>
      <c r="T60" s="11" t="n">
        <v>34</v>
      </c>
      <c r="U60" s="12" t="inlineStr">
        <is>
          <t>ProClinical 150 (Charcoal / Deep Clean)</t>
        </is>
      </c>
      <c r="V60" s="12" t="inlineStr">
        <is>
          <t>Colgate</t>
        </is>
      </c>
      <c r="W60" s="12" t="inlineStr">
        <is>
          <t>Sonique à piles</t>
        </is>
      </c>
      <c r="X60" s="12" t="inlineStr">
        <is>
          <t>20 000 strokes/min</t>
        </is>
      </c>
      <c r="Y60" s="12" t="inlineStr">
        <is>
          <t>1 mode</t>
        </is>
      </c>
      <c r="Z60" s="29" t="inlineStr">
        <is>
          <t>N/D</t>
        </is>
      </c>
      <c r="AA60" s="29" t="inlineStr">
        <is>
          <t>N/D</t>
        </is>
      </c>
      <c r="AB60" s="12" t="inlineStr">
        <is>
          <t>Non</t>
        </is>
      </c>
      <c r="AC60" s="12" t="inlineStr">
        <is>
          <t>2 piles AAA</t>
        </is>
      </c>
      <c r="AD60" s="12" t="inlineStr">
        <is>
          <t>Non vérifié sur les marchés cibles (marque Colgate largement distribuée en GMS et pharmacie)</t>
        </is>
      </c>
      <c r="AE60" s="12" t="inlineStr">
        <is>
          <t>GMS, pharmacies</t>
        </is>
      </c>
      <c r="AF60" s="13" t="inlineStr">
        <is>
          <t>https://www.colgate.com/en-my/products/toothbrush/colgate-proclinical-150-charcoal-battery-powered-toothbrush</t>
        </is>
      </c>
      <c r="AG60" s="13" t="inlineStr">
        <is>
          <t>https://www.colgate.com/en-my/products/toothbrush/colgate-proclinical-150-deepclean-battery-powered-toothbrush</t>
        </is>
      </c>
      <c r="AH60" s="12" t="inlineStr">
        <is>
          <t>Rapprochement sur l'alimentation à piles et le positionnement prix d'entrée de gamme. Concurrent de référence du segment SEAGO à piles : marque installée, prix d'entrée, tête remplaçable.</t>
        </is>
      </c>
      <c r="AI60" s="14" t="n"/>
      <c r="AJ60" s="14" t="n"/>
      <c r="AK60" s="15" t="n"/>
      <c r="AL60" s="16" t="n"/>
      <c r="AM60" s="15" t="n"/>
      <c r="AN60" s="17">
        <f>IF(OR(AJ60="",AI60=""),"",AJ60-AI60)</f>
        <v/>
      </c>
      <c r="AO60" s="18">
        <f>IF(OR(AJ60="",AI60="",AI60=0),"",(AJ60-AI60)/AI60)</f>
        <v/>
      </c>
      <c r="AP60" s="19">
        <f>IF(AO60="","",IF(AO60&lt;-0.05,"Moins cher",IF(AO60&gt;0.05,"Plus cher","Équivalent")))</f>
        <v/>
      </c>
    </row>
    <row r="61">
      <c r="A61" s="20" t="inlineStr">
        <is>
          <t>SG-552</t>
        </is>
      </c>
      <c r="B61" s="20" t="inlineStr">
        <is>
          <t>Pro Sonic</t>
        </is>
      </c>
      <c r="C61" s="20" t="inlineStr">
        <is>
          <t>Sonique</t>
        </is>
      </c>
      <c r="D61" s="20" t="inlineStr">
        <is>
          <t>Adulte</t>
        </is>
      </c>
      <c r="E61" s="21" t="n">
        <v>28000</v>
      </c>
      <c r="F61" s="21" t="n">
        <v>28000</v>
      </c>
      <c r="G61" s="27" t="inlineStr">
        <is>
          <t>N/D</t>
        </is>
      </c>
      <c r="H61" s="22" t="n">
        <v>150</v>
      </c>
      <c r="I61" s="27" t="inlineStr">
        <is>
          <t>N/D</t>
        </is>
      </c>
      <c r="J61" s="20" t="inlineStr">
        <is>
          <t>Pile (1x AA)</t>
        </is>
      </c>
      <c r="K61" s="20" t="inlineStr">
        <is>
          <t>Piles</t>
        </is>
      </c>
      <c r="L61" s="26" t="inlineStr">
        <is>
          <t>N/D</t>
        </is>
      </c>
      <c r="M61" s="20" t="inlineStr">
        <is>
          <t>IPX7</t>
        </is>
      </c>
      <c r="N61" s="20" t="inlineStr">
        <is>
          <t>Non</t>
        </is>
      </c>
      <c r="O61" s="20" t="inlineStr">
        <is>
          <t>Aucun</t>
        </is>
      </c>
      <c r="P61" s="20" t="inlineStr">
        <is>
          <t>Non</t>
        </is>
      </c>
      <c r="Q61" s="23" t="n">
        <v>29.5</v>
      </c>
      <c r="R61" s="20" t="inlineStr">
        <is>
          <t>20*20*222</t>
        </is>
      </c>
      <c r="S61" s="24" t="inlineStr">
        <is>
          <t>Manche fin et léger, tête de brosse remplaçable</t>
        </is>
      </c>
      <c r="T61" s="25" t="n">
        <v>35</v>
      </c>
      <c r="U61" s="12" t="inlineStr">
        <is>
          <t>ProClinical 150 (Charcoal / Deep Clean)</t>
        </is>
      </c>
      <c r="V61" s="12" t="inlineStr">
        <is>
          <t>Colgate</t>
        </is>
      </c>
      <c r="W61" s="12" t="inlineStr">
        <is>
          <t>Sonique à piles</t>
        </is>
      </c>
      <c r="X61" s="12" t="inlineStr">
        <is>
          <t>20 000 strokes/min</t>
        </is>
      </c>
      <c r="Y61" s="12" t="inlineStr">
        <is>
          <t>1 mode</t>
        </is>
      </c>
      <c r="Z61" s="29" t="inlineStr">
        <is>
          <t>N/D</t>
        </is>
      </c>
      <c r="AA61" s="29" t="inlineStr">
        <is>
          <t>N/D</t>
        </is>
      </c>
      <c r="AB61" s="12" t="inlineStr">
        <is>
          <t>Non</t>
        </is>
      </c>
      <c r="AC61" s="12" t="inlineStr">
        <is>
          <t>2 piles AAA</t>
        </is>
      </c>
      <c r="AD61" s="12" t="inlineStr">
        <is>
          <t>Non vérifié sur les marchés cibles (marque Colgate largement distribuée en GMS et pharmacie)</t>
        </is>
      </c>
      <c r="AE61" s="12" t="inlineStr">
        <is>
          <t>GMS, pharmacies</t>
        </is>
      </c>
      <c r="AF61" s="13" t="inlineStr">
        <is>
          <t>https://www.colgate.com/en-my/products/toothbrush/colgate-proclinical-150-charcoal-battery-powered-toothbrush</t>
        </is>
      </c>
      <c r="AG61" s="13" t="inlineStr">
        <is>
          <t>https://www.colgate.com/en-my/products/toothbrush/colgate-proclinical-150-deepclean-battery-powered-toothbrush</t>
        </is>
      </c>
      <c r="AH61" s="12" t="inlineStr">
        <is>
          <t>Rapprochement sur l'alimentation à piles et le positionnement prix d'entrée de gamme. Concurrent de référence du segment SEAGO à piles : marque installée, prix d'entrée, tête remplaçable.</t>
        </is>
      </c>
      <c r="AI61" s="14" t="n"/>
      <c r="AJ61" s="14" t="n"/>
      <c r="AK61" s="15" t="n"/>
      <c r="AL61" s="16" t="n"/>
      <c r="AM61" s="15" t="n"/>
      <c r="AN61" s="17">
        <f>IF(OR(AJ61="",AI61=""),"",AJ61-AI61)</f>
        <v/>
      </c>
      <c r="AO61" s="18">
        <f>IF(OR(AJ61="",AI61="",AI61=0),"",(AJ61-AI61)/AI61)</f>
        <v/>
      </c>
      <c r="AP61" s="19">
        <f>IF(AO61="","",IF(AO61&lt;-0.05,"Moins cher",IF(AO61&gt;0.05,"Plus cher","Équivalent")))</f>
        <v/>
      </c>
    </row>
    <row r="62">
      <c r="A62" s="5" t="inlineStr">
        <is>
          <t>SG-2309</t>
        </is>
      </c>
      <c r="B62" s="5" t="inlineStr">
        <is>
          <t>Pro Sonic</t>
        </is>
      </c>
      <c r="C62" s="5" t="inlineStr">
        <is>
          <t>Sonique</t>
        </is>
      </c>
      <c r="D62" s="5" t="inlineStr">
        <is>
          <t>Adulte</t>
        </is>
      </c>
      <c r="E62" s="6" t="n">
        <v>40000</v>
      </c>
      <c r="F62" s="6" t="n">
        <v>40000</v>
      </c>
      <c r="G62" s="30" t="inlineStr">
        <is>
          <t>N/D</t>
        </is>
      </c>
      <c r="H62" s="7" t="n">
        <v>90</v>
      </c>
      <c r="I62" s="30" t="inlineStr">
        <is>
          <t>N/D</t>
        </is>
      </c>
      <c r="J62" s="5" t="inlineStr">
        <is>
          <t>Piles (2x AAA)</t>
        </is>
      </c>
      <c r="K62" s="5" t="inlineStr">
        <is>
          <t>Piles</t>
        </is>
      </c>
      <c r="L62" s="8" t="inlineStr">
        <is>
          <t>N/D</t>
        </is>
      </c>
      <c r="M62" s="5" t="inlineStr">
        <is>
          <t>IPX7</t>
        </is>
      </c>
      <c r="N62" s="5" t="inlineStr">
        <is>
          <t>Non</t>
        </is>
      </c>
      <c r="O62" s="5" t="inlineStr">
        <is>
          <t>Aucun</t>
        </is>
      </c>
      <c r="P62" s="5" t="inlineStr">
        <is>
          <t>Non</t>
        </is>
      </c>
      <c r="Q62" s="9" t="n">
        <v>43.5</v>
      </c>
      <c r="R62" s="5" t="inlineStr">
        <is>
          <t>19.9*20.8*220</t>
        </is>
      </c>
      <c r="S62" s="10" t="inlineStr">
        <is>
          <t>Commande à un seul bouton, manche fin et léger, tête remplaçable</t>
        </is>
      </c>
      <c r="T62" s="11" t="n">
        <v>35</v>
      </c>
      <c r="U62" s="12" t="inlineStr">
        <is>
          <t>ProClinical 150 (Charcoal / Deep Clean)</t>
        </is>
      </c>
      <c r="V62" s="12" t="inlineStr">
        <is>
          <t>Colgate</t>
        </is>
      </c>
      <c r="W62" s="12" t="inlineStr">
        <is>
          <t>Sonique à piles</t>
        </is>
      </c>
      <c r="X62" s="12" t="inlineStr">
        <is>
          <t>20 000 strokes/min</t>
        </is>
      </c>
      <c r="Y62" s="12" t="inlineStr">
        <is>
          <t>1 mode</t>
        </is>
      </c>
      <c r="Z62" s="29" t="inlineStr">
        <is>
          <t>N/D</t>
        </is>
      </c>
      <c r="AA62" s="29" t="inlineStr">
        <is>
          <t>N/D</t>
        </is>
      </c>
      <c r="AB62" s="12" t="inlineStr">
        <is>
          <t>Non</t>
        </is>
      </c>
      <c r="AC62" s="12" t="inlineStr">
        <is>
          <t>2 piles AAA</t>
        </is>
      </c>
      <c r="AD62" s="12" t="inlineStr">
        <is>
          <t>Non vérifié sur les marchés cibles (marque Colgate largement distribuée en GMS et pharmacie)</t>
        </is>
      </c>
      <c r="AE62" s="12" t="inlineStr">
        <is>
          <t>GMS, pharmacies</t>
        </is>
      </c>
      <c r="AF62" s="13" t="inlineStr">
        <is>
          <t>https://www.colgate.com/en-my/products/toothbrush/colgate-proclinical-150-charcoal-battery-powered-toothbrush</t>
        </is>
      </c>
      <c r="AG62" s="13" t="inlineStr">
        <is>
          <t>https://www.colgate.com/en-my/products/toothbrush/colgate-proclinical-150-deepclean-battery-powered-toothbrush</t>
        </is>
      </c>
      <c r="AH62" s="12" t="inlineStr">
        <is>
          <t>Rapprochement sur l'alimentation à piles et le positionnement prix d'entrée de gamme. Concurrent de référence du segment SEAGO à piles : marque installée, prix d'entrée, tête remplaçable.</t>
        </is>
      </c>
      <c r="AI62" s="14" t="n"/>
      <c r="AJ62" s="14" t="n"/>
      <c r="AK62" s="15" t="n"/>
      <c r="AL62" s="16" t="n"/>
      <c r="AM62" s="15" t="n"/>
      <c r="AN62" s="17">
        <f>IF(OR(AJ62="",AI62=""),"",AJ62-AI62)</f>
        <v/>
      </c>
      <c r="AO62" s="18">
        <f>IF(OR(AJ62="",AI62="",AI62=0),"",(AJ62-AI62)/AI62)</f>
        <v/>
      </c>
      <c r="AP62" s="19">
        <f>IF(AO62="","",IF(AO62&lt;-0.05,"Moins cher",IF(AO62&gt;0.05,"Plus cher","Équivalent")))</f>
        <v/>
      </c>
    </row>
    <row r="63">
      <c r="A63" s="20" t="inlineStr">
        <is>
          <t>SG-983</t>
        </is>
      </c>
      <c r="B63" s="20" t="inlineStr">
        <is>
          <t>Pro Sonic</t>
        </is>
      </c>
      <c r="C63" s="20" t="inlineStr">
        <is>
          <t>Sonique</t>
        </is>
      </c>
      <c r="D63" s="20" t="inlineStr">
        <is>
          <t>Adulte</t>
        </is>
      </c>
      <c r="E63" s="21" t="n">
        <v>32000</v>
      </c>
      <c r="F63" s="21" t="n">
        <v>32000</v>
      </c>
      <c r="G63" s="22" t="n">
        <v>2</v>
      </c>
      <c r="H63" s="22" t="n">
        <v>25</v>
      </c>
      <c r="I63" s="22" t="n">
        <v>260</v>
      </c>
      <c r="J63" s="20" t="inlineStr">
        <is>
          <t>Batterie Li-ion rechargeable</t>
        </is>
      </c>
      <c r="K63" s="20" t="inlineStr">
        <is>
          <t>Inductive (socle)</t>
        </is>
      </c>
      <c r="L63" s="26" t="inlineStr">
        <is>
          <t>N/D</t>
        </is>
      </c>
      <c r="M63" s="20" t="inlineStr">
        <is>
          <t>IPX7</t>
        </is>
      </c>
      <c r="N63" s="20" t="inlineStr">
        <is>
          <t>Non</t>
        </is>
      </c>
      <c r="O63" s="20" t="inlineStr">
        <is>
          <t>Aucun</t>
        </is>
      </c>
      <c r="P63" s="20" t="inlineStr">
        <is>
          <t>Oui</t>
        </is>
      </c>
      <c r="Q63" s="23" t="n">
        <v>74</v>
      </c>
      <c r="R63" s="20" t="inlineStr">
        <is>
          <t>26.3*28.0*231.7</t>
        </is>
      </c>
      <c r="S63" s="24" t="inlineStr">
        <is>
          <t>2 LED bleues de blanchiment activant les agents blanchissants du dentifrice, mémoire intelligente</t>
        </is>
      </c>
      <c r="T63" s="25" t="n">
        <v>36</v>
      </c>
      <c r="U63" s="12" t="inlineStr">
        <is>
          <t>Sonicare ProtectiveClean 4100 (HX6817)</t>
        </is>
      </c>
      <c r="V63" s="12" t="inlineStr">
        <is>
          <t>Philips</t>
        </is>
      </c>
      <c r="W63" s="12" t="inlineStr">
        <is>
          <t>Sonique</t>
        </is>
      </c>
      <c r="X63" s="12" t="inlineStr">
        <is>
          <t>31 000 strokes/min (62 000 mouvements/min)</t>
        </is>
      </c>
      <c r="Y63" s="12" t="inlineStr">
        <is>
          <t>1 mode Clean (2 intensités selon version)</t>
        </is>
      </c>
      <c r="Z63" s="12" t="n">
        <v>14</v>
      </c>
      <c r="AA63" s="12" t="inlineStr">
        <is>
          <t>IPX7</t>
        </is>
      </c>
      <c r="AB63" s="12" t="inlineStr">
        <is>
          <t>Oui (alerte sonore)</t>
        </is>
      </c>
      <c r="AC63" s="12" t="inlineStr">
        <is>
          <t>Socle inductif</t>
        </is>
      </c>
      <c r="AD63" s="12" t="inlineStr">
        <is>
          <t>EAU (Noon, vérifié)</t>
        </is>
      </c>
      <c r="AE63" s="12" t="inlineStr">
        <is>
          <t>Noon UAE, pharmacies et GMS</t>
        </is>
      </c>
      <c r="AF63" s="13" t="inlineStr">
        <is>
          <t>https://www.usa.philips.com/c-p/HX6817_01/sonicare-protectiveclean-4100-sonic-electric-toothbrush</t>
        </is>
      </c>
      <c r="AG63" s="13" t="inlineStr">
        <is>
          <t>https://www.noon.com/uae-en/beauty/personal-care-16343/oral-hygiene/power-toothbrushes/philips_sonicare/</t>
        </is>
      </c>
      <c r="AH63" s="12" t="inlineStr">
        <is>
          <t>Rapprochement sur la charge par socle inductif et le positionnement premium du segment sonique. Technologie BrushSync (rappel de remplacement de tête). Référence premium du segment sonique.</t>
        </is>
      </c>
      <c r="AI63" s="14" t="n"/>
      <c r="AJ63" s="14" t="n"/>
      <c r="AK63" s="15" t="n"/>
      <c r="AL63" s="16" t="n"/>
      <c r="AM63" s="15" t="n"/>
      <c r="AN63" s="17">
        <f>IF(OR(AJ63="",AI63=""),"",AJ63-AI63)</f>
        <v/>
      </c>
      <c r="AO63" s="18">
        <f>IF(OR(AJ63="",AI63="",AI63=0),"",(AJ63-AI63)/AI63)</f>
        <v/>
      </c>
      <c r="AP63" s="19">
        <f>IF(AO63="","",IF(AO63&lt;-0.05,"Moins cher",IF(AO63&gt;0.05,"Plus cher","Équivalent")))</f>
        <v/>
      </c>
    </row>
    <row r="64">
      <c r="A64" s="5" t="inlineStr">
        <is>
          <t>SG-501</t>
        </is>
      </c>
      <c r="B64" s="5" t="inlineStr">
        <is>
          <t>Daily Clean</t>
        </is>
      </c>
      <c r="C64" s="5" t="inlineStr">
        <is>
          <t>Sonique</t>
        </is>
      </c>
      <c r="D64" s="5" t="inlineStr">
        <is>
          <t>Adulte</t>
        </is>
      </c>
      <c r="E64" s="6" t="n">
        <v>28000</v>
      </c>
      <c r="F64" s="6" t="n">
        <v>28000</v>
      </c>
      <c r="G64" s="7" t="n">
        <v>2</v>
      </c>
      <c r="H64" s="7" t="n">
        <v>120</v>
      </c>
      <c r="I64" s="30" t="inlineStr">
        <is>
          <t>N/D</t>
        </is>
      </c>
      <c r="J64" s="5" t="inlineStr">
        <is>
          <t>Pile (1x AAA)</t>
        </is>
      </c>
      <c r="K64" s="5" t="inlineStr">
        <is>
          <t>Piles</t>
        </is>
      </c>
      <c r="L64" s="8" t="inlineStr">
        <is>
          <t>N/D</t>
        </is>
      </c>
      <c r="M64" s="5" t="inlineStr">
        <is>
          <t>IPX7</t>
        </is>
      </c>
      <c r="N64" s="5" t="inlineStr">
        <is>
          <t>Non</t>
        </is>
      </c>
      <c r="O64" s="5" t="inlineStr">
        <is>
          <t>Aucun</t>
        </is>
      </c>
      <c r="P64" s="5" t="inlineStr">
        <is>
          <t>Oui</t>
        </is>
      </c>
      <c r="Q64" s="9" t="n">
        <v>33</v>
      </c>
      <c r="R64" s="5" t="inlineStr">
        <is>
          <t>179.00*20.48*20.51</t>
        </is>
      </c>
      <c r="S64" s="10" t="inlineStr">
        <is>
          <t>Design rouge à lèvres fin, format voyage</t>
        </is>
      </c>
      <c r="T64" s="11" t="n">
        <v>38</v>
      </c>
      <c r="U64" s="12" t="inlineStr">
        <is>
          <t>ProClinical 150 (Charcoal / Deep Clean)</t>
        </is>
      </c>
      <c r="V64" s="12" t="inlineStr">
        <is>
          <t>Colgate</t>
        </is>
      </c>
      <c r="W64" s="12" t="inlineStr">
        <is>
          <t>Sonique à piles</t>
        </is>
      </c>
      <c r="X64" s="12" t="inlineStr">
        <is>
          <t>20 000 strokes/min</t>
        </is>
      </c>
      <c r="Y64" s="12" t="inlineStr">
        <is>
          <t>1 mode</t>
        </is>
      </c>
      <c r="Z64" s="29" t="inlineStr">
        <is>
          <t>N/D</t>
        </is>
      </c>
      <c r="AA64" s="29" t="inlineStr">
        <is>
          <t>N/D</t>
        </is>
      </c>
      <c r="AB64" s="12" t="inlineStr">
        <is>
          <t>Non</t>
        </is>
      </c>
      <c r="AC64" s="12" t="inlineStr">
        <is>
          <t>2 piles AAA</t>
        </is>
      </c>
      <c r="AD64" s="12" t="inlineStr">
        <is>
          <t>Non vérifié sur les marchés cibles (marque Colgate largement distribuée en GMS et pharmacie)</t>
        </is>
      </c>
      <c r="AE64" s="12" t="inlineStr">
        <is>
          <t>GMS, pharmacies</t>
        </is>
      </c>
      <c r="AF64" s="13" t="inlineStr">
        <is>
          <t>https://www.colgate.com/en-my/products/toothbrush/colgate-proclinical-150-charcoal-battery-powered-toothbrush</t>
        </is>
      </c>
      <c r="AG64" s="13" t="inlineStr">
        <is>
          <t>https://www.colgate.com/en-my/products/toothbrush/colgate-proclinical-150-deepclean-battery-powered-toothbrush</t>
        </is>
      </c>
      <c r="AH64" s="12" t="inlineStr">
        <is>
          <t>Rapprochement sur l'alimentation à piles et le positionnement prix d'entrée de gamme. Concurrent de référence du segment SEAGO à piles : marque installée, prix d'entrée, tête remplaçable.</t>
        </is>
      </c>
      <c r="AI64" s="14" t="n"/>
      <c r="AJ64" s="14" t="n"/>
      <c r="AK64" s="15" t="n"/>
      <c r="AL64" s="16" t="n"/>
      <c r="AM64" s="15" t="n"/>
      <c r="AN64" s="17">
        <f>IF(OR(AJ64="",AI64=""),"",AJ64-AI64)</f>
        <v/>
      </c>
      <c r="AO64" s="18">
        <f>IF(OR(AJ64="",AI64="",AI64=0),"",(AJ64-AI64)/AI64)</f>
        <v/>
      </c>
      <c r="AP64" s="19">
        <f>IF(AO64="","",IF(AO64&lt;-0.05,"Moins cher",IF(AO64&gt;0.05,"Plus cher","Équivalent")))</f>
        <v/>
      </c>
    </row>
    <row r="65">
      <c r="A65" s="20" t="inlineStr">
        <is>
          <t>SG-505</t>
        </is>
      </c>
      <c r="B65" s="20" t="inlineStr">
        <is>
          <t>Daily Clean</t>
        </is>
      </c>
      <c r="C65" s="20" t="inlineStr">
        <is>
          <t>Sonique</t>
        </is>
      </c>
      <c r="D65" s="20" t="inlineStr">
        <is>
          <t>Adulte</t>
        </is>
      </c>
      <c r="E65" s="21" t="n">
        <v>24000</v>
      </c>
      <c r="F65" s="21" t="n">
        <v>24000</v>
      </c>
      <c r="G65" s="22" t="n">
        <v>2</v>
      </c>
      <c r="H65" s="22" t="n">
        <v>120</v>
      </c>
      <c r="I65" s="27" t="inlineStr">
        <is>
          <t>N/D</t>
        </is>
      </c>
      <c r="J65" s="20" t="inlineStr">
        <is>
          <t>Pile (1x AAA)</t>
        </is>
      </c>
      <c r="K65" s="20" t="inlineStr">
        <is>
          <t>Piles</t>
        </is>
      </c>
      <c r="L65" s="26" t="inlineStr">
        <is>
          <t>N/D</t>
        </is>
      </c>
      <c r="M65" s="20" t="inlineStr">
        <is>
          <t>IPX7</t>
        </is>
      </c>
      <c r="N65" s="20" t="inlineStr">
        <is>
          <t>Non</t>
        </is>
      </c>
      <c r="O65" s="20" t="inlineStr">
        <is>
          <t>Aucun</t>
        </is>
      </c>
      <c r="P65" s="20" t="inlineStr">
        <is>
          <t>Oui</t>
        </is>
      </c>
      <c r="Q65" s="23" t="n">
        <v>29.4</v>
      </c>
      <c r="R65" s="20" t="inlineStr">
        <is>
          <t>19.6*168.4</t>
        </is>
      </c>
      <c r="S65" s="24" t="inlineStr">
        <is>
          <t>Design rouge à lèvres fin, minuteur 2 min avec rappel toutes les 30 s, format voyage</t>
        </is>
      </c>
      <c r="T65" s="25" t="n">
        <v>38</v>
      </c>
      <c r="U65" s="12" t="inlineStr">
        <is>
          <t>ProClinical 150 (Charcoal / Deep Clean)</t>
        </is>
      </c>
      <c r="V65" s="12" t="inlineStr">
        <is>
          <t>Colgate</t>
        </is>
      </c>
      <c r="W65" s="12" t="inlineStr">
        <is>
          <t>Sonique à piles</t>
        </is>
      </c>
      <c r="X65" s="12" t="inlineStr">
        <is>
          <t>20 000 strokes/min</t>
        </is>
      </c>
      <c r="Y65" s="12" t="inlineStr">
        <is>
          <t>1 mode</t>
        </is>
      </c>
      <c r="Z65" s="29" t="inlineStr">
        <is>
          <t>N/D</t>
        </is>
      </c>
      <c r="AA65" s="29" t="inlineStr">
        <is>
          <t>N/D</t>
        </is>
      </c>
      <c r="AB65" s="12" t="inlineStr">
        <is>
          <t>Non</t>
        </is>
      </c>
      <c r="AC65" s="12" t="inlineStr">
        <is>
          <t>2 piles AAA</t>
        </is>
      </c>
      <c r="AD65" s="12" t="inlineStr">
        <is>
          <t>Non vérifié sur les marchés cibles (marque Colgate largement distribuée en GMS et pharmacie)</t>
        </is>
      </c>
      <c r="AE65" s="12" t="inlineStr">
        <is>
          <t>GMS, pharmacies</t>
        </is>
      </c>
      <c r="AF65" s="13" t="inlineStr">
        <is>
          <t>https://www.colgate.com/en-my/products/toothbrush/colgate-proclinical-150-charcoal-battery-powered-toothbrush</t>
        </is>
      </c>
      <c r="AG65" s="13" t="inlineStr">
        <is>
          <t>https://www.colgate.com/en-my/products/toothbrush/colgate-proclinical-150-deepclean-battery-powered-toothbrush</t>
        </is>
      </c>
      <c r="AH65" s="12" t="inlineStr">
        <is>
          <t>Rapprochement sur l'alimentation à piles et le positionnement prix d'entrée de gamme. Concurrent de référence du segment SEAGO à piles : marque installée, prix d'entrée, tête remplaçable.</t>
        </is>
      </c>
      <c r="AI65" s="14" t="n"/>
      <c r="AJ65" s="14" t="n"/>
      <c r="AK65" s="15" t="n"/>
      <c r="AL65" s="16" t="n"/>
      <c r="AM65" s="15" t="n"/>
      <c r="AN65" s="17">
        <f>IF(OR(AJ65="",AI65=""),"",AJ65-AI65)</f>
        <v/>
      </c>
      <c r="AO65" s="18">
        <f>IF(OR(AJ65="",AI65="",AI65=0),"",(AJ65-AI65)/AI65)</f>
        <v/>
      </c>
      <c r="AP65" s="19">
        <f>IF(AO65="","",IF(AO65&lt;-0.05,"Moins cher",IF(AO65&gt;0.05,"Plus cher","Équivalent")))</f>
        <v/>
      </c>
    </row>
    <row r="66">
      <c r="A66" s="5" t="inlineStr">
        <is>
          <t>SG-929</t>
        </is>
      </c>
      <c r="B66" s="5" t="inlineStr">
        <is>
          <t>Daily Clean</t>
        </is>
      </c>
      <c r="C66" s="5" t="inlineStr">
        <is>
          <t>Sonique</t>
        </is>
      </c>
      <c r="D66" s="5" t="inlineStr">
        <is>
          <t>Adulte</t>
        </is>
      </c>
      <c r="E66" s="6" t="n">
        <v>22000</v>
      </c>
      <c r="F66" s="6" t="n">
        <v>22000</v>
      </c>
      <c r="G66" s="30" t="inlineStr">
        <is>
          <t>N/D</t>
        </is>
      </c>
      <c r="H66" s="7" t="n">
        <v>120</v>
      </c>
      <c r="I66" s="30" t="inlineStr">
        <is>
          <t>N/D</t>
        </is>
      </c>
      <c r="J66" s="5" t="inlineStr">
        <is>
          <t>Piles (1x AAA brosse + 2x AAA stérilisateur)</t>
        </is>
      </c>
      <c r="K66" s="5" t="inlineStr">
        <is>
          <t>Piles</t>
        </is>
      </c>
      <c r="L66" s="8" t="inlineStr">
        <is>
          <t>N/D</t>
        </is>
      </c>
      <c r="M66" s="32" t="inlineStr">
        <is>
          <t>N/D</t>
        </is>
      </c>
      <c r="N66" s="5" t="inlineStr">
        <is>
          <t>Non</t>
        </is>
      </c>
      <c r="O66" s="5" t="inlineStr">
        <is>
          <t>Aucun</t>
        </is>
      </c>
      <c r="P66" s="5" t="inlineStr">
        <is>
          <t>Non</t>
        </is>
      </c>
      <c r="Q66" s="9" t="n">
        <v>74</v>
      </c>
      <c r="R66" s="5" t="inlineStr">
        <is>
          <t>40.5*20*172</t>
        </is>
      </c>
      <c r="S66" s="10" t="inlineStr">
        <is>
          <t>Stérilisateur UV intégré (99,9 % des bactéries), intensité UV supérieure à 230 µW/cm², durée de vie du tube supérieure à 8000 h, autonomie UV 30 jours, tenon plastique</t>
        </is>
      </c>
      <c r="T66" s="11" t="n">
        <v>39</v>
      </c>
      <c r="U66" s="12" t="inlineStr">
        <is>
          <t>ProClinical 150 (Charcoal / Deep Clean)</t>
        </is>
      </c>
      <c r="V66" s="12" t="inlineStr">
        <is>
          <t>Colgate</t>
        </is>
      </c>
      <c r="W66" s="12" t="inlineStr">
        <is>
          <t>Sonique à piles</t>
        </is>
      </c>
      <c r="X66" s="12" t="inlineStr">
        <is>
          <t>20 000 strokes/min</t>
        </is>
      </c>
      <c r="Y66" s="12" t="inlineStr">
        <is>
          <t>1 mode</t>
        </is>
      </c>
      <c r="Z66" s="29" t="inlineStr">
        <is>
          <t>N/D</t>
        </is>
      </c>
      <c r="AA66" s="29" t="inlineStr">
        <is>
          <t>N/D</t>
        </is>
      </c>
      <c r="AB66" s="12" t="inlineStr">
        <is>
          <t>Non</t>
        </is>
      </c>
      <c r="AC66" s="12" t="inlineStr">
        <is>
          <t>2 piles AAA</t>
        </is>
      </c>
      <c r="AD66" s="12" t="inlineStr">
        <is>
          <t>Non vérifié sur les marchés cibles (marque Colgate largement distribuée en GMS et pharmacie)</t>
        </is>
      </c>
      <c r="AE66" s="12" t="inlineStr">
        <is>
          <t>GMS, pharmacies</t>
        </is>
      </c>
      <c r="AF66" s="13" t="inlineStr">
        <is>
          <t>https://www.colgate.com/en-my/products/toothbrush/colgate-proclinical-150-charcoal-battery-powered-toothbrush</t>
        </is>
      </c>
      <c r="AG66" s="13" t="inlineStr">
        <is>
          <t>https://www.colgate.com/en-my/products/toothbrush/colgate-proclinical-150-deepclean-battery-powered-toothbrush</t>
        </is>
      </c>
      <c r="AH66" s="12" t="inlineStr">
        <is>
          <t>Rapprochement sur l'alimentation à piles et le positionnement prix d'entrée de gamme. Concurrent de référence du segment SEAGO à piles : marque installée, prix d'entrée, tête remplaçable.</t>
        </is>
      </c>
      <c r="AI66" s="14" t="n"/>
      <c r="AJ66" s="14" t="n"/>
      <c r="AK66" s="15" t="n"/>
      <c r="AL66" s="16" t="n"/>
      <c r="AM66" s="15" t="n"/>
      <c r="AN66" s="17">
        <f>IF(OR(AJ66="",AI66=""),"",AJ66-AI66)</f>
        <v/>
      </c>
      <c r="AO66" s="18">
        <f>IF(OR(AJ66="",AI66="",AI66=0),"",(AJ66-AI66)/AI66)</f>
        <v/>
      </c>
      <c r="AP66" s="19">
        <f>IF(AO66="","",IF(AO66&lt;-0.05,"Moins cher",IF(AO66&gt;0.05,"Plus cher","Équivalent")))</f>
        <v/>
      </c>
    </row>
    <row r="67">
      <c r="A67" s="20" t="inlineStr">
        <is>
          <t>SG-933</t>
        </is>
      </c>
      <c r="B67" s="20" t="inlineStr">
        <is>
          <t>Daily Clean</t>
        </is>
      </c>
      <c r="C67" s="20" t="inlineStr">
        <is>
          <t>Sonique</t>
        </is>
      </c>
      <c r="D67" s="20" t="inlineStr">
        <is>
          <t>Adulte</t>
        </is>
      </c>
      <c r="E67" s="21" t="n">
        <v>24000</v>
      </c>
      <c r="F67" s="21" t="n">
        <v>24000</v>
      </c>
      <c r="G67" s="27" t="inlineStr">
        <is>
          <t>N/D</t>
        </is>
      </c>
      <c r="H67" s="22" t="n">
        <v>120</v>
      </c>
      <c r="I67" s="27" t="inlineStr">
        <is>
          <t>N/D</t>
        </is>
      </c>
      <c r="J67" s="20" t="inlineStr">
        <is>
          <t>Pile (1x AAA)</t>
        </is>
      </c>
      <c r="K67" s="20" t="inlineStr">
        <is>
          <t>Piles</t>
        </is>
      </c>
      <c r="L67" s="26" t="inlineStr">
        <is>
          <t>N/D</t>
        </is>
      </c>
      <c r="M67" s="20" t="inlineStr">
        <is>
          <t>IPX7</t>
        </is>
      </c>
      <c r="N67" s="20" t="inlineStr">
        <is>
          <t>Non</t>
        </is>
      </c>
      <c r="O67" s="20" t="inlineStr">
        <is>
          <t>Aucun</t>
        </is>
      </c>
      <c r="P67" s="20" t="inlineStr">
        <is>
          <t>Non</t>
        </is>
      </c>
      <c r="Q67" s="23" t="n">
        <v>30</v>
      </c>
      <c r="R67" s="20" t="inlineStr">
        <is>
          <t>20*20*163.5</t>
        </is>
      </c>
      <c r="S67" s="24" t="inlineStr">
        <is>
          <t>Design rouge à lèvres fin, format voyage, tenon plastique</t>
        </is>
      </c>
      <c r="T67" s="25" t="n">
        <v>39</v>
      </c>
      <c r="U67" s="12" t="inlineStr">
        <is>
          <t>ProClinical 150 (Charcoal / Deep Clean)</t>
        </is>
      </c>
      <c r="V67" s="12" t="inlineStr">
        <is>
          <t>Colgate</t>
        </is>
      </c>
      <c r="W67" s="12" t="inlineStr">
        <is>
          <t>Sonique à piles</t>
        </is>
      </c>
      <c r="X67" s="12" t="inlineStr">
        <is>
          <t>20 000 strokes/min</t>
        </is>
      </c>
      <c r="Y67" s="12" t="inlineStr">
        <is>
          <t>1 mode</t>
        </is>
      </c>
      <c r="Z67" s="29" t="inlineStr">
        <is>
          <t>N/D</t>
        </is>
      </c>
      <c r="AA67" s="29" t="inlineStr">
        <is>
          <t>N/D</t>
        </is>
      </c>
      <c r="AB67" s="12" t="inlineStr">
        <is>
          <t>Non</t>
        </is>
      </c>
      <c r="AC67" s="12" t="inlineStr">
        <is>
          <t>2 piles AAA</t>
        </is>
      </c>
      <c r="AD67" s="12" t="inlineStr">
        <is>
          <t>Non vérifié sur les marchés cibles (marque Colgate largement distribuée en GMS et pharmacie)</t>
        </is>
      </c>
      <c r="AE67" s="12" t="inlineStr">
        <is>
          <t>GMS, pharmacies</t>
        </is>
      </c>
      <c r="AF67" s="13" t="inlineStr">
        <is>
          <t>https://www.colgate.com/en-my/products/toothbrush/colgate-proclinical-150-charcoal-battery-powered-toothbrush</t>
        </is>
      </c>
      <c r="AG67" s="13" t="inlineStr">
        <is>
          <t>https://www.colgate.com/en-my/products/toothbrush/colgate-proclinical-150-deepclean-battery-powered-toothbrush</t>
        </is>
      </c>
      <c r="AH67" s="12" t="inlineStr">
        <is>
          <t>Rapprochement sur l'alimentation à piles et le positionnement prix d'entrée de gamme. Concurrent de référence du segment SEAGO à piles : marque installée, prix d'entrée, tête remplaçable.</t>
        </is>
      </c>
      <c r="AI67" s="14" t="n"/>
      <c r="AJ67" s="14" t="n"/>
      <c r="AK67" s="15" t="n"/>
      <c r="AL67" s="16" t="n"/>
      <c r="AM67" s="15" t="n"/>
      <c r="AN67" s="17">
        <f>IF(OR(AJ67="",AI67=""),"",AJ67-AI67)</f>
        <v/>
      </c>
      <c r="AO67" s="18">
        <f>IF(OR(AJ67="",AI67="",AI67=0),"",(AJ67-AI67)/AI67)</f>
        <v/>
      </c>
      <c r="AP67" s="19">
        <f>IF(AO67="","",IF(AO67&lt;-0.05,"Moins cher",IF(AO67&gt;0.05,"Plus cher","Équivalent")))</f>
        <v/>
      </c>
    </row>
    <row r="68">
      <c r="A68" s="5" t="inlineStr">
        <is>
          <t>SG-928</t>
        </is>
      </c>
      <c r="B68" s="5" t="inlineStr">
        <is>
          <t>Daily Clean</t>
        </is>
      </c>
      <c r="C68" s="5" t="inlineStr">
        <is>
          <t>Sonique</t>
        </is>
      </c>
      <c r="D68" s="5" t="inlineStr">
        <is>
          <t>Adulte</t>
        </is>
      </c>
      <c r="E68" s="6" t="n">
        <v>24000</v>
      </c>
      <c r="F68" s="6" t="n">
        <v>24000</v>
      </c>
      <c r="G68" s="30" t="inlineStr">
        <is>
          <t>N/D</t>
        </is>
      </c>
      <c r="H68" s="7" t="n">
        <v>120</v>
      </c>
      <c r="I68" s="30" t="inlineStr">
        <is>
          <t>N/D</t>
        </is>
      </c>
      <c r="J68" s="5" t="inlineStr">
        <is>
          <t>Pile (1x AAA)</t>
        </is>
      </c>
      <c r="K68" s="5" t="inlineStr">
        <is>
          <t>Piles</t>
        </is>
      </c>
      <c r="L68" s="8" t="inlineStr">
        <is>
          <t>N/D</t>
        </is>
      </c>
      <c r="M68" s="5" t="inlineStr">
        <is>
          <t>IPX7</t>
        </is>
      </c>
      <c r="N68" s="5" t="inlineStr">
        <is>
          <t>Non</t>
        </is>
      </c>
      <c r="O68" s="5" t="inlineStr">
        <is>
          <t>Aucun</t>
        </is>
      </c>
      <c r="P68" s="5" t="inlineStr">
        <is>
          <t>Non</t>
        </is>
      </c>
      <c r="Q68" s="9" t="n">
        <v>30</v>
      </c>
      <c r="R68" s="5" t="inlineStr">
        <is>
          <t>22.8*22.8*182.5</t>
        </is>
      </c>
      <c r="S68" s="10" t="inlineStr">
        <is>
          <t>Design rouge à lèvres fin, format voyage, tenon plastique</t>
        </is>
      </c>
      <c r="T68" s="11" t="n">
        <v>40</v>
      </c>
      <c r="U68" s="12" t="inlineStr">
        <is>
          <t>ProClinical 150 (Charcoal / Deep Clean)</t>
        </is>
      </c>
      <c r="V68" s="12" t="inlineStr">
        <is>
          <t>Colgate</t>
        </is>
      </c>
      <c r="W68" s="12" t="inlineStr">
        <is>
          <t>Sonique à piles</t>
        </is>
      </c>
      <c r="X68" s="12" t="inlineStr">
        <is>
          <t>20 000 strokes/min</t>
        </is>
      </c>
      <c r="Y68" s="12" t="inlineStr">
        <is>
          <t>1 mode</t>
        </is>
      </c>
      <c r="Z68" s="29" t="inlineStr">
        <is>
          <t>N/D</t>
        </is>
      </c>
      <c r="AA68" s="29" t="inlineStr">
        <is>
          <t>N/D</t>
        </is>
      </c>
      <c r="AB68" s="12" t="inlineStr">
        <is>
          <t>Non</t>
        </is>
      </c>
      <c r="AC68" s="12" t="inlineStr">
        <is>
          <t>2 piles AAA</t>
        </is>
      </c>
      <c r="AD68" s="12" t="inlineStr">
        <is>
          <t>Non vérifié sur les marchés cibles (marque Colgate largement distribuée en GMS et pharmacie)</t>
        </is>
      </c>
      <c r="AE68" s="12" t="inlineStr">
        <is>
          <t>GMS, pharmacies</t>
        </is>
      </c>
      <c r="AF68" s="13" t="inlineStr">
        <is>
          <t>https://www.colgate.com/en-my/products/toothbrush/colgate-proclinical-150-charcoal-battery-powered-toothbrush</t>
        </is>
      </c>
      <c r="AG68" s="13" t="inlineStr">
        <is>
          <t>https://www.colgate.com/en-my/products/toothbrush/colgate-proclinical-150-deepclean-battery-powered-toothbrush</t>
        </is>
      </c>
      <c r="AH68" s="12" t="inlineStr">
        <is>
          <t>Rapprochement sur l'alimentation à piles et le positionnement prix d'entrée de gamme. Concurrent de référence du segment SEAGO à piles : marque installée, prix d'entrée, tête remplaçable.</t>
        </is>
      </c>
      <c r="AI68" s="14" t="n"/>
      <c r="AJ68" s="14" t="n"/>
      <c r="AK68" s="15" t="n"/>
      <c r="AL68" s="16" t="n"/>
      <c r="AM68" s="15" t="n"/>
      <c r="AN68" s="17">
        <f>IF(OR(AJ68="",AI68=""),"",AJ68-AI68)</f>
        <v/>
      </c>
      <c r="AO68" s="18">
        <f>IF(OR(AJ68="",AI68="",AI68=0),"",(AJ68-AI68)/AI68)</f>
        <v/>
      </c>
      <c r="AP68" s="19">
        <f>IF(AO68="","",IF(AO68&lt;-0.05,"Moins cher",IF(AO68&gt;0.05,"Plus cher","Équivalent")))</f>
        <v/>
      </c>
    </row>
    <row r="69">
      <c r="A69" s="20" t="inlineStr">
        <is>
          <t>SG-923</t>
        </is>
      </c>
      <c r="B69" s="20" t="inlineStr">
        <is>
          <t>Daily Clean</t>
        </is>
      </c>
      <c r="C69" s="20" t="inlineStr">
        <is>
          <t>Sonique</t>
        </is>
      </c>
      <c r="D69" s="20" t="inlineStr">
        <is>
          <t>Adulte</t>
        </is>
      </c>
      <c r="E69" s="21" t="n">
        <v>24000</v>
      </c>
      <c r="F69" s="21" t="n">
        <v>24000</v>
      </c>
      <c r="G69" s="27" t="inlineStr">
        <is>
          <t>N/D</t>
        </is>
      </c>
      <c r="H69" s="22" t="n">
        <v>120</v>
      </c>
      <c r="I69" s="27" t="inlineStr">
        <is>
          <t>N/D</t>
        </is>
      </c>
      <c r="J69" s="20" t="inlineStr">
        <is>
          <t>Pile (1x AAA)</t>
        </is>
      </c>
      <c r="K69" s="20" t="inlineStr">
        <is>
          <t>Piles</t>
        </is>
      </c>
      <c r="L69" s="26" t="inlineStr">
        <is>
          <t>N/D</t>
        </is>
      </c>
      <c r="M69" s="20" t="inlineStr">
        <is>
          <t>IPX7</t>
        </is>
      </c>
      <c r="N69" s="20" t="inlineStr">
        <is>
          <t>Non</t>
        </is>
      </c>
      <c r="O69" s="20" t="inlineStr">
        <is>
          <t>Aucun</t>
        </is>
      </c>
      <c r="P69" s="20" t="inlineStr">
        <is>
          <t>Non</t>
        </is>
      </c>
      <c r="Q69" s="23" t="n">
        <v>30</v>
      </c>
      <c r="R69" s="20" t="inlineStr">
        <is>
          <t>20*20*162</t>
        </is>
      </c>
      <c r="S69" s="24" t="inlineStr">
        <is>
          <t>Design rouge à lèvres fin, impression ou motif en option, tenon plastique</t>
        </is>
      </c>
      <c r="T69" s="25" t="n">
        <v>40</v>
      </c>
      <c r="U69" s="12" t="inlineStr">
        <is>
          <t>ProClinical 150 (Charcoal / Deep Clean)</t>
        </is>
      </c>
      <c r="V69" s="12" t="inlineStr">
        <is>
          <t>Colgate</t>
        </is>
      </c>
      <c r="W69" s="12" t="inlineStr">
        <is>
          <t>Sonique à piles</t>
        </is>
      </c>
      <c r="X69" s="12" t="inlineStr">
        <is>
          <t>20 000 strokes/min</t>
        </is>
      </c>
      <c r="Y69" s="12" t="inlineStr">
        <is>
          <t>1 mode</t>
        </is>
      </c>
      <c r="Z69" s="29" t="inlineStr">
        <is>
          <t>N/D</t>
        </is>
      </c>
      <c r="AA69" s="29" t="inlineStr">
        <is>
          <t>N/D</t>
        </is>
      </c>
      <c r="AB69" s="12" t="inlineStr">
        <is>
          <t>Non</t>
        </is>
      </c>
      <c r="AC69" s="12" t="inlineStr">
        <is>
          <t>2 piles AAA</t>
        </is>
      </c>
      <c r="AD69" s="12" t="inlineStr">
        <is>
          <t>Non vérifié sur les marchés cibles (marque Colgate largement distribuée en GMS et pharmacie)</t>
        </is>
      </c>
      <c r="AE69" s="12" t="inlineStr">
        <is>
          <t>GMS, pharmacies</t>
        </is>
      </c>
      <c r="AF69" s="13" t="inlineStr">
        <is>
          <t>https://www.colgate.com/en-my/products/toothbrush/colgate-proclinical-150-charcoal-battery-powered-toothbrush</t>
        </is>
      </c>
      <c r="AG69" s="13" t="inlineStr">
        <is>
          <t>https://www.colgate.com/en-my/products/toothbrush/colgate-proclinical-150-deepclean-battery-powered-toothbrush</t>
        </is>
      </c>
      <c r="AH69" s="12" t="inlineStr">
        <is>
          <t>Rapprochement sur l'alimentation à piles et le positionnement prix d'entrée de gamme. Concurrent de référence du segment SEAGO à piles : marque installée, prix d'entrée, tête remplaçable.</t>
        </is>
      </c>
      <c r="AI69" s="14" t="n"/>
      <c r="AJ69" s="14" t="n"/>
      <c r="AK69" s="15" t="n"/>
      <c r="AL69" s="16" t="n"/>
      <c r="AM69" s="15" t="n"/>
      <c r="AN69" s="17">
        <f>IF(OR(AJ69="",AI69=""),"",AJ69-AI69)</f>
        <v/>
      </c>
      <c r="AO69" s="18">
        <f>IF(OR(AJ69="",AI69="",AI69=0),"",(AJ69-AI69)/AI69)</f>
        <v/>
      </c>
      <c r="AP69" s="19">
        <f>IF(AO69="","",IF(AO69&lt;-0.05,"Moins cher",IF(AO69&gt;0.05,"Plus cher","Équivalent")))</f>
        <v/>
      </c>
    </row>
    <row r="70">
      <c r="A70" s="5" t="inlineStr">
        <is>
          <t>SG-932</t>
        </is>
      </c>
      <c r="B70" s="5" t="inlineStr">
        <is>
          <t>Daily Clean</t>
        </is>
      </c>
      <c r="C70" s="5" t="inlineStr">
        <is>
          <t>Sonique</t>
        </is>
      </c>
      <c r="D70" s="5" t="inlineStr">
        <is>
          <t>Adulte</t>
        </is>
      </c>
      <c r="E70" s="6" t="n">
        <v>24000</v>
      </c>
      <c r="F70" s="6" t="n">
        <v>24000</v>
      </c>
      <c r="G70" s="30" t="inlineStr">
        <is>
          <t>N/D</t>
        </is>
      </c>
      <c r="H70" s="7" t="n">
        <v>120</v>
      </c>
      <c r="I70" s="30" t="inlineStr">
        <is>
          <t>N/D</t>
        </is>
      </c>
      <c r="J70" s="5" t="inlineStr">
        <is>
          <t>Pile (1x AAA)</t>
        </is>
      </c>
      <c r="K70" s="5" t="inlineStr">
        <is>
          <t>Piles</t>
        </is>
      </c>
      <c r="L70" s="8" t="inlineStr">
        <is>
          <t>N/D</t>
        </is>
      </c>
      <c r="M70" s="5" t="inlineStr">
        <is>
          <t>IPX7</t>
        </is>
      </c>
      <c r="N70" s="5" t="inlineStr">
        <is>
          <t>Non</t>
        </is>
      </c>
      <c r="O70" s="5" t="inlineStr">
        <is>
          <t>Aucun</t>
        </is>
      </c>
      <c r="P70" s="5" t="inlineStr">
        <is>
          <t>Non</t>
        </is>
      </c>
      <c r="Q70" s="9" t="n">
        <v>30</v>
      </c>
      <c r="R70" s="5" t="inlineStr">
        <is>
          <t>20*19*171</t>
        </is>
      </c>
      <c r="S70" s="10" t="inlineStr">
        <is>
          <t>Design rouge à lèvres fin, format voyage</t>
        </is>
      </c>
      <c r="T70" s="11" t="n">
        <v>41</v>
      </c>
      <c r="U70" s="12" t="inlineStr">
        <is>
          <t>ProClinical 150 (Charcoal / Deep Clean)</t>
        </is>
      </c>
      <c r="V70" s="12" t="inlineStr">
        <is>
          <t>Colgate</t>
        </is>
      </c>
      <c r="W70" s="12" t="inlineStr">
        <is>
          <t>Sonique à piles</t>
        </is>
      </c>
      <c r="X70" s="12" t="inlineStr">
        <is>
          <t>20 000 strokes/min</t>
        </is>
      </c>
      <c r="Y70" s="12" t="inlineStr">
        <is>
          <t>1 mode</t>
        </is>
      </c>
      <c r="Z70" s="29" t="inlineStr">
        <is>
          <t>N/D</t>
        </is>
      </c>
      <c r="AA70" s="29" t="inlineStr">
        <is>
          <t>N/D</t>
        </is>
      </c>
      <c r="AB70" s="12" t="inlineStr">
        <is>
          <t>Non</t>
        </is>
      </c>
      <c r="AC70" s="12" t="inlineStr">
        <is>
          <t>2 piles AAA</t>
        </is>
      </c>
      <c r="AD70" s="12" t="inlineStr">
        <is>
          <t>Non vérifié sur les marchés cibles (marque Colgate largement distribuée en GMS et pharmacie)</t>
        </is>
      </c>
      <c r="AE70" s="12" t="inlineStr">
        <is>
          <t>GMS, pharmacies</t>
        </is>
      </c>
      <c r="AF70" s="13" t="inlineStr">
        <is>
          <t>https://www.colgate.com/en-my/products/toothbrush/colgate-proclinical-150-charcoal-battery-powered-toothbrush</t>
        </is>
      </c>
      <c r="AG70" s="13" t="inlineStr">
        <is>
          <t>https://www.colgate.com/en-my/products/toothbrush/colgate-proclinical-150-deepclean-battery-powered-toothbrush</t>
        </is>
      </c>
      <c r="AH70" s="12" t="inlineStr">
        <is>
          <t>Rapprochement sur l'alimentation à piles et le positionnement prix d'entrée de gamme. Concurrent de référence du segment SEAGO à piles : marque installée, prix d'entrée, tête remplaçable.</t>
        </is>
      </c>
      <c r="AI70" s="14" t="n"/>
      <c r="AJ70" s="14" t="n"/>
      <c r="AK70" s="15" t="n"/>
      <c r="AL70" s="16" t="n"/>
      <c r="AM70" s="15" t="n"/>
      <c r="AN70" s="17">
        <f>IF(OR(AJ70="",AI70=""),"",AJ70-AI70)</f>
        <v/>
      </c>
      <c r="AO70" s="18">
        <f>IF(OR(AJ70="",AI70="",AI70=0),"",(AJ70-AI70)/AI70)</f>
        <v/>
      </c>
      <c r="AP70" s="19">
        <f>IF(AO70="","",IF(AO70&lt;-0.05,"Moins cher",IF(AO70&gt;0.05,"Plus cher","Équivalent")))</f>
        <v/>
      </c>
    </row>
    <row r="71">
      <c r="A71" s="20" t="inlineStr">
        <is>
          <t>SG-956</t>
        </is>
      </c>
      <c r="B71" s="20" t="inlineStr">
        <is>
          <t>Daily Clean</t>
        </is>
      </c>
      <c r="C71" s="20" t="inlineStr">
        <is>
          <t>Sonique</t>
        </is>
      </c>
      <c r="D71" s="20" t="inlineStr">
        <is>
          <t>Adulte</t>
        </is>
      </c>
      <c r="E71" s="21" t="n">
        <v>28000</v>
      </c>
      <c r="F71" s="21" t="n">
        <v>28000</v>
      </c>
      <c r="G71" s="22" t="n">
        <v>2</v>
      </c>
      <c r="H71" s="22" t="n">
        <v>120</v>
      </c>
      <c r="I71" s="27" t="inlineStr">
        <is>
          <t>N/D</t>
        </is>
      </c>
      <c r="J71" s="20" t="inlineStr">
        <is>
          <t>Pile (1x AAA)</t>
        </is>
      </c>
      <c r="K71" s="20" t="inlineStr">
        <is>
          <t>Piles</t>
        </is>
      </c>
      <c r="L71" s="26" t="inlineStr">
        <is>
          <t>N/D</t>
        </is>
      </c>
      <c r="M71" s="20" t="inlineStr">
        <is>
          <t>IPX7</t>
        </is>
      </c>
      <c r="N71" s="20" t="inlineStr">
        <is>
          <t>Non</t>
        </is>
      </c>
      <c r="O71" s="20" t="inlineStr">
        <is>
          <t>Aucun</t>
        </is>
      </c>
      <c r="P71" s="20" t="inlineStr">
        <is>
          <t>Oui</t>
        </is>
      </c>
      <c r="Q71" s="23" t="n">
        <v>19</v>
      </c>
      <c r="R71" s="20" t="inlineStr">
        <is>
          <t>21*21*172</t>
        </is>
      </c>
      <c r="S71" s="24" t="inlineStr">
        <is>
          <t>Design rouge à lèvres fin, minuteur 2 min avec rappel toutes les 30 s</t>
        </is>
      </c>
      <c r="T71" s="25" t="n">
        <v>41</v>
      </c>
      <c r="U71" s="12" t="inlineStr">
        <is>
          <t>ProClinical 150 (Charcoal / Deep Clean)</t>
        </is>
      </c>
      <c r="V71" s="12" t="inlineStr">
        <is>
          <t>Colgate</t>
        </is>
      </c>
      <c r="W71" s="12" t="inlineStr">
        <is>
          <t>Sonique à piles</t>
        </is>
      </c>
      <c r="X71" s="12" t="inlineStr">
        <is>
          <t>20 000 strokes/min</t>
        </is>
      </c>
      <c r="Y71" s="12" t="inlineStr">
        <is>
          <t>1 mode</t>
        </is>
      </c>
      <c r="Z71" s="29" t="inlineStr">
        <is>
          <t>N/D</t>
        </is>
      </c>
      <c r="AA71" s="29" t="inlineStr">
        <is>
          <t>N/D</t>
        </is>
      </c>
      <c r="AB71" s="12" t="inlineStr">
        <is>
          <t>Non</t>
        </is>
      </c>
      <c r="AC71" s="12" t="inlineStr">
        <is>
          <t>2 piles AAA</t>
        </is>
      </c>
      <c r="AD71" s="12" t="inlineStr">
        <is>
          <t>Non vérifié sur les marchés cibles (marque Colgate largement distribuée en GMS et pharmacie)</t>
        </is>
      </c>
      <c r="AE71" s="12" t="inlineStr">
        <is>
          <t>GMS, pharmacies</t>
        </is>
      </c>
      <c r="AF71" s="13" t="inlineStr">
        <is>
          <t>https://www.colgate.com/en-my/products/toothbrush/colgate-proclinical-150-charcoal-battery-powered-toothbrush</t>
        </is>
      </c>
      <c r="AG71" s="13" t="inlineStr">
        <is>
          <t>https://www.colgate.com/en-my/products/toothbrush/colgate-proclinical-150-deepclean-battery-powered-toothbrush</t>
        </is>
      </c>
      <c r="AH71" s="12" t="inlineStr">
        <is>
          <t>Rapprochement sur l'alimentation à piles et le positionnement prix d'entrée de gamme. Concurrent de référence du segment SEAGO à piles : marque installée, prix d'entrée, tête remplaçable.</t>
        </is>
      </c>
      <c r="AI71" s="14" t="n"/>
      <c r="AJ71" s="14" t="n"/>
      <c r="AK71" s="15" t="n"/>
      <c r="AL71" s="16" t="n"/>
      <c r="AM71" s="15" t="n"/>
      <c r="AN71" s="17">
        <f>IF(OR(AJ71="",AI71=""),"",AJ71-AI71)</f>
        <v/>
      </c>
      <c r="AO71" s="18">
        <f>IF(OR(AJ71="",AI71="",AI71=0),"",(AJ71-AI71)/AI71)</f>
        <v/>
      </c>
      <c r="AP71" s="19">
        <f>IF(AO71="","",IF(AO71&lt;-0.05,"Moins cher",IF(AO71&gt;0.05,"Plus cher","Équivalent")))</f>
        <v/>
      </c>
    </row>
    <row r="72">
      <c r="A72" s="5" t="inlineStr">
        <is>
          <t>SG-522</t>
        </is>
      </c>
      <c r="B72" s="5" t="inlineStr">
        <is>
          <t>Daily Clean</t>
        </is>
      </c>
      <c r="C72" s="5" t="inlineStr">
        <is>
          <t>Sonique</t>
        </is>
      </c>
      <c r="D72" s="5" t="inlineStr">
        <is>
          <t>Adulte</t>
        </is>
      </c>
      <c r="E72" s="6" t="n">
        <v>28000</v>
      </c>
      <c r="F72" s="6" t="n">
        <v>28000</v>
      </c>
      <c r="G72" s="30" t="inlineStr">
        <is>
          <t>N/D</t>
        </is>
      </c>
      <c r="H72" s="7" t="n">
        <v>120</v>
      </c>
      <c r="I72" s="30" t="inlineStr">
        <is>
          <t>N/D</t>
        </is>
      </c>
      <c r="J72" s="5" t="inlineStr">
        <is>
          <t>Pile (1x AAA)</t>
        </is>
      </c>
      <c r="K72" s="5" t="inlineStr">
        <is>
          <t>Piles</t>
        </is>
      </c>
      <c r="L72" s="8" t="inlineStr">
        <is>
          <t>N/D</t>
        </is>
      </c>
      <c r="M72" s="5" t="inlineStr">
        <is>
          <t>IPX7</t>
        </is>
      </c>
      <c r="N72" s="5" t="inlineStr">
        <is>
          <t>Non</t>
        </is>
      </c>
      <c r="O72" s="5" t="inlineStr">
        <is>
          <t>Aucun</t>
        </is>
      </c>
      <c r="P72" s="5" t="inlineStr">
        <is>
          <t>Optionnel</t>
        </is>
      </c>
      <c r="Q72" s="9" t="n">
        <v>22</v>
      </c>
      <c r="R72" s="5" t="inlineStr">
        <is>
          <t>16*16*190</t>
        </is>
      </c>
      <c r="S72" s="10" t="inlineStr">
        <is>
          <t>Manche antidérapant fin, pack 1 brosse + 3 têtes de rechange (1 an d'usage), tenon plastique, minuteur en option</t>
        </is>
      </c>
      <c r="T72" s="11" t="n">
        <v>42</v>
      </c>
      <c r="U72" s="12" t="inlineStr">
        <is>
          <t>ProClinical 150 (Charcoal / Deep Clean)</t>
        </is>
      </c>
      <c r="V72" s="12" t="inlineStr">
        <is>
          <t>Colgate</t>
        </is>
      </c>
      <c r="W72" s="12" t="inlineStr">
        <is>
          <t>Sonique à piles</t>
        </is>
      </c>
      <c r="X72" s="12" t="inlineStr">
        <is>
          <t>20 000 strokes/min</t>
        </is>
      </c>
      <c r="Y72" s="12" t="inlineStr">
        <is>
          <t>1 mode</t>
        </is>
      </c>
      <c r="Z72" s="29" t="inlineStr">
        <is>
          <t>N/D</t>
        </is>
      </c>
      <c r="AA72" s="29" t="inlineStr">
        <is>
          <t>N/D</t>
        </is>
      </c>
      <c r="AB72" s="12" t="inlineStr">
        <is>
          <t>Non</t>
        </is>
      </c>
      <c r="AC72" s="12" t="inlineStr">
        <is>
          <t>2 piles AAA</t>
        </is>
      </c>
      <c r="AD72" s="12" t="inlineStr">
        <is>
          <t>Non vérifié sur les marchés cibles (marque Colgate largement distribuée en GMS et pharmacie)</t>
        </is>
      </c>
      <c r="AE72" s="12" t="inlineStr">
        <is>
          <t>GMS, pharmacies</t>
        </is>
      </c>
      <c r="AF72" s="13" t="inlineStr">
        <is>
          <t>https://www.colgate.com/en-my/products/toothbrush/colgate-proclinical-150-charcoal-battery-powered-toothbrush</t>
        </is>
      </c>
      <c r="AG72" s="13" t="inlineStr">
        <is>
          <t>https://www.colgate.com/en-my/products/toothbrush/colgate-proclinical-150-deepclean-battery-powered-toothbrush</t>
        </is>
      </c>
      <c r="AH72" s="12" t="inlineStr">
        <is>
          <t>Rapprochement sur l'alimentation à piles et le positionnement prix d'entrée de gamme. Concurrent de référence du segment SEAGO à piles : marque installée, prix d'entrée, tête remplaçable.</t>
        </is>
      </c>
      <c r="AI72" s="14" t="n"/>
      <c r="AJ72" s="14" t="n"/>
      <c r="AK72" s="15" t="n"/>
      <c r="AL72" s="16" t="n"/>
      <c r="AM72" s="15" t="n"/>
      <c r="AN72" s="17">
        <f>IF(OR(AJ72="",AI72=""),"",AJ72-AI72)</f>
        <v/>
      </c>
      <c r="AO72" s="18">
        <f>IF(OR(AJ72="",AI72="",AI72=0),"",(AJ72-AI72)/AI72)</f>
        <v/>
      </c>
      <c r="AP72" s="19">
        <f>IF(AO72="","",IF(AO72&lt;-0.05,"Moins cher",IF(AO72&gt;0.05,"Plus cher","Équivalent")))</f>
        <v/>
      </c>
    </row>
    <row r="73">
      <c r="A73" s="20" t="inlineStr">
        <is>
          <t>SG-915</t>
        </is>
      </c>
      <c r="B73" s="20" t="inlineStr">
        <is>
          <t>Daily Clean</t>
        </is>
      </c>
      <c r="C73" s="20" t="inlineStr">
        <is>
          <t>Sonique</t>
        </is>
      </c>
      <c r="D73" s="20" t="inlineStr">
        <is>
          <t>Adulte</t>
        </is>
      </c>
      <c r="E73" s="21" t="n">
        <v>28000</v>
      </c>
      <c r="F73" s="21" t="n">
        <v>28000</v>
      </c>
      <c r="G73" s="27" t="inlineStr">
        <is>
          <t>N/D</t>
        </is>
      </c>
      <c r="H73" s="22" t="n">
        <v>120</v>
      </c>
      <c r="I73" s="27" t="inlineStr">
        <is>
          <t>N/D</t>
        </is>
      </c>
      <c r="J73" s="20" t="inlineStr">
        <is>
          <t>Pile (1x AAA)</t>
        </is>
      </c>
      <c r="K73" s="20" t="inlineStr">
        <is>
          <t>Piles</t>
        </is>
      </c>
      <c r="L73" s="26" t="inlineStr">
        <is>
          <t>N/D</t>
        </is>
      </c>
      <c r="M73" s="20" t="inlineStr">
        <is>
          <t>IPX7</t>
        </is>
      </c>
      <c r="N73" s="20" t="inlineStr">
        <is>
          <t>Non</t>
        </is>
      </c>
      <c r="O73" s="20" t="inlineStr">
        <is>
          <t>Aucun</t>
        </is>
      </c>
      <c r="P73" s="20" t="inlineStr">
        <is>
          <t>Non</t>
        </is>
      </c>
      <c r="Q73" s="23" t="n">
        <v>22</v>
      </c>
      <c r="R73" s="20" t="inlineStr">
        <is>
          <t>19*19*179</t>
        </is>
      </c>
      <c r="S73" s="24" t="inlineStr">
        <is>
          <t>Pack 1 brosse + 3 têtes de rechange (1 an d'usage), design fin, tenon plastique</t>
        </is>
      </c>
      <c r="T73" s="25" t="n">
        <v>42</v>
      </c>
      <c r="U73" s="12" t="inlineStr">
        <is>
          <t>ProClinical 150 (Charcoal / Deep Clean)</t>
        </is>
      </c>
      <c r="V73" s="12" t="inlineStr">
        <is>
          <t>Colgate</t>
        </is>
      </c>
      <c r="W73" s="12" t="inlineStr">
        <is>
          <t>Sonique à piles</t>
        </is>
      </c>
      <c r="X73" s="12" t="inlineStr">
        <is>
          <t>20 000 strokes/min</t>
        </is>
      </c>
      <c r="Y73" s="12" t="inlineStr">
        <is>
          <t>1 mode</t>
        </is>
      </c>
      <c r="Z73" s="29" t="inlineStr">
        <is>
          <t>N/D</t>
        </is>
      </c>
      <c r="AA73" s="29" t="inlineStr">
        <is>
          <t>N/D</t>
        </is>
      </c>
      <c r="AB73" s="12" t="inlineStr">
        <is>
          <t>Non</t>
        </is>
      </c>
      <c r="AC73" s="12" t="inlineStr">
        <is>
          <t>2 piles AAA</t>
        </is>
      </c>
      <c r="AD73" s="12" t="inlineStr">
        <is>
          <t>Non vérifié sur les marchés cibles (marque Colgate largement distribuée en GMS et pharmacie)</t>
        </is>
      </c>
      <c r="AE73" s="12" t="inlineStr">
        <is>
          <t>GMS, pharmacies</t>
        </is>
      </c>
      <c r="AF73" s="13" t="inlineStr">
        <is>
          <t>https://www.colgate.com/en-my/products/toothbrush/colgate-proclinical-150-charcoal-battery-powered-toothbrush</t>
        </is>
      </c>
      <c r="AG73" s="13" t="inlineStr">
        <is>
          <t>https://www.colgate.com/en-my/products/toothbrush/colgate-proclinical-150-deepclean-battery-powered-toothbrush</t>
        </is>
      </c>
      <c r="AH73" s="12" t="inlineStr">
        <is>
          <t>Rapprochement sur l'alimentation à piles et le positionnement prix d'entrée de gamme. Concurrent de référence du segment SEAGO à piles : marque installée, prix d'entrée, tête remplaçable.</t>
        </is>
      </c>
      <c r="AI73" s="14" t="n"/>
      <c r="AJ73" s="14" t="n"/>
      <c r="AK73" s="15" t="n"/>
      <c r="AL73" s="16" t="n"/>
      <c r="AM73" s="15" t="n"/>
      <c r="AN73" s="17">
        <f>IF(OR(AJ73="",AI73=""),"",AJ73-AI73)</f>
        <v/>
      </c>
      <c r="AO73" s="18">
        <f>IF(OR(AJ73="",AI73="",AI73=0),"",(AJ73-AI73)/AI73)</f>
        <v/>
      </c>
      <c r="AP73" s="19">
        <f>IF(AO73="","",IF(AO73&lt;-0.05,"Moins cher",IF(AO73&gt;0.05,"Plus cher","Équivalent")))</f>
        <v/>
      </c>
    </row>
    <row r="74">
      <c r="A74" s="5" t="inlineStr">
        <is>
          <t>SG-920</t>
        </is>
      </c>
      <c r="B74" s="5" t="inlineStr">
        <is>
          <t>Daily Clean</t>
        </is>
      </c>
      <c r="C74" s="5" t="inlineStr">
        <is>
          <t>Sonique</t>
        </is>
      </c>
      <c r="D74" s="5" t="inlineStr">
        <is>
          <t>Adulte</t>
        </is>
      </c>
      <c r="E74" s="6" t="n">
        <v>24000</v>
      </c>
      <c r="F74" s="6" t="n">
        <v>24000</v>
      </c>
      <c r="G74" s="30" t="inlineStr">
        <is>
          <t>N/D</t>
        </is>
      </c>
      <c r="H74" s="7" t="n">
        <v>120</v>
      </c>
      <c r="I74" s="30" t="inlineStr">
        <is>
          <t>N/D</t>
        </is>
      </c>
      <c r="J74" s="5" t="inlineStr">
        <is>
          <t>Pile (1x AAA)</t>
        </is>
      </c>
      <c r="K74" s="5" t="inlineStr">
        <is>
          <t>Piles</t>
        </is>
      </c>
      <c r="L74" s="8" t="inlineStr">
        <is>
          <t>N/D</t>
        </is>
      </c>
      <c r="M74" s="5" t="inlineStr">
        <is>
          <t>IPX7</t>
        </is>
      </c>
      <c r="N74" s="5" t="inlineStr">
        <is>
          <t>Non</t>
        </is>
      </c>
      <c r="O74" s="5" t="inlineStr">
        <is>
          <t>Aucun</t>
        </is>
      </c>
      <c r="P74" s="5" t="inlineStr">
        <is>
          <t>Non</t>
        </is>
      </c>
      <c r="Q74" s="9" t="n">
        <v>23</v>
      </c>
      <c r="R74" s="5" t="inlineStr">
        <is>
          <t>18*18*197</t>
        </is>
      </c>
      <c r="S74" s="10" t="inlineStr">
        <is>
          <t>Pack 1 brosse + 3 têtes de rechange, design fin, tenon plastique</t>
        </is>
      </c>
      <c r="T74" s="11" t="n">
        <v>43</v>
      </c>
      <c r="U74" s="12" t="inlineStr">
        <is>
          <t>ProClinical 150 (Charcoal / Deep Clean)</t>
        </is>
      </c>
      <c r="V74" s="12" t="inlineStr">
        <is>
          <t>Colgate</t>
        </is>
      </c>
      <c r="W74" s="12" t="inlineStr">
        <is>
          <t>Sonique à piles</t>
        </is>
      </c>
      <c r="X74" s="12" t="inlineStr">
        <is>
          <t>20 000 strokes/min</t>
        </is>
      </c>
      <c r="Y74" s="12" t="inlineStr">
        <is>
          <t>1 mode</t>
        </is>
      </c>
      <c r="Z74" s="29" t="inlineStr">
        <is>
          <t>N/D</t>
        </is>
      </c>
      <c r="AA74" s="29" t="inlineStr">
        <is>
          <t>N/D</t>
        </is>
      </c>
      <c r="AB74" s="12" t="inlineStr">
        <is>
          <t>Non</t>
        </is>
      </c>
      <c r="AC74" s="12" t="inlineStr">
        <is>
          <t>2 piles AAA</t>
        </is>
      </c>
      <c r="AD74" s="12" t="inlineStr">
        <is>
          <t>Non vérifié sur les marchés cibles (marque Colgate largement distribuée en GMS et pharmacie)</t>
        </is>
      </c>
      <c r="AE74" s="12" t="inlineStr">
        <is>
          <t>GMS, pharmacies</t>
        </is>
      </c>
      <c r="AF74" s="13" t="inlineStr">
        <is>
          <t>https://www.colgate.com/en-my/products/toothbrush/colgate-proclinical-150-charcoal-battery-powered-toothbrush</t>
        </is>
      </c>
      <c r="AG74" s="13" t="inlineStr">
        <is>
          <t>https://www.colgate.com/en-my/products/toothbrush/colgate-proclinical-150-deepclean-battery-powered-toothbrush</t>
        </is>
      </c>
      <c r="AH74" s="12" t="inlineStr">
        <is>
          <t>Rapprochement sur l'alimentation à piles et le positionnement prix d'entrée de gamme. Concurrent de référence du segment SEAGO à piles : marque installée, prix d'entrée, tête remplaçable.</t>
        </is>
      </c>
      <c r="AI74" s="14" t="n"/>
      <c r="AJ74" s="14" t="n"/>
      <c r="AK74" s="15" t="n"/>
      <c r="AL74" s="16" t="n"/>
      <c r="AM74" s="15" t="n"/>
      <c r="AN74" s="17">
        <f>IF(OR(AJ74="",AI74=""),"",AJ74-AI74)</f>
        <v/>
      </c>
      <c r="AO74" s="18">
        <f>IF(OR(AJ74="",AI74="",AI74=0),"",(AJ74-AI74)/AI74)</f>
        <v/>
      </c>
      <c r="AP74" s="19">
        <f>IF(AO74="","",IF(AO74&lt;-0.05,"Moins cher",IF(AO74&gt;0.05,"Plus cher","Équivalent")))</f>
        <v/>
      </c>
    </row>
    <row r="75">
      <c r="A75" s="20" t="inlineStr">
        <is>
          <t>SG-963</t>
        </is>
      </c>
      <c r="B75" s="20" t="inlineStr">
        <is>
          <t>Daily Clean</t>
        </is>
      </c>
      <c r="C75" s="20" t="inlineStr">
        <is>
          <t>Sonique</t>
        </is>
      </c>
      <c r="D75" s="20" t="inlineStr">
        <is>
          <t>Adulte</t>
        </is>
      </c>
      <c r="E75" s="21" t="n">
        <v>20000</v>
      </c>
      <c r="F75" s="21" t="n">
        <v>20000</v>
      </c>
      <c r="G75" s="22" t="n">
        <v>2</v>
      </c>
      <c r="H75" s="22" t="n">
        <v>120</v>
      </c>
      <c r="I75" s="27" t="inlineStr">
        <is>
          <t>N/D</t>
        </is>
      </c>
      <c r="J75" s="20" t="inlineStr">
        <is>
          <t>Pile (1x AAA)</t>
        </is>
      </c>
      <c r="K75" s="20" t="inlineStr">
        <is>
          <t>Piles</t>
        </is>
      </c>
      <c r="L75" s="26" t="inlineStr">
        <is>
          <t>N/D</t>
        </is>
      </c>
      <c r="M75" s="20" t="inlineStr">
        <is>
          <t>IPX7</t>
        </is>
      </c>
      <c r="N75" s="20" t="inlineStr">
        <is>
          <t>Non</t>
        </is>
      </c>
      <c r="O75" s="20" t="inlineStr">
        <is>
          <t>Aucun</t>
        </is>
      </c>
      <c r="P75" s="20" t="inlineStr">
        <is>
          <t>Oui</t>
        </is>
      </c>
      <c r="Q75" s="23" t="n">
        <v>29</v>
      </c>
      <c r="R75" s="20" t="inlineStr">
        <is>
          <t>19.8*19.8*216.6</t>
        </is>
      </c>
      <c r="S75" s="24" t="inlineStr">
        <is>
          <t>Pack 1 brosse + 3 têtes de rechange, tête avec gratte-langue, tenon plastique</t>
        </is>
      </c>
      <c r="T75" s="25" t="n">
        <v>43</v>
      </c>
      <c r="U75" s="12" t="inlineStr">
        <is>
          <t>ProClinical 150 (Charcoal / Deep Clean)</t>
        </is>
      </c>
      <c r="V75" s="12" t="inlineStr">
        <is>
          <t>Colgate</t>
        </is>
      </c>
      <c r="W75" s="12" t="inlineStr">
        <is>
          <t>Sonique à piles</t>
        </is>
      </c>
      <c r="X75" s="12" t="inlineStr">
        <is>
          <t>20 000 strokes/min</t>
        </is>
      </c>
      <c r="Y75" s="12" t="inlineStr">
        <is>
          <t>1 mode</t>
        </is>
      </c>
      <c r="Z75" s="29" t="inlineStr">
        <is>
          <t>N/D</t>
        </is>
      </c>
      <c r="AA75" s="29" t="inlineStr">
        <is>
          <t>N/D</t>
        </is>
      </c>
      <c r="AB75" s="12" t="inlineStr">
        <is>
          <t>Non</t>
        </is>
      </c>
      <c r="AC75" s="12" t="inlineStr">
        <is>
          <t>2 piles AAA</t>
        </is>
      </c>
      <c r="AD75" s="12" t="inlineStr">
        <is>
          <t>Non vérifié sur les marchés cibles (marque Colgate largement distribuée en GMS et pharmacie)</t>
        </is>
      </c>
      <c r="AE75" s="12" t="inlineStr">
        <is>
          <t>GMS, pharmacies</t>
        </is>
      </c>
      <c r="AF75" s="13" t="inlineStr">
        <is>
          <t>https://www.colgate.com/en-my/products/toothbrush/colgate-proclinical-150-charcoal-battery-powered-toothbrush</t>
        </is>
      </c>
      <c r="AG75" s="13" t="inlineStr">
        <is>
          <t>https://www.colgate.com/en-my/products/toothbrush/colgate-proclinical-150-deepclean-battery-powered-toothbrush</t>
        </is>
      </c>
      <c r="AH75" s="12" t="inlineStr">
        <is>
          <t>Rapprochement sur l'alimentation à piles et le positionnement prix d'entrée de gamme. Concurrent de référence du segment SEAGO à piles : marque installée, prix d'entrée, tête remplaçable.</t>
        </is>
      </c>
      <c r="AI75" s="14" t="n"/>
      <c r="AJ75" s="14" t="n"/>
      <c r="AK75" s="15" t="n"/>
      <c r="AL75" s="16" t="n"/>
      <c r="AM75" s="15" t="n"/>
      <c r="AN75" s="17">
        <f>IF(OR(AJ75="",AI75=""),"",AJ75-AI75)</f>
        <v/>
      </c>
      <c r="AO75" s="18">
        <f>IF(OR(AJ75="",AI75="",AI75=0),"",(AJ75-AI75)/AI75)</f>
        <v/>
      </c>
      <c r="AP75" s="19">
        <f>IF(AO75="","",IF(AO75&lt;-0.05,"Moins cher",IF(AO75&gt;0.05,"Plus cher","Équivalent")))</f>
        <v/>
      </c>
    </row>
    <row r="76">
      <c r="A76" s="5" t="inlineStr">
        <is>
          <t>SG-912</t>
        </is>
      </c>
      <c r="B76" s="5" t="inlineStr">
        <is>
          <t>Daily Clean</t>
        </is>
      </c>
      <c r="C76" s="5" t="inlineStr">
        <is>
          <t>Sonique</t>
        </is>
      </c>
      <c r="D76" s="5" t="inlineStr">
        <is>
          <t>Adulte</t>
        </is>
      </c>
      <c r="E76" s="6" t="n">
        <v>24000</v>
      </c>
      <c r="F76" s="6" t="n">
        <v>24000</v>
      </c>
      <c r="G76" s="30" t="inlineStr">
        <is>
          <t>N/D</t>
        </is>
      </c>
      <c r="H76" s="7" t="n">
        <v>120</v>
      </c>
      <c r="I76" s="30" t="inlineStr">
        <is>
          <t>N/D</t>
        </is>
      </c>
      <c r="J76" s="5" t="inlineStr">
        <is>
          <t>Pile (1x AAA)</t>
        </is>
      </c>
      <c r="K76" s="5" t="inlineStr">
        <is>
          <t>Piles</t>
        </is>
      </c>
      <c r="L76" s="8" t="inlineStr">
        <is>
          <t>N/D</t>
        </is>
      </c>
      <c r="M76" s="5" t="inlineStr">
        <is>
          <t>IPX7</t>
        </is>
      </c>
      <c r="N76" s="5" t="inlineStr">
        <is>
          <t>Non</t>
        </is>
      </c>
      <c r="O76" s="5" t="inlineStr">
        <is>
          <t>Aucun</t>
        </is>
      </c>
      <c r="P76" s="5" t="inlineStr">
        <is>
          <t>Non</t>
        </is>
      </c>
      <c r="Q76" s="9" t="n">
        <v>22</v>
      </c>
      <c r="R76" s="5" t="inlineStr">
        <is>
          <t>18*18*179</t>
        </is>
      </c>
      <c r="S76" s="10" t="inlineStr">
        <is>
          <t>Pack 1 brosse + 3 têtes de rechange, design fin, tenon plastique</t>
        </is>
      </c>
      <c r="T76" s="11" t="n">
        <v>44</v>
      </c>
      <c r="U76" s="12" t="inlineStr">
        <is>
          <t>ProClinical 150 (Charcoal / Deep Clean)</t>
        </is>
      </c>
      <c r="V76" s="12" t="inlineStr">
        <is>
          <t>Colgate</t>
        </is>
      </c>
      <c r="W76" s="12" t="inlineStr">
        <is>
          <t>Sonique à piles</t>
        </is>
      </c>
      <c r="X76" s="12" t="inlineStr">
        <is>
          <t>20 000 strokes/min</t>
        </is>
      </c>
      <c r="Y76" s="12" t="inlineStr">
        <is>
          <t>1 mode</t>
        </is>
      </c>
      <c r="Z76" s="29" t="inlineStr">
        <is>
          <t>N/D</t>
        </is>
      </c>
      <c r="AA76" s="29" t="inlineStr">
        <is>
          <t>N/D</t>
        </is>
      </c>
      <c r="AB76" s="12" t="inlineStr">
        <is>
          <t>Non</t>
        </is>
      </c>
      <c r="AC76" s="12" t="inlineStr">
        <is>
          <t>2 piles AAA</t>
        </is>
      </c>
      <c r="AD76" s="12" t="inlineStr">
        <is>
          <t>Non vérifié sur les marchés cibles (marque Colgate largement distribuée en GMS et pharmacie)</t>
        </is>
      </c>
      <c r="AE76" s="12" t="inlineStr">
        <is>
          <t>GMS, pharmacies</t>
        </is>
      </c>
      <c r="AF76" s="13" t="inlineStr">
        <is>
          <t>https://www.colgate.com/en-my/products/toothbrush/colgate-proclinical-150-charcoal-battery-powered-toothbrush</t>
        </is>
      </c>
      <c r="AG76" s="13" t="inlineStr">
        <is>
          <t>https://www.colgate.com/en-my/products/toothbrush/colgate-proclinical-150-deepclean-battery-powered-toothbrush</t>
        </is>
      </c>
      <c r="AH76" s="12" t="inlineStr">
        <is>
          <t>Rapprochement sur l'alimentation à piles et le positionnement prix d'entrée de gamme. Concurrent de référence du segment SEAGO à piles : marque installée, prix d'entrée, tête remplaçable.</t>
        </is>
      </c>
      <c r="AI76" s="14" t="n"/>
      <c r="AJ76" s="14" t="n"/>
      <c r="AK76" s="15" t="n"/>
      <c r="AL76" s="16" t="n"/>
      <c r="AM76" s="15" t="n"/>
      <c r="AN76" s="17">
        <f>IF(OR(AJ76="",AI76=""),"",AJ76-AI76)</f>
        <v/>
      </c>
      <c r="AO76" s="18">
        <f>IF(OR(AJ76="",AI76="",AI76=0),"",(AJ76-AI76)/AI76)</f>
        <v/>
      </c>
      <c r="AP76" s="19">
        <f>IF(AO76="","",IF(AO76&lt;-0.05,"Moins cher",IF(AO76&gt;0.05,"Plus cher","Équivalent")))</f>
        <v/>
      </c>
    </row>
    <row r="77">
      <c r="A77" s="20" t="inlineStr">
        <is>
          <t>SG-967</t>
        </is>
      </c>
      <c r="B77" s="20" t="inlineStr">
        <is>
          <t>Daily Clean</t>
        </is>
      </c>
      <c r="C77" s="20" t="inlineStr">
        <is>
          <t>Sonique</t>
        </is>
      </c>
      <c r="D77" s="20" t="inlineStr">
        <is>
          <t>Adulte</t>
        </is>
      </c>
      <c r="E77" s="21" t="n">
        <v>20000</v>
      </c>
      <c r="F77" s="21" t="n">
        <v>20000</v>
      </c>
      <c r="G77" s="27" t="inlineStr">
        <is>
          <t>N/D</t>
        </is>
      </c>
      <c r="H77" s="22" t="n">
        <v>120</v>
      </c>
      <c r="I77" s="27" t="inlineStr">
        <is>
          <t>N/D</t>
        </is>
      </c>
      <c r="J77" s="20" t="inlineStr">
        <is>
          <t>Pile (1x AAA)</t>
        </is>
      </c>
      <c r="K77" s="20" t="inlineStr">
        <is>
          <t>Piles</t>
        </is>
      </c>
      <c r="L77" s="26" t="inlineStr">
        <is>
          <t>N/D</t>
        </is>
      </c>
      <c r="M77" s="20" t="inlineStr">
        <is>
          <t>IPX7</t>
        </is>
      </c>
      <c r="N77" s="20" t="inlineStr">
        <is>
          <t>Non</t>
        </is>
      </c>
      <c r="O77" s="20" t="inlineStr">
        <is>
          <t>Aucun</t>
        </is>
      </c>
      <c r="P77" s="20" t="inlineStr">
        <is>
          <t>Non</t>
        </is>
      </c>
      <c r="Q77" s="23" t="n">
        <v>22</v>
      </c>
      <c r="R77" s="20" t="inlineStr">
        <is>
          <t>18*18*193</t>
        </is>
      </c>
      <c r="S77" s="24" t="inlineStr">
        <is>
          <t>Pack 1 brosse + 3 têtes de rechange, design fin, tenon plastique</t>
        </is>
      </c>
      <c r="T77" s="25" t="n">
        <v>44</v>
      </c>
      <c r="U77" s="12" t="inlineStr">
        <is>
          <t>ProClinical 150 (Charcoal / Deep Clean)</t>
        </is>
      </c>
      <c r="V77" s="12" t="inlineStr">
        <is>
          <t>Colgate</t>
        </is>
      </c>
      <c r="W77" s="12" t="inlineStr">
        <is>
          <t>Sonique à piles</t>
        </is>
      </c>
      <c r="X77" s="12" t="inlineStr">
        <is>
          <t>20 000 strokes/min</t>
        </is>
      </c>
      <c r="Y77" s="12" t="inlineStr">
        <is>
          <t>1 mode</t>
        </is>
      </c>
      <c r="Z77" s="29" t="inlineStr">
        <is>
          <t>N/D</t>
        </is>
      </c>
      <c r="AA77" s="29" t="inlineStr">
        <is>
          <t>N/D</t>
        </is>
      </c>
      <c r="AB77" s="12" t="inlineStr">
        <is>
          <t>Non</t>
        </is>
      </c>
      <c r="AC77" s="12" t="inlineStr">
        <is>
          <t>2 piles AAA</t>
        </is>
      </c>
      <c r="AD77" s="12" t="inlineStr">
        <is>
          <t>Non vérifié sur les marchés cibles (marque Colgate largement distribuée en GMS et pharmacie)</t>
        </is>
      </c>
      <c r="AE77" s="12" t="inlineStr">
        <is>
          <t>GMS, pharmacies</t>
        </is>
      </c>
      <c r="AF77" s="13" t="inlineStr">
        <is>
          <t>https://www.colgate.com/en-my/products/toothbrush/colgate-proclinical-150-charcoal-battery-powered-toothbrush</t>
        </is>
      </c>
      <c r="AG77" s="13" t="inlineStr">
        <is>
          <t>https://www.colgate.com/en-my/products/toothbrush/colgate-proclinical-150-deepclean-battery-powered-toothbrush</t>
        </is>
      </c>
      <c r="AH77" s="12" t="inlineStr">
        <is>
          <t>Rapprochement sur l'alimentation à piles et le positionnement prix d'entrée de gamme. Concurrent de référence du segment SEAGO à piles : marque installée, prix d'entrée, tête remplaçable.</t>
        </is>
      </c>
      <c r="AI77" s="14" t="n"/>
      <c r="AJ77" s="14" t="n"/>
      <c r="AK77" s="15" t="n"/>
      <c r="AL77" s="16" t="n"/>
      <c r="AM77" s="15" t="n"/>
      <c r="AN77" s="17">
        <f>IF(OR(AJ77="",AI77=""),"",AJ77-AI77)</f>
        <v/>
      </c>
      <c r="AO77" s="18">
        <f>IF(OR(AJ77="",AI77="",AI77=0),"",(AJ77-AI77)/AI77)</f>
        <v/>
      </c>
      <c r="AP77" s="19">
        <f>IF(AO77="","",IF(AO77&lt;-0.05,"Moins cher",IF(AO77&gt;0.05,"Plus cher","Équivalent")))</f>
        <v/>
      </c>
    </row>
    <row r="78">
      <c r="A78" s="5" t="inlineStr">
        <is>
          <t>SG-582</t>
        </is>
      </c>
      <c r="B78" s="5" t="inlineStr">
        <is>
          <t>Daily Clean</t>
        </is>
      </c>
      <c r="C78" s="5" t="inlineStr">
        <is>
          <t>Sonique</t>
        </is>
      </c>
      <c r="D78" s="5" t="inlineStr">
        <is>
          <t>Adulte</t>
        </is>
      </c>
      <c r="E78" s="6" t="n">
        <v>28000</v>
      </c>
      <c r="F78" s="6" t="n">
        <v>28000</v>
      </c>
      <c r="G78" s="30" t="inlineStr">
        <is>
          <t>N/D</t>
        </is>
      </c>
      <c r="H78" s="7" t="n">
        <v>120</v>
      </c>
      <c r="I78" s="30" t="inlineStr">
        <is>
          <t>N/D</t>
        </is>
      </c>
      <c r="J78" s="5" t="inlineStr">
        <is>
          <t>Pile (1x AAA)</t>
        </is>
      </c>
      <c r="K78" s="5" t="inlineStr">
        <is>
          <t>Piles</t>
        </is>
      </c>
      <c r="L78" s="8" t="inlineStr">
        <is>
          <t>N/D</t>
        </is>
      </c>
      <c r="M78" s="5" t="inlineStr">
        <is>
          <t>IPX7</t>
        </is>
      </c>
      <c r="N78" s="5" t="inlineStr">
        <is>
          <t>Non</t>
        </is>
      </c>
      <c r="O78" s="5" t="inlineStr">
        <is>
          <t>Aucun</t>
        </is>
      </c>
      <c r="P78" s="5" t="inlineStr">
        <is>
          <t>Non</t>
        </is>
      </c>
      <c r="Q78" s="9" t="n">
        <v>18</v>
      </c>
      <c r="R78" s="5" t="inlineStr">
        <is>
          <t>16.6*16.6*193</t>
        </is>
      </c>
      <c r="S78" s="10" t="inlineStr">
        <is>
          <t>Pack 1 brosse + 3 têtes de rechange, design fin, tenon plastique</t>
        </is>
      </c>
      <c r="T78" s="11" t="n">
        <v>45</v>
      </c>
      <c r="U78" s="12" t="inlineStr">
        <is>
          <t>ProClinical 150 (Charcoal / Deep Clean)</t>
        </is>
      </c>
      <c r="V78" s="12" t="inlineStr">
        <is>
          <t>Colgate</t>
        </is>
      </c>
      <c r="W78" s="12" t="inlineStr">
        <is>
          <t>Sonique à piles</t>
        </is>
      </c>
      <c r="X78" s="12" t="inlineStr">
        <is>
          <t>20 000 strokes/min</t>
        </is>
      </c>
      <c r="Y78" s="12" t="inlineStr">
        <is>
          <t>1 mode</t>
        </is>
      </c>
      <c r="Z78" s="29" t="inlineStr">
        <is>
          <t>N/D</t>
        </is>
      </c>
      <c r="AA78" s="29" t="inlineStr">
        <is>
          <t>N/D</t>
        </is>
      </c>
      <c r="AB78" s="12" t="inlineStr">
        <is>
          <t>Non</t>
        </is>
      </c>
      <c r="AC78" s="12" t="inlineStr">
        <is>
          <t>2 piles AAA</t>
        </is>
      </c>
      <c r="AD78" s="12" t="inlineStr">
        <is>
          <t>Non vérifié sur les marchés cibles (marque Colgate largement distribuée en GMS et pharmacie)</t>
        </is>
      </c>
      <c r="AE78" s="12" t="inlineStr">
        <is>
          <t>GMS, pharmacies</t>
        </is>
      </c>
      <c r="AF78" s="13" t="inlineStr">
        <is>
          <t>https://www.colgate.com/en-my/products/toothbrush/colgate-proclinical-150-charcoal-battery-powered-toothbrush</t>
        </is>
      </c>
      <c r="AG78" s="13" t="inlineStr">
        <is>
          <t>https://www.colgate.com/en-my/products/toothbrush/colgate-proclinical-150-deepclean-battery-powered-toothbrush</t>
        </is>
      </c>
      <c r="AH78" s="12" t="inlineStr">
        <is>
          <t>Rapprochement sur l'alimentation à piles et le positionnement prix d'entrée de gamme. Concurrent de référence du segment SEAGO à piles : marque installée, prix d'entrée, tête remplaçable.</t>
        </is>
      </c>
      <c r="AI78" s="14" t="n"/>
      <c r="AJ78" s="14" t="n"/>
      <c r="AK78" s="15" t="n"/>
      <c r="AL78" s="16" t="n"/>
      <c r="AM78" s="15" t="n"/>
      <c r="AN78" s="17">
        <f>IF(OR(AJ78="",AI78=""),"",AJ78-AI78)</f>
        <v/>
      </c>
      <c r="AO78" s="18">
        <f>IF(OR(AJ78="",AI78="",AI78=0),"",(AJ78-AI78)/AI78)</f>
        <v/>
      </c>
      <c r="AP78" s="19">
        <f>IF(AO78="","",IF(AO78&lt;-0.05,"Moins cher",IF(AO78&gt;0.05,"Plus cher","Équivalent")))</f>
        <v/>
      </c>
    </row>
    <row r="79">
      <c r="A79" s="20" t="inlineStr">
        <is>
          <t>SG-2007</t>
        </is>
      </c>
      <c r="B79" s="20" t="inlineStr">
        <is>
          <t>Daily Clean</t>
        </is>
      </c>
      <c r="C79" s="20" t="inlineStr">
        <is>
          <t>Sonique</t>
        </is>
      </c>
      <c r="D79" s="20" t="inlineStr">
        <is>
          <t>Adulte</t>
        </is>
      </c>
      <c r="E79" s="21" t="n">
        <v>24000</v>
      </c>
      <c r="F79" s="21" t="n">
        <v>24000</v>
      </c>
      <c r="G79" s="22" t="n">
        <v>2</v>
      </c>
      <c r="H79" s="22" t="n">
        <v>120</v>
      </c>
      <c r="I79" s="27" t="inlineStr">
        <is>
          <t>N/D</t>
        </is>
      </c>
      <c r="J79" s="20" t="inlineStr">
        <is>
          <t>Pile (1x AAA)</t>
        </is>
      </c>
      <c r="K79" s="20" t="inlineStr">
        <is>
          <t>Piles</t>
        </is>
      </c>
      <c r="L79" s="26" t="inlineStr">
        <is>
          <t>N/D</t>
        </is>
      </c>
      <c r="M79" s="20" t="inlineStr">
        <is>
          <t>IPX7</t>
        </is>
      </c>
      <c r="N79" s="20" t="inlineStr">
        <is>
          <t>Non</t>
        </is>
      </c>
      <c r="O79" s="20" t="inlineStr">
        <is>
          <t>Aucun</t>
        </is>
      </c>
      <c r="P79" s="20" t="inlineStr">
        <is>
          <t>Oui</t>
        </is>
      </c>
      <c r="Q79" s="23" t="n">
        <v>26</v>
      </c>
      <c r="R79" s="20" t="inlineStr">
        <is>
          <t>18.3*18.3*190</t>
        </is>
      </c>
      <c r="S79" s="24" t="inlineStr">
        <is>
          <t>Design fin avec tenon métal, minuteur 2 min avec rappel toutes les 30 s</t>
        </is>
      </c>
      <c r="T79" s="25" t="n">
        <v>45</v>
      </c>
      <c r="U79" s="12" t="inlineStr">
        <is>
          <t>ProClinical 150 (Charcoal / Deep Clean)</t>
        </is>
      </c>
      <c r="V79" s="12" t="inlineStr">
        <is>
          <t>Colgate</t>
        </is>
      </c>
      <c r="W79" s="12" t="inlineStr">
        <is>
          <t>Sonique à piles</t>
        </is>
      </c>
      <c r="X79" s="12" t="inlineStr">
        <is>
          <t>20 000 strokes/min</t>
        </is>
      </c>
      <c r="Y79" s="12" t="inlineStr">
        <is>
          <t>1 mode</t>
        </is>
      </c>
      <c r="Z79" s="29" t="inlineStr">
        <is>
          <t>N/D</t>
        </is>
      </c>
      <c r="AA79" s="29" t="inlineStr">
        <is>
          <t>N/D</t>
        </is>
      </c>
      <c r="AB79" s="12" t="inlineStr">
        <is>
          <t>Non</t>
        </is>
      </c>
      <c r="AC79" s="12" t="inlineStr">
        <is>
          <t>2 piles AAA</t>
        </is>
      </c>
      <c r="AD79" s="12" t="inlineStr">
        <is>
          <t>Non vérifié sur les marchés cibles (marque Colgate largement distribuée en GMS et pharmacie)</t>
        </is>
      </c>
      <c r="AE79" s="12" t="inlineStr">
        <is>
          <t>GMS, pharmacies</t>
        </is>
      </c>
      <c r="AF79" s="13" t="inlineStr">
        <is>
          <t>https://www.colgate.com/en-my/products/toothbrush/colgate-proclinical-150-charcoal-battery-powered-toothbrush</t>
        </is>
      </c>
      <c r="AG79" s="13" t="inlineStr">
        <is>
          <t>https://www.colgate.com/en-my/products/toothbrush/colgate-proclinical-150-deepclean-battery-powered-toothbrush</t>
        </is>
      </c>
      <c r="AH79" s="12" t="inlineStr">
        <is>
          <t>Rapprochement sur l'alimentation à piles et le positionnement prix d'entrée de gamme. Concurrent de référence du segment SEAGO à piles : marque installée, prix d'entrée, tête remplaçable.</t>
        </is>
      </c>
      <c r="AI79" s="14" t="n"/>
      <c r="AJ79" s="14" t="n"/>
      <c r="AK79" s="15" t="n"/>
      <c r="AL79" s="16" t="n"/>
      <c r="AM79" s="15" t="n"/>
      <c r="AN79" s="17">
        <f>IF(OR(AJ79="",AI79=""),"",AJ79-AI79)</f>
        <v/>
      </c>
      <c r="AO79" s="18">
        <f>IF(OR(AJ79="",AI79="",AI79=0),"",(AJ79-AI79)/AI79)</f>
        <v/>
      </c>
      <c r="AP79" s="19">
        <f>IF(AO79="","",IF(AO79&lt;-0.05,"Moins cher",IF(AO79&gt;0.05,"Plus cher","Équivalent")))</f>
        <v/>
      </c>
    </row>
    <row r="80">
      <c r="A80" s="5" t="inlineStr">
        <is>
          <t>SG-557A</t>
        </is>
      </c>
      <c r="B80" s="5" t="inlineStr">
        <is>
          <t>Daily Clean</t>
        </is>
      </c>
      <c r="C80" s="5" t="inlineStr">
        <is>
          <t>Sonique</t>
        </is>
      </c>
      <c r="D80" s="5" t="inlineStr">
        <is>
          <t>Adulte</t>
        </is>
      </c>
      <c r="E80" s="6" t="n">
        <v>18000</v>
      </c>
      <c r="F80" s="6" t="n">
        <v>18000</v>
      </c>
      <c r="G80" s="30" t="inlineStr">
        <is>
          <t>N/D</t>
        </is>
      </c>
      <c r="H80" s="7" t="n">
        <v>120</v>
      </c>
      <c r="I80" s="30" t="inlineStr">
        <is>
          <t>N/D</t>
        </is>
      </c>
      <c r="J80" s="5" t="inlineStr">
        <is>
          <t>Pile (1x AAA)</t>
        </is>
      </c>
      <c r="K80" s="5" t="inlineStr">
        <is>
          <t>Piles</t>
        </is>
      </c>
      <c r="L80" s="8" t="inlineStr">
        <is>
          <t>N/D</t>
        </is>
      </c>
      <c r="M80" s="5" t="inlineStr">
        <is>
          <t>IPX7</t>
        </is>
      </c>
      <c r="N80" s="5" t="inlineStr">
        <is>
          <t>Non</t>
        </is>
      </c>
      <c r="O80" s="5" t="inlineStr">
        <is>
          <t>Aucun</t>
        </is>
      </c>
      <c r="P80" s="5" t="inlineStr">
        <is>
          <t>Non</t>
        </is>
      </c>
      <c r="Q80" s="9" t="n">
        <v>20</v>
      </c>
      <c r="R80" s="5" t="inlineStr">
        <is>
          <t>16*16*180</t>
        </is>
      </c>
      <c r="S80" s="10" t="inlineStr">
        <is>
          <t>Design fin avec tenon métal, pack 1 brosse + 3 têtes de rechange</t>
        </is>
      </c>
      <c r="T80" s="11" t="n">
        <v>46</v>
      </c>
      <c r="U80" s="12" t="inlineStr">
        <is>
          <t>ProClinical 150 (Charcoal / Deep Clean)</t>
        </is>
      </c>
      <c r="V80" s="12" t="inlineStr">
        <is>
          <t>Colgate</t>
        </is>
      </c>
      <c r="W80" s="12" t="inlineStr">
        <is>
          <t>Sonique à piles</t>
        </is>
      </c>
      <c r="X80" s="12" t="inlineStr">
        <is>
          <t>20 000 strokes/min</t>
        </is>
      </c>
      <c r="Y80" s="12" t="inlineStr">
        <is>
          <t>1 mode</t>
        </is>
      </c>
      <c r="Z80" s="29" t="inlineStr">
        <is>
          <t>N/D</t>
        </is>
      </c>
      <c r="AA80" s="29" t="inlineStr">
        <is>
          <t>N/D</t>
        </is>
      </c>
      <c r="AB80" s="12" t="inlineStr">
        <is>
          <t>Non</t>
        </is>
      </c>
      <c r="AC80" s="12" t="inlineStr">
        <is>
          <t>2 piles AAA</t>
        </is>
      </c>
      <c r="AD80" s="12" t="inlineStr">
        <is>
          <t>Non vérifié sur les marchés cibles (marque Colgate largement distribuée en GMS et pharmacie)</t>
        </is>
      </c>
      <c r="AE80" s="12" t="inlineStr">
        <is>
          <t>GMS, pharmacies</t>
        </is>
      </c>
      <c r="AF80" s="13" t="inlineStr">
        <is>
          <t>https://www.colgate.com/en-my/products/toothbrush/colgate-proclinical-150-charcoal-battery-powered-toothbrush</t>
        </is>
      </c>
      <c r="AG80" s="13" t="inlineStr">
        <is>
          <t>https://www.colgate.com/en-my/products/toothbrush/colgate-proclinical-150-deepclean-battery-powered-toothbrush</t>
        </is>
      </c>
      <c r="AH80" s="12" t="inlineStr">
        <is>
          <t>Rapprochement sur l'alimentation à piles et le positionnement prix d'entrée de gamme. Concurrent de référence du segment SEAGO à piles : marque installée, prix d'entrée, tête remplaçable.</t>
        </is>
      </c>
      <c r="AI80" s="14" t="n"/>
      <c r="AJ80" s="14" t="n"/>
      <c r="AK80" s="15" t="n"/>
      <c r="AL80" s="16" t="n"/>
      <c r="AM80" s="15" t="n"/>
      <c r="AN80" s="17">
        <f>IF(OR(AJ80="",AI80=""),"",AJ80-AI80)</f>
        <v/>
      </c>
      <c r="AO80" s="18">
        <f>IF(OR(AJ80="",AI80="",AI80=0),"",(AJ80-AI80)/AI80)</f>
        <v/>
      </c>
      <c r="AP80" s="19">
        <f>IF(AO80="","",IF(AO80&lt;-0.05,"Moins cher",IF(AO80&gt;0.05,"Plus cher","Équivalent")))</f>
        <v/>
      </c>
    </row>
    <row r="81">
      <c r="A81" s="20" t="inlineStr">
        <is>
          <t>SG-557B</t>
        </is>
      </c>
      <c r="B81" s="20" t="inlineStr">
        <is>
          <t>Daily Clean</t>
        </is>
      </c>
      <c r="C81" s="20" t="inlineStr">
        <is>
          <t>Sonique</t>
        </is>
      </c>
      <c r="D81" s="20" t="inlineStr">
        <is>
          <t>Adulte</t>
        </is>
      </c>
      <c r="E81" s="21" t="n">
        <v>18000</v>
      </c>
      <c r="F81" s="21" t="n">
        <v>18000</v>
      </c>
      <c r="G81" s="22" t="n">
        <v>2</v>
      </c>
      <c r="H81" s="22" t="n">
        <v>120</v>
      </c>
      <c r="I81" s="27" t="inlineStr">
        <is>
          <t>N/D</t>
        </is>
      </c>
      <c r="J81" s="20" t="inlineStr">
        <is>
          <t>Pile (1x AAA)</t>
        </is>
      </c>
      <c r="K81" s="20" t="inlineStr">
        <is>
          <t>Piles</t>
        </is>
      </c>
      <c r="L81" s="26" t="inlineStr">
        <is>
          <t>N/D</t>
        </is>
      </c>
      <c r="M81" s="20" t="inlineStr">
        <is>
          <t>IPX7</t>
        </is>
      </c>
      <c r="N81" s="20" t="inlineStr">
        <is>
          <t>Non</t>
        </is>
      </c>
      <c r="O81" s="20" t="inlineStr">
        <is>
          <t>Aucun</t>
        </is>
      </c>
      <c r="P81" s="20" t="inlineStr">
        <is>
          <t>Oui</t>
        </is>
      </c>
      <c r="Q81" s="23" t="n">
        <v>20</v>
      </c>
      <c r="R81" s="20" t="inlineStr">
        <is>
          <t>16*16*180</t>
        </is>
      </c>
      <c r="S81" s="24" t="inlineStr">
        <is>
          <t>Design fin avec tenon métal, minuteur 2 min avec rappel toutes les 30 s</t>
        </is>
      </c>
      <c r="T81" s="25" t="n">
        <v>46</v>
      </c>
      <c r="U81" s="12" t="inlineStr">
        <is>
          <t>ProClinical 150 (Charcoal / Deep Clean)</t>
        </is>
      </c>
      <c r="V81" s="12" t="inlineStr">
        <is>
          <t>Colgate</t>
        </is>
      </c>
      <c r="W81" s="12" t="inlineStr">
        <is>
          <t>Sonique à piles</t>
        </is>
      </c>
      <c r="X81" s="12" t="inlineStr">
        <is>
          <t>20 000 strokes/min</t>
        </is>
      </c>
      <c r="Y81" s="12" t="inlineStr">
        <is>
          <t>1 mode</t>
        </is>
      </c>
      <c r="Z81" s="29" t="inlineStr">
        <is>
          <t>N/D</t>
        </is>
      </c>
      <c r="AA81" s="29" t="inlineStr">
        <is>
          <t>N/D</t>
        </is>
      </c>
      <c r="AB81" s="12" t="inlineStr">
        <is>
          <t>Non</t>
        </is>
      </c>
      <c r="AC81" s="12" t="inlineStr">
        <is>
          <t>2 piles AAA</t>
        </is>
      </c>
      <c r="AD81" s="12" t="inlineStr">
        <is>
          <t>Non vérifié sur les marchés cibles (marque Colgate largement distribuée en GMS et pharmacie)</t>
        </is>
      </c>
      <c r="AE81" s="12" t="inlineStr">
        <is>
          <t>GMS, pharmacies</t>
        </is>
      </c>
      <c r="AF81" s="13" t="inlineStr">
        <is>
          <t>https://www.colgate.com/en-my/products/toothbrush/colgate-proclinical-150-charcoal-battery-powered-toothbrush</t>
        </is>
      </c>
      <c r="AG81" s="13" t="inlineStr">
        <is>
          <t>https://www.colgate.com/en-my/products/toothbrush/colgate-proclinical-150-deepclean-battery-powered-toothbrush</t>
        </is>
      </c>
      <c r="AH81" s="12" t="inlineStr">
        <is>
          <t>Rapprochement sur l'alimentation à piles et le positionnement prix d'entrée de gamme. Concurrent de référence du segment SEAGO à piles : marque installée, prix d'entrée, tête remplaçable.</t>
        </is>
      </c>
      <c r="AI81" s="14" t="n"/>
      <c r="AJ81" s="14" t="n"/>
      <c r="AK81" s="15" t="n"/>
      <c r="AL81" s="16" t="n"/>
      <c r="AM81" s="15" t="n"/>
      <c r="AN81" s="17">
        <f>IF(OR(AJ81="",AI81=""),"",AJ81-AI81)</f>
        <v/>
      </c>
      <c r="AO81" s="18">
        <f>IF(OR(AJ81="",AI81="",AI81=0),"",(AJ81-AI81)/AI81)</f>
        <v/>
      </c>
      <c r="AP81" s="19">
        <f>IF(AO81="","",IF(AO81&lt;-0.05,"Moins cher",IF(AO81&gt;0.05,"Plus cher","Équivalent")))</f>
        <v/>
      </c>
    </row>
    <row r="82">
      <c r="A82" s="5" t="inlineStr">
        <is>
          <t>SG-523</t>
        </is>
      </c>
      <c r="B82" s="5" t="inlineStr">
        <is>
          <t>Daily Clean</t>
        </is>
      </c>
      <c r="C82" s="5" t="inlineStr">
        <is>
          <t>Sonique</t>
        </is>
      </c>
      <c r="D82" s="5" t="inlineStr">
        <is>
          <t>Adulte</t>
        </is>
      </c>
      <c r="E82" s="6" t="n">
        <v>18000</v>
      </c>
      <c r="F82" s="6" t="n">
        <v>18000</v>
      </c>
      <c r="G82" s="7" t="n">
        <v>2</v>
      </c>
      <c r="H82" s="7" t="n">
        <v>120</v>
      </c>
      <c r="I82" s="30" t="inlineStr">
        <is>
          <t>N/D</t>
        </is>
      </c>
      <c r="J82" s="5" t="inlineStr">
        <is>
          <t>Pile (1x AAA)</t>
        </is>
      </c>
      <c r="K82" s="5" t="inlineStr">
        <is>
          <t>Piles</t>
        </is>
      </c>
      <c r="L82" s="8" t="inlineStr">
        <is>
          <t>N/D</t>
        </is>
      </c>
      <c r="M82" s="5" t="inlineStr">
        <is>
          <t>IPX7</t>
        </is>
      </c>
      <c r="N82" s="5" t="inlineStr">
        <is>
          <t>Non</t>
        </is>
      </c>
      <c r="O82" s="5" t="inlineStr">
        <is>
          <t>Aucun</t>
        </is>
      </c>
      <c r="P82" s="5" t="inlineStr">
        <is>
          <t>Oui</t>
        </is>
      </c>
      <c r="Q82" s="9" t="n">
        <v>31</v>
      </c>
      <c r="R82" s="5" t="inlineStr">
        <is>
          <t>16*16*196</t>
        </is>
      </c>
      <c r="S82" s="10" t="inlineStr">
        <is>
          <t>Design fin avec tenon métal, minuteur 2 min avec rappel toutes les 30 s</t>
        </is>
      </c>
      <c r="T82" s="11" t="n">
        <v>47</v>
      </c>
      <c r="U82" s="12" t="inlineStr">
        <is>
          <t>ProClinical 150 (Charcoal / Deep Clean)</t>
        </is>
      </c>
      <c r="V82" s="12" t="inlineStr">
        <is>
          <t>Colgate</t>
        </is>
      </c>
      <c r="W82" s="12" t="inlineStr">
        <is>
          <t>Sonique à piles</t>
        </is>
      </c>
      <c r="X82" s="12" t="inlineStr">
        <is>
          <t>20 000 strokes/min</t>
        </is>
      </c>
      <c r="Y82" s="12" t="inlineStr">
        <is>
          <t>1 mode</t>
        </is>
      </c>
      <c r="Z82" s="29" t="inlineStr">
        <is>
          <t>N/D</t>
        </is>
      </c>
      <c r="AA82" s="29" t="inlineStr">
        <is>
          <t>N/D</t>
        </is>
      </c>
      <c r="AB82" s="12" t="inlineStr">
        <is>
          <t>Non</t>
        </is>
      </c>
      <c r="AC82" s="12" t="inlineStr">
        <is>
          <t>2 piles AAA</t>
        </is>
      </c>
      <c r="AD82" s="12" t="inlineStr">
        <is>
          <t>Non vérifié sur les marchés cibles (marque Colgate largement distribuée en GMS et pharmacie)</t>
        </is>
      </c>
      <c r="AE82" s="12" t="inlineStr">
        <is>
          <t>GMS, pharmacies</t>
        </is>
      </c>
      <c r="AF82" s="13" t="inlineStr">
        <is>
          <t>https://www.colgate.com/en-my/products/toothbrush/colgate-proclinical-150-charcoal-battery-powered-toothbrush</t>
        </is>
      </c>
      <c r="AG82" s="13" t="inlineStr">
        <is>
          <t>https://www.colgate.com/en-my/products/toothbrush/colgate-proclinical-150-deepclean-battery-powered-toothbrush</t>
        </is>
      </c>
      <c r="AH82" s="12" t="inlineStr">
        <is>
          <t>Rapprochement sur l'alimentation à piles et le positionnement prix d'entrée de gamme. Concurrent de référence du segment SEAGO à piles : marque installée, prix d'entrée, tête remplaçable.</t>
        </is>
      </c>
      <c r="AI82" s="14" t="n"/>
      <c r="AJ82" s="14" t="n"/>
      <c r="AK82" s="15" t="n"/>
      <c r="AL82" s="16" t="n"/>
      <c r="AM82" s="15" t="n"/>
      <c r="AN82" s="17">
        <f>IF(OR(AJ82="",AI82=""),"",AJ82-AI82)</f>
        <v/>
      </c>
      <c r="AO82" s="18">
        <f>IF(OR(AJ82="",AI82="",AI82=0),"",(AJ82-AI82)/AI82)</f>
        <v/>
      </c>
      <c r="AP82" s="19">
        <f>IF(AO82="","",IF(AO82&lt;-0.05,"Moins cher",IF(AO82&gt;0.05,"Plus cher","Équivalent")))</f>
        <v/>
      </c>
    </row>
    <row r="83">
      <c r="A83" s="20" t="inlineStr">
        <is>
          <t>SG-526</t>
        </is>
      </c>
      <c r="B83" s="20" t="inlineStr">
        <is>
          <t>Daily Clean</t>
        </is>
      </c>
      <c r="C83" s="20" t="inlineStr">
        <is>
          <t>Sonique</t>
        </is>
      </c>
      <c r="D83" s="20" t="inlineStr">
        <is>
          <t>Adulte</t>
        </is>
      </c>
      <c r="E83" s="21" t="n">
        <v>18000</v>
      </c>
      <c r="F83" s="21" t="n">
        <v>18000</v>
      </c>
      <c r="G83" s="27" t="inlineStr">
        <is>
          <t>N/D</t>
        </is>
      </c>
      <c r="H83" s="22" t="n">
        <v>120</v>
      </c>
      <c r="I83" s="27" t="inlineStr">
        <is>
          <t>N/D</t>
        </is>
      </c>
      <c r="J83" s="20" t="inlineStr">
        <is>
          <t>Pile (1x AAA)</t>
        </is>
      </c>
      <c r="K83" s="20" t="inlineStr">
        <is>
          <t>Piles</t>
        </is>
      </c>
      <c r="L83" s="26" t="inlineStr">
        <is>
          <t>N/D</t>
        </is>
      </c>
      <c r="M83" s="20" t="inlineStr">
        <is>
          <t>IPX7</t>
        </is>
      </c>
      <c r="N83" s="20" t="inlineStr">
        <is>
          <t>Non</t>
        </is>
      </c>
      <c r="O83" s="20" t="inlineStr">
        <is>
          <t>Aucun</t>
        </is>
      </c>
      <c r="P83" s="20" t="inlineStr">
        <is>
          <t>Non</t>
        </is>
      </c>
      <c r="Q83" s="23" t="n">
        <v>31</v>
      </c>
      <c r="R83" s="20" t="inlineStr">
        <is>
          <t>16*16*196</t>
        </is>
      </c>
      <c r="S83" s="24" t="inlineStr">
        <is>
          <t>Design fin avec tenon métal, pack 1 brosse + 3 têtes de rechange</t>
        </is>
      </c>
      <c r="T83" s="25" t="n">
        <v>47</v>
      </c>
      <c r="U83" s="12" t="inlineStr">
        <is>
          <t>ProClinical 150 (Charcoal / Deep Clean)</t>
        </is>
      </c>
      <c r="V83" s="12" t="inlineStr">
        <is>
          <t>Colgate</t>
        </is>
      </c>
      <c r="W83" s="12" t="inlineStr">
        <is>
          <t>Sonique à piles</t>
        </is>
      </c>
      <c r="X83" s="12" t="inlineStr">
        <is>
          <t>20 000 strokes/min</t>
        </is>
      </c>
      <c r="Y83" s="12" t="inlineStr">
        <is>
          <t>1 mode</t>
        </is>
      </c>
      <c r="Z83" s="29" t="inlineStr">
        <is>
          <t>N/D</t>
        </is>
      </c>
      <c r="AA83" s="29" t="inlineStr">
        <is>
          <t>N/D</t>
        </is>
      </c>
      <c r="AB83" s="12" t="inlineStr">
        <is>
          <t>Non</t>
        </is>
      </c>
      <c r="AC83" s="12" t="inlineStr">
        <is>
          <t>2 piles AAA</t>
        </is>
      </c>
      <c r="AD83" s="12" t="inlineStr">
        <is>
          <t>Non vérifié sur les marchés cibles (marque Colgate largement distribuée en GMS et pharmacie)</t>
        </is>
      </c>
      <c r="AE83" s="12" t="inlineStr">
        <is>
          <t>GMS, pharmacies</t>
        </is>
      </c>
      <c r="AF83" s="13" t="inlineStr">
        <is>
          <t>https://www.colgate.com/en-my/products/toothbrush/colgate-proclinical-150-charcoal-battery-powered-toothbrush</t>
        </is>
      </c>
      <c r="AG83" s="13" t="inlineStr">
        <is>
          <t>https://www.colgate.com/en-my/products/toothbrush/colgate-proclinical-150-deepclean-battery-powered-toothbrush</t>
        </is>
      </c>
      <c r="AH83" s="12" t="inlineStr">
        <is>
          <t>Rapprochement sur l'alimentation à piles et le positionnement prix d'entrée de gamme. Concurrent de référence du segment SEAGO à piles : marque installée, prix d'entrée, tête remplaçable.</t>
        </is>
      </c>
      <c r="AI83" s="14" t="n"/>
      <c r="AJ83" s="14" t="n"/>
      <c r="AK83" s="15" t="n"/>
      <c r="AL83" s="16" t="n"/>
      <c r="AM83" s="15" t="n"/>
      <c r="AN83" s="17">
        <f>IF(OR(AJ83="",AI83=""),"",AJ83-AI83)</f>
        <v/>
      </c>
      <c r="AO83" s="18">
        <f>IF(OR(AJ83="",AI83="",AI83=0),"",(AJ83-AI83)/AI83)</f>
        <v/>
      </c>
      <c r="AP83" s="19">
        <f>IF(AO83="","",IF(AO83&lt;-0.05,"Moins cher",IF(AO83&gt;0.05,"Plus cher","Équivalent")))</f>
        <v/>
      </c>
    </row>
    <row r="84">
      <c r="A84" s="5" t="inlineStr">
        <is>
          <t>SG-981</t>
        </is>
      </c>
      <c r="B84" s="5" t="inlineStr">
        <is>
          <t>Daily Clean</t>
        </is>
      </c>
      <c r="C84" s="5" t="inlineStr">
        <is>
          <t>Sonique</t>
        </is>
      </c>
      <c r="D84" s="5" t="inlineStr">
        <is>
          <t>Adulte</t>
        </is>
      </c>
      <c r="E84" s="6" t="n">
        <v>28000</v>
      </c>
      <c r="F84" s="6" t="n">
        <v>28000</v>
      </c>
      <c r="G84" s="7" t="n">
        <v>2</v>
      </c>
      <c r="H84" s="7" t="n">
        <v>100</v>
      </c>
      <c r="I84" s="30" t="inlineStr">
        <is>
          <t>N/D</t>
        </is>
      </c>
      <c r="J84" s="5" t="inlineStr">
        <is>
          <t>Pile (1x AAA)</t>
        </is>
      </c>
      <c r="K84" s="5" t="inlineStr">
        <is>
          <t>Piles</t>
        </is>
      </c>
      <c r="L84" s="8" t="inlineStr">
        <is>
          <t>N/D</t>
        </is>
      </c>
      <c r="M84" s="5" t="inlineStr">
        <is>
          <t>IPX7</t>
        </is>
      </c>
      <c r="N84" s="5" t="inlineStr">
        <is>
          <t>Non</t>
        </is>
      </c>
      <c r="O84" s="5" t="inlineStr">
        <is>
          <t>Aucun</t>
        </is>
      </c>
      <c r="P84" s="5" t="inlineStr">
        <is>
          <t>Oui</t>
        </is>
      </c>
      <c r="Q84" s="9" t="n">
        <v>33</v>
      </c>
      <c r="R84" s="5" t="inlineStr">
        <is>
          <t>22*21*202</t>
        </is>
      </c>
      <c r="S84" s="10" t="inlineStr">
        <is>
          <t>Manche antidérapant avec tenon métal, minuteur 2 min avec rappel toutes les 30 s</t>
        </is>
      </c>
      <c r="T84" s="11" t="n">
        <v>48</v>
      </c>
      <c r="U84" s="12" t="inlineStr">
        <is>
          <t>ProClinical 150 (Charcoal / Deep Clean)</t>
        </is>
      </c>
      <c r="V84" s="12" t="inlineStr">
        <is>
          <t>Colgate</t>
        </is>
      </c>
      <c r="W84" s="12" t="inlineStr">
        <is>
          <t>Sonique à piles</t>
        </is>
      </c>
      <c r="X84" s="12" t="inlineStr">
        <is>
          <t>20 000 strokes/min</t>
        </is>
      </c>
      <c r="Y84" s="12" t="inlineStr">
        <is>
          <t>1 mode</t>
        </is>
      </c>
      <c r="Z84" s="29" t="inlineStr">
        <is>
          <t>N/D</t>
        </is>
      </c>
      <c r="AA84" s="29" t="inlineStr">
        <is>
          <t>N/D</t>
        </is>
      </c>
      <c r="AB84" s="12" t="inlineStr">
        <is>
          <t>Non</t>
        </is>
      </c>
      <c r="AC84" s="12" t="inlineStr">
        <is>
          <t>2 piles AAA</t>
        </is>
      </c>
      <c r="AD84" s="12" t="inlineStr">
        <is>
          <t>Non vérifié sur les marchés cibles (marque Colgate largement distribuée en GMS et pharmacie)</t>
        </is>
      </c>
      <c r="AE84" s="12" t="inlineStr">
        <is>
          <t>GMS, pharmacies</t>
        </is>
      </c>
      <c r="AF84" s="13" t="inlineStr">
        <is>
          <t>https://www.colgate.com/en-my/products/toothbrush/colgate-proclinical-150-charcoal-battery-powered-toothbrush</t>
        </is>
      </c>
      <c r="AG84" s="13" t="inlineStr">
        <is>
          <t>https://www.colgate.com/en-my/products/toothbrush/colgate-proclinical-150-deepclean-battery-powered-toothbrush</t>
        </is>
      </c>
      <c r="AH84" s="12" t="inlineStr">
        <is>
          <t>Rapprochement sur l'alimentation à piles et le positionnement prix d'entrée de gamme. Concurrent de référence du segment SEAGO à piles : marque installée, prix d'entrée, tête remplaçable.</t>
        </is>
      </c>
      <c r="AI84" s="14" t="n"/>
      <c r="AJ84" s="14" t="n"/>
      <c r="AK84" s="15" t="n"/>
      <c r="AL84" s="16" t="n"/>
      <c r="AM84" s="15" t="n"/>
      <c r="AN84" s="17">
        <f>IF(OR(AJ84="",AI84=""),"",AJ84-AI84)</f>
        <v/>
      </c>
      <c r="AO84" s="18">
        <f>IF(OR(AJ84="",AI84="",AI84=0),"",(AJ84-AI84)/AI84)</f>
        <v/>
      </c>
      <c r="AP84" s="19">
        <f>IF(AO84="","",IF(AO84&lt;-0.05,"Moins cher",IF(AO84&gt;0.05,"Plus cher","Équivalent")))</f>
        <v/>
      </c>
    </row>
    <row r="85">
      <c r="A85" s="20" t="inlineStr">
        <is>
          <t>SG-2102</t>
        </is>
      </c>
      <c r="B85" s="20" t="inlineStr">
        <is>
          <t>Daily Clean</t>
        </is>
      </c>
      <c r="C85" s="20" t="inlineStr">
        <is>
          <t>Sonique</t>
        </is>
      </c>
      <c r="D85" s="20" t="inlineStr">
        <is>
          <t>Adulte</t>
        </is>
      </c>
      <c r="E85" s="21" t="n">
        <v>28000</v>
      </c>
      <c r="F85" s="21" t="n">
        <v>28000</v>
      </c>
      <c r="G85" s="22" t="n">
        <v>2</v>
      </c>
      <c r="H85" s="22" t="n">
        <v>120</v>
      </c>
      <c r="I85" s="27" t="inlineStr">
        <is>
          <t>N/D</t>
        </is>
      </c>
      <c r="J85" s="20" t="inlineStr">
        <is>
          <t>Pile (1x AAA)</t>
        </is>
      </c>
      <c r="K85" s="20" t="inlineStr">
        <is>
          <t>Piles</t>
        </is>
      </c>
      <c r="L85" s="26" t="inlineStr">
        <is>
          <t>N/D</t>
        </is>
      </c>
      <c r="M85" s="20" t="inlineStr">
        <is>
          <t>IPX7</t>
        </is>
      </c>
      <c r="N85" s="20" t="inlineStr">
        <is>
          <t>Non</t>
        </is>
      </c>
      <c r="O85" s="20" t="inlineStr">
        <is>
          <t>Aucun</t>
        </is>
      </c>
      <c r="P85" s="20" t="inlineStr">
        <is>
          <t>Non</t>
        </is>
      </c>
      <c r="Q85" s="23" t="n">
        <v>40</v>
      </c>
      <c r="R85" s="20" t="inlineStr">
        <is>
          <t>20*20*194.5</t>
        </is>
      </c>
      <c r="S85" s="24" t="inlineStr">
        <is>
          <t>Manche métal haut de gamme avec tenon métal, tête avec gratte-langue, format voyage</t>
        </is>
      </c>
      <c r="T85" s="25" t="n">
        <v>48</v>
      </c>
      <c r="U85" s="12" t="inlineStr">
        <is>
          <t>ProClinical 150 (Charcoal / Deep Clean)</t>
        </is>
      </c>
      <c r="V85" s="12" t="inlineStr">
        <is>
          <t>Colgate</t>
        </is>
      </c>
      <c r="W85" s="12" t="inlineStr">
        <is>
          <t>Sonique à piles</t>
        </is>
      </c>
      <c r="X85" s="12" t="inlineStr">
        <is>
          <t>20 000 strokes/min</t>
        </is>
      </c>
      <c r="Y85" s="12" t="inlineStr">
        <is>
          <t>1 mode</t>
        </is>
      </c>
      <c r="Z85" s="29" t="inlineStr">
        <is>
          <t>N/D</t>
        </is>
      </c>
      <c r="AA85" s="29" t="inlineStr">
        <is>
          <t>N/D</t>
        </is>
      </c>
      <c r="AB85" s="12" t="inlineStr">
        <is>
          <t>Non</t>
        </is>
      </c>
      <c r="AC85" s="12" t="inlineStr">
        <is>
          <t>2 piles AAA</t>
        </is>
      </c>
      <c r="AD85" s="12" t="inlineStr">
        <is>
          <t>Non vérifié sur les marchés cibles (marque Colgate largement distribuée en GMS et pharmacie)</t>
        </is>
      </c>
      <c r="AE85" s="12" t="inlineStr">
        <is>
          <t>GMS, pharmacies</t>
        </is>
      </c>
      <c r="AF85" s="13" t="inlineStr">
        <is>
          <t>https://www.colgate.com/en-my/products/toothbrush/colgate-proclinical-150-charcoal-battery-powered-toothbrush</t>
        </is>
      </c>
      <c r="AG85" s="13" t="inlineStr">
        <is>
          <t>https://www.colgate.com/en-my/products/toothbrush/colgate-proclinical-150-deepclean-battery-powered-toothbrush</t>
        </is>
      </c>
      <c r="AH85" s="12" t="inlineStr">
        <is>
          <t>Rapprochement sur l'alimentation à piles et le positionnement prix d'entrée de gamme. Concurrent de référence du segment SEAGO à piles : marque installée, prix d'entrée, tête remplaçable.</t>
        </is>
      </c>
      <c r="AI85" s="14" t="n"/>
      <c r="AJ85" s="14" t="n"/>
      <c r="AK85" s="15" t="n"/>
      <c r="AL85" s="16" t="n"/>
      <c r="AM85" s="15" t="n"/>
      <c r="AN85" s="17">
        <f>IF(OR(AJ85="",AI85=""),"",AJ85-AI85)</f>
        <v/>
      </c>
      <c r="AO85" s="18">
        <f>IF(OR(AJ85="",AI85="",AI85=0),"",(AJ85-AI85)/AI85)</f>
        <v/>
      </c>
      <c r="AP85" s="19">
        <f>IF(AO85="","",IF(AO85&lt;-0.05,"Moins cher",IF(AO85&gt;0.05,"Plus cher","Équivalent")))</f>
        <v/>
      </c>
    </row>
    <row r="86">
      <c r="A86" s="5" t="inlineStr">
        <is>
          <t>SG-926</t>
        </is>
      </c>
      <c r="B86" s="5" t="inlineStr">
        <is>
          <t>Daily Clean</t>
        </is>
      </c>
      <c r="C86" s="5" t="inlineStr">
        <is>
          <t>Sonique</t>
        </is>
      </c>
      <c r="D86" s="5" t="inlineStr">
        <is>
          <t>Adulte</t>
        </is>
      </c>
      <c r="E86" s="6" t="n">
        <v>28000</v>
      </c>
      <c r="F86" s="6" t="n">
        <v>28000</v>
      </c>
      <c r="G86" s="7" t="n">
        <v>2</v>
      </c>
      <c r="H86" s="7" t="n">
        <v>45</v>
      </c>
      <c r="I86" s="7" t="n">
        <v>600</v>
      </c>
      <c r="J86" s="5" t="inlineStr">
        <is>
          <t>Batterie Ni-MH rechargeable</t>
        </is>
      </c>
      <c r="K86" s="5" t="inlineStr">
        <is>
          <t>USB</t>
        </is>
      </c>
      <c r="L86" s="8" t="inlineStr">
        <is>
          <t>N/D</t>
        </is>
      </c>
      <c r="M86" s="5" t="inlineStr">
        <is>
          <t>IPX7</t>
        </is>
      </c>
      <c r="N86" s="5" t="inlineStr">
        <is>
          <t>Non</t>
        </is>
      </c>
      <c r="O86" s="5" t="inlineStr">
        <is>
          <t>Aucun</t>
        </is>
      </c>
      <c r="P86" s="5" t="inlineStr">
        <is>
          <t>Oui</t>
        </is>
      </c>
      <c r="Q86" s="9" t="n">
        <v>54</v>
      </c>
      <c r="R86" s="5" t="inlineStr">
        <is>
          <t>D18*184</t>
        </is>
      </c>
      <c r="S86" s="10" t="inlineStr">
        <is>
          <t>Mémoire de mode, format voyage, minuteur 2 min avec rappel toutes les 30 s, batterie Ni-MH 1,2 V</t>
        </is>
      </c>
      <c r="T86" s="11" t="n">
        <v>49</v>
      </c>
      <c r="U86" s="12" t="inlineStr">
        <is>
          <t>Brosse à dents électrique sonique durable</t>
        </is>
      </c>
      <c r="V86" s="12" t="inlineStr">
        <is>
          <t>Suri (marketplace)</t>
        </is>
      </c>
      <c r="W86" s="12" t="inlineStr">
        <is>
          <t>Sonique</t>
        </is>
      </c>
      <c r="X86" s="12" t="inlineStr">
        <is>
          <t>40 000 VPM</t>
        </is>
      </c>
      <c r="Y86" s="12" t="inlineStr">
        <is>
          <t>5 modes (Clean, White, Polish, Soft, Gum Care)</t>
        </is>
      </c>
      <c r="Z86" s="12" t="n">
        <v>30</v>
      </c>
      <c r="AA86" s="29" t="inlineStr">
        <is>
          <t>N/D</t>
        </is>
      </c>
      <c r="AB86" s="12" t="inlineStr">
        <is>
          <t>Non</t>
        </is>
      </c>
      <c r="AC86" s="12" t="inlineStr">
        <is>
          <t>Li-ion, charge rapide 4 h</t>
        </is>
      </c>
      <c r="AD86" s="12" t="inlineStr">
        <is>
          <t>Côte d'Ivoire (Jumia, vérifié)</t>
        </is>
      </c>
      <c r="AE86" s="12" t="inlineStr">
        <is>
          <t>Jumia CI</t>
        </is>
      </c>
      <c r="AF86" s="13" t="inlineStr">
        <is>
          <t>https://www.jumia.ci/slp/brosse-a-dents-electrique-durable-suri</t>
        </is>
      </c>
      <c r="AG86" s="13" t="inlineStr">
        <is>
          <t>https://www.jumia.ci/brosse-a-dents-electrique/</t>
        </is>
      </c>
      <c r="AH86" s="12" t="inlineStr">
        <is>
          <t>Rapprochement sur le positionnement marketplace : specs proches, marque non installée. Offre marketplace au positionnement identique à SEAGO : mêmes specs annoncées, marque non installée.</t>
        </is>
      </c>
      <c r="AI86" s="14" t="n"/>
      <c r="AJ86" s="14" t="n"/>
      <c r="AK86" s="15" t="n"/>
      <c r="AL86" s="16" t="n"/>
      <c r="AM86" s="15" t="n"/>
      <c r="AN86" s="17">
        <f>IF(OR(AJ86="",AI86=""),"",AJ86-AI86)</f>
        <v/>
      </c>
      <c r="AO86" s="18">
        <f>IF(OR(AJ86="",AI86="",AI86=0),"",(AJ86-AI86)/AI86)</f>
        <v/>
      </c>
      <c r="AP86" s="19">
        <f>IF(AO86="","",IF(AO86&lt;-0.05,"Moins cher",IF(AO86&gt;0.05,"Plus cher","Équivalent")))</f>
        <v/>
      </c>
    </row>
    <row r="87">
      <c r="A87" s="20" t="inlineStr">
        <is>
          <t>SG-957</t>
        </is>
      </c>
      <c r="B87" s="20" t="inlineStr">
        <is>
          <t>Daily Clean</t>
        </is>
      </c>
      <c r="C87" s="20" t="inlineStr">
        <is>
          <t>Sonique</t>
        </is>
      </c>
      <c r="D87" s="20" t="inlineStr">
        <is>
          <t>Adulte</t>
        </is>
      </c>
      <c r="E87" s="21" t="n">
        <v>28000</v>
      </c>
      <c r="F87" s="21" t="n">
        <v>28000</v>
      </c>
      <c r="G87" s="22" t="n">
        <v>2</v>
      </c>
      <c r="H87" s="22" t="n">
        <v>45</v>
      </c>
      <c r="I87" s="22" t="n">
        <v>600</v>
      </c>
      <c r="J87" s="20" t="inlineStr">
        <is>
          <t>Batterie Ni-MH rechargeable</t>
        </is>
      </c>
      <c r="K87" s="20" t="inlineStr">
        <is>
          <t>USB</t>
        </is>
      </c>
      <c r="L87" s="26" t="inlineStr">
        <is>
          <t>N/D</t>
        </is>
      </c>
      <c r="M87" s="20" t="inlineStr">
        <is>
          <t>IPX7</t>
        </is>
      </c>
      <c r="N87" s="20" t="inlineStr">
        <is>
          <t>Non</t>
        </is>
      </c>
      <c r="O87" s="20" t="inlineStr">
        <is>
          <t>Aucun</t>
        </is>
      </c>
      <c r="P87" s="20" t="inlineStr">
        <is>
          <t>Oui</t>
        </is>
      </c>
      <c r="Q87" s="23" t="n">
        <v>45</v>
      </c>
      <c r="R87" s="20" t="inlineStr">
        <is>
          <t>D19.9*184.9</t>
        </is>
      </c>
      <c r="S87" s="24" t="inlineStr">
        <is>
          <t>Mémoire de mode, format voyage, minuteur 2 min avec rappel toutes les 30 s, batterie Ni-MH 1,2 V</t>
        </is>
      </c>
      <c r="T87" s="25" t="n">
        <v>49</v>
      </c>
      <c r="U87" s="12" t="inlineStr">
        <is>
          <t>Brosse à dents électrique sonique durable</t>
        </is>
      </c>
      <c r="V87" s="12" t="inlineStr">
        <is>
          <t>Suri (marketplace)</t>
        </is>
      </c>
      <c r="W87" s="12" t="inlineStr">
        <is>
          <t>Sonique</t>
        </is>
      </c>
      <c r="X87" s="12" t="inlineStr">
        <is>
          <t>40 000 VPM</t>
        </is>
      </c>
      <c r="Y87" s="12" t="inlineStr">
        <is>
          <t>5 modes (Clean, White, Polish, Soft, Gum Care)</t>
        </is>
      </c>
      <c r="Z87" s="12" t="n">
        <v>30</v>
      </c>
      <c r="AA87" s="29" t="inlineStr">
        <is>
          <t>N/D</t>
        </is>
      </c>
      <c r="AB87" s="12" t="inlineStr">
        <is>
          <t>Non</t>
        </is>
      </c>
      <c r="AC87" s="12" t="inlineStr">
        <is>
          <t>Li-ion, charge rapide 4 h</t>
        </is>
      </c>
      <c r="AD87" s="12" t="inlineStr">
        <is>
          <t>Côte d'Ivoire (Jumia, vérifié)</t>
        </is>
      </c>
      <c r="AE87" s="12" t="inlineStr">
        <is>
          <t>Jumia CI</t>
        </is>
      </c>
      <c r="AF87" s="13" t="inlineStr">
        <is>
          <t>https://www.jumia.ci/slp/brosse-a-dents-electrique-durable-suri</t>
        </is>
      </c>
      <c r="AG87" s="13" t="inlineStr">
        <is>
          <t>https://www.jumia.ci/brosse-a-dents-electrique/</t>
        </is>
      </c>
      <c r="AH87" s="12" t="inlineStr">
        <is>
          <t>Rapprochement sur le positionnement marketplace : specs proches, marque non installée. Offre marketplace au positionnement identique à SEAGO : mêmes specs annoncées, marque non installée.</t>
        </is>
      </c>
      <c r="AI87" s="14" t="n"/>
      <c r="AJ87" s="14" t="n"/>
      <c r="AK87" s="15" t="n"/>
      <c r="AL87" s="16" t="n"/>
      <c r="AM87" s="15" t="n"/>
      <c r="AN87" s="17">
        <f>IF(OR(AJ87="",AI87=""),"",AJ87-AI87)</f>
        <v/>
      </c>
      <c r="AO87" s="18">
        <f>IF(OR(AJ87="",AI87="",AI87=0),"",(AJ87-AI87)/AI87)</f>
        <v/>
      </c>
      <c r="AP87" s="19">
        <f>IF(AO87="","",IF(AO87&lt;-0.05,"Moins cher",IF(AO87&gt;0.05,"Plus cher","Équivalent")))</f>
        <v/>
      </c>
    </row>
    <row r="88">
      <c r="A88" s="5" t="inlineStr">
        <is>
          <t>SG-2772</t>
        </is>
      </c>
      <c r="B88" s="5" t="inlineStr">
        <is>
          <t>Kids Sonic</t>
        </is>
      </c>
      <c r="C88" s="5" t="inlineStr">
        <is>
          <t>Sonique</t>
        </is>
      </c>
      <c r="D88" s="5" t="inlineStr">
        <is>
          <t>Enfant</t>
        </is>
      </c>
      <c r="E88" s="6" t="n">
        <v>32000</v>
      </c>
      <c r="F88" s="6" t="n">
        <v>40000</v>
      </c>
      <c r="G88" s="7" t="n">
        <v>3</v>
      </c>
      <c r="H88" s="7" t="n">
        <v>21</v>
      </c>
      <c r="I88" s="7" t="n">
        <v>700</v>
      </c>
      <c r="J88" s="5" t="inlineStr">
        <is>
          <t>Batterie Li-ion rechargeable</t>
        </is>
      </c>
      <c r="K88" s="5" t="inlineStr">
        <is>
          <t>Type-C</t>
        </is>
      </c>
      <c r="L88" s="8" t="inlineStr">
        <is>
          <t>N/D</t>
        </is>
      </c>
      <c r="M88" s="5" t="inlineStr">
        <is>
          <t>IPX7</t>
        </is>
      </c>
      <c r="N88" s="5" t="inlineStr">
        <is>
          <t>Oui</t>
        </is>
      </c>
      <c r="O88" s="5" t="inlineStr">
        <is>
          <t>Écran (6 langues)</t>
        </is>
      </c>
      <c r="P88" s="5" t="inlineStr">
        <is>
          <t>Oui</t>
        </is>
      </c>
      <c r="Q88" s="9" t="n">
        <v>126</v>
      </c>
      <c r="R88" s="5" t="inlineStr">
        <is>
          <t>31.1*29.5*151.9 (manche)</t>
        </is>
      </c>
      <c r="S88" s="10" t="inlineStr">
        <is>
          <t>Écran 6 langues, anti-projection de dentifrice, rappel de brossage intelligent, sans BPA, moteur magnétique, système super silencieux</t>
        </is>
      </c>
      <c r="T88" s="11" t="n">
        <v>51</v>
      </c>
      <c r="U88" s="12" t="inlineStr">
        <is>
          <t>Sonicare For Kids HX6321/02</t>
        </is>
      </c>
      <c r="V88" s="12" t="inlineStr">
        <is>
          <t>Philips</t>
        </is>
      </c>
      <c r="W88" s="12" t="inlineStr">
        <is>
          <t>Sonique enfant</t>
        </is>
      </c>
      <c r="X88" s="12" t="inlineStr">
        <is>
          <t>62 000 mouvements/min</t>
        </is>
      </c>
      <c r="Y88" s="12" t="inlineStr">
        <is>
          <t>2 modes</t>
        </is>
      </c>
      <c r="Z88" s="12" t="n">
        <v>21</v>
      </c>
      <c r="AA88" s="29" t="inlineStr">
        <is>
          <t>N/D</t>
        </is>
      </c>
      <c r="AB88" s="12" t="inlineStr">
        <is>
          <t>Non</t>
        </is>
      </c>
      <c r="AC88" s="12" t="inlineStr">
        <is>
          <t>Socle inductif</t>
        </is>
      </c>
      <c r="AD88" s="12" t="inlineStr">
        <is>
          <t>EAU (Noon, gamme Sonicare vérifiée)</t>
        </is>
      </c>
      <c r="AE88" s="12" t="inlineStr">
        <is>
          <t>Noon UAE, pharmacies</t>
        </is>
      </c>
      <c r="AF88" s="13" t="inlineStr">
        <is>
          <t>https://www.usa.philips.com/c-p/HX6321_02/sonicare-for-kids-sonic-electric-toothbrush</t>
        </is>
      </c>
      <c r="AG88" s="13" t="inlineStr">
        <is>
          <t>https://www.philips.com/c-dam/b2c/category-pages/personal-care/POHC/resource-library-docs/HX6321-03%20LEAFLET-Sonicare-%20For-Kids-%20Connected-Electric-Toothbrush.pdf</t>
        </is>
      </c>
      <c r="AH88" s="12" t="inlineStr">
        <is>
          <t>Rapprochement sur la cible enfant et la technologie sonique rechargeable. Connectivité Bluetooth et application de coaching enfant. Indicateur de batterie.</t>
        </is>
      </c>
      <c r="AI88" s="14" t="n"/>
      <c r="AJ88" s="14" t="n"/>
      <c r="AK88" s="15" t="n"/>
      <c r="AL88" s="16" t="n"/>
      <c r="AM88" s="15" t="n"/>
      <c r="AN88" s="17">
        <f>IF(OR(AJ88="",AI88=""),"",AJ88-AI88)</f>
        <v/>
      </c>
      <c r="AO88" s="18">
        <f>IF(OR(AJ88="",AI88="",AI88=0),"",(AJ88-AI88)/AI88)</f>
        <v/>
      </c>
      <c r="AP88" s="19">
        <f>IF(AO88="","",IF(AO88&lt;-0.05,"Moins cher",IF(AO88&gt;0.05,"Plus cher","Équivalent")))</f>
        <v/>
      </c>
    </row>
    <row r="89">
      <c r="A89" s="20" t="inlineStr">
        <is>
          <t>SG-2118</t>
        </is>
      </c>
      <c r="B89" s="20" t="inlineStr">
        <is>
          <t>Kids Sonic</t>
        </is>
      </c>
      <c r="C89" s="20" t="inlineStr">
        <is>
          <t>Sonique</t>
        </is>
      </c>
      <c r="D89" s="20" t="inlineStr">
        <is>
          <t>Enfant</t>
        </is>
      </c>
      <c r="E89" s="21" t="n">
        <v>30000</v>
      </c>
      <c r="F89" s="21" t="n">
        <v>30000</v>
      </c>
      <c r="G89" s="22" t="n">
        <v>3</v>
      </c>
      <c r="H89" s="22" t="n">
        <v>45</v>
      </c>
      <c r="I89" s="22" t="n">
        <v>260</v>
      </c>
      <c r="J89" s="20" t="inlineStr">
        <is>
          <t>Batterie Li-ion rechargeable</t>
        </is>
      </c>
      <c r="K89" s="20" t="inlineStr">
        <is>
          <t>Inductive (socle)</t>
        </is>
      </c>
      <c r="L89" s="26" t="inlineStr">
        <is>
          <t>N/D</t>
        </is>
      </c>
      <c r="M89" s="20" t="inlineStr">
        <is>
          <t>IPX6</t>
        </is>
      </c>
      <c r="N89" s="20" t="inlineStr">
        <is>
          <t>Oui</t>
        </is>
      </c>
      <c r="O89" s="20" t="inlineStr">
        <is>
          <t>Aucun</t>
        </is>
      </c>
      <c r="P89" s="20" t="inlineStr">
        <is>
          <t>Oui</t>
        </is>
      </c>
      <c r="Q89" s="23" t="n">
        <v>56</v>
      </c>
      <c r="R89" s="20" t="inlineStr">
        <is>
          <t>25*25*165.8</t>
        </is>
      </c>
      <c r="S89" s="24" t="inlineStr">
        <is>
          <t>Brosse musicale avec 7 chansons anglaises, alerte sonore du socle en cas de pression excessive, socle désinfectant, mémoire intelligente</t>
        </is>
      </c>
      <c r="T89" s="25" t="n">
        <v>51</v>
      </c>
      <c r="U89" s="12" t="inlineStr">
        <is>
          <t>Sonicare For Kids HX6321/02</t>
        </is>
      </c>
      <c r="V89" s="12" t="inlineStr">
        <is>
          <t>Philips</t>
        </is>
      </c>
      <c r="W89" s="12" t="inlineStr">
        <is>
          <t>Sonique enfant</t>
        </is>
      </c>
      <c r="X89" s="12" t="inlineStr">
        <is>
          <t>62 000 mouvements/min</t>
        </is>
      </c>
      <c r="Y89" s="12" t="inlineStr">
        <is>
          <t>2 modes</t>
        </is>
      </c>
      <c r="Z89" s="12" t="n">
        <v>21</v>
      </c>
      <c r="AA89" s="29" t="inlineStr">
        <is>
          <t>N/D</t>
        </is>
      </c>
      <c r="AB89" s="12" t="inlineStr">
        <is>
          <t>Non</t>
        </is>
      </c>
      <c r="AC89" s="12" t="inlineStr">
        <is>
          <t>Socle inductif</t>
        </is>
      </c>
      <c r="AD89" s="12" t="inlineStr">
        <is>
          <t>EAU (Noon, gamme Sonicare vérifiée)</t>
        </is>
      </c>
      <c r="AE89" s="12" t="inlineStr">
        <is>
          <t>Noon UAE, pharmacies</t>
        </is>
      </c>
      <c r="AF89" s="13" t="inlineStr">
        <is>
          <t>https://www.usa.philips.com/c-p/HX6321_02/sonicare-for-kids-sonic-electric-toothbrush</t>
        </is>
      </c>
      <c r="AG89" s="13" t="inlineStr">
        <is>
          <t>https://www.philips.com/c-dam/b2c/category-pages/personal-care/POHC/resource-library-docs/HX6321-03%20LEAFLET-Sonicare-%20For-Kids-%20Connected-Electric-Toothbrush.pdf</t>
        </is>
      </c>
      <c r="AH89" s="12" t="inlineStr">
        <is>
          <t>Rapprochement sur la cible enfant et la technologie sonique rechargeable. Connectivité Bluetooth et application de coaching enfant. Indicateur de batterie.</t>
        </is>
      </c>
      <c r="AI89" s="14" t="n"/>
      <c r="AJ89" s="14" t="n"/>
      <c r="AK89" s="15" t="n"/>
      <c r="AL89" s="16" t="n"/>
      <c r="AM89" s="15" t="n"/>
      <c r="AN89" s="17">
        <f>IF(OR(AJ89="",AI89=""),"",AJ89-AI89)</f>
        <v/>
      </c>
      <c r="AO89" s="18">
        <f>IF(OR(AJ89="",AI89="",AI89=0),"",(AJ89-AI89)/AI89)</f>
        <v/>
      </c>
      <c r="AP89" s="19">
        <f>IF(AO89="","",IF(AO89&lt;-0.05,"Moins cher",IF(AO89&gt;0.05,"Plus cher","Équivalent")))</f>
        <v/>
      </c>
    </row>
    <row r="90">
      <c r="A90" s="5" t="inlineStr">
        <is>
          <t>SG-2731</t>
        </is>
      </c>
      <c r="B90" s="5" t="inlineStr">
        <is>
          <t>Kids Sonic</t>
        </is>
      </c>
      <c r="C90" s="5" t="inlineStr">
        <is>
          <t>Sonique</t>
        </is>
      </c>
      <c r="D90" s="5" t="inlineStr">
        <is>
          <t>Enfant</t>
        </is>
      </c>
      <c r="E90" s="6" t="n">
        <v>35000</v>
      </c>
      <c r="F90" s="6" t="n">
        <v>35000</v>
      </c>
      <c r="G90" s="7" t="n">
        <v>2</v>
      </c>
      <c r="H90" s="7" t="n">
        <v>21</v>
      </c>
      <c r="I90" s="7" t="n">
        <v>600</v>
      </c>
      <c r="J90" s="5" t="inlineStr">
        <is>
          <t>Batterie Li-ion rechargeable</t>
        </is>
      </c>
      <c r="K90" s="5" t="inlineStr">
        <is>
          <t>Inductive (socle)</t>
        </is>
      </c>
      <c r="L90" s="8" t="inlineStr">
        <is>
          <t>N/D</t>
        </is>
      </c>
      <c r="M90" s="5" t="inlineStr">
        <is>
          <t>IPX7</t>
        </is>
      </c>
      <c r="N90" s="5" t="inlineStr">
        <is>
          <t>Non</t>
        </is>
      </c>
      <c r="O90" s="5" t="inlineStr">
        <is>
          <t>Aucun</t>
        </is>
      </c>
      <c r="P90" s="5" t="inlineStr">
        <is>
          <t>Oui</t>
        </is>
      </c>
      <c r="Q90" s="9" t="n">
        <v>113</v>
      </c>
      <c r="R90" s="5" t="inlineStr">
        <is>
          <t>32*31*210 ; chargeur 4017B : 58.0*58.0*28.0</t>
        </is>
      </c>
      <c r="S90" s="10" t="inlineStr">
        <is>
          <t>Corps intégral en silicone alimentaire sans BPA, minuteur 2 min avec pause 30 s, moteur magnétique dynamique, système super silencieux</t>
        </is>
      </c>
      <c r="T90" s="11" t="n">
        <v>52</v>
      </c>
      <c r="U90" s="12" t="inlineStr">
        <is>
          <t>Sonicare For Kids HX6321/02</t>
        </is>
      </c>
      <c r="V90" s="12" t="inlineStr">
        <is>
          <t>Philips</t>
        </is>
      </c>
      <c r="W90" s="12" t="inlineStr">
        <is>
          <t>Sonique enfant</t>
        </is>
      </c>
      <c r="X90" s="12" t="inlineStr">
        <is>
          <t>62 000 mouvements/min</t>
        </is>
      </c>
      <c r="Y90" s="12" t="inlineStr">
        <is>
          <t>2 modes</t>
        </is>
      </c>
      <c r="Z90" s="12" t="n">
        <v>21</v>
      </c>
      <c r="AA90" s="29" t="inlineStr">
        <is>
          <t>N/D</t>
        </is>
      </c>
      <c r="AB90" s="12" t="inlineStr">
        <is>
          <t>Non</t>
        </is>
      </c>
      <c r="AC90" s="12" t="inlineStr">
        <is>
          <t>Socle inductif</t>
        </is>
      </c>
      <c r="AD90" s="12" t="inlineStr">
        <is>
          <t>EAU (Noon, gamme Sonicare vérifiée)</t>
        </is>
      </c>
      <c r="AE90" s="12" t="inlineStr">
        <is>
          <t>Noon UAE, pharmacies</t>
        </is>
      </c>
      <c r="AF90" s="13" t="inlineStr">
        <is>
          <t>https://www.usa.philips.com/c-p/HX6321_02/sonicare-for-kids-sonic-electric-toothbrush</t>
        </is>
      </c>
      <c r="AG90" s="13" t="inlineStr">
        <is>
          <t>https://www.philips.com/c-dam/b2c/category-pages/personal-care/POHC/resource-library-docs/HX6321-03%20LEAFLET-Sonicare-%20For-Kids-%20Connected-Electric-Toothbrush.pdf</t>
        </is>
      </c>
      <c r="AH90" s="12" t="inlineStr">
        <is>
          <t>Rapprochement sur la cible enfant et la technologie sonique rechargeable. Connectivité Bluetooth et application de coaching enfant. Indicateur de batterie.</t>
        </is>
      </c>
      <c r="AI90" s="14" t="n"/>
      <c r="AJ90" s="14" t="n"/>
      <c r="AK90" s="15" t="n"/>
      <c r="AL90" s="16" t="n"/>
      <c r="AM90" s="15" t="n"/>
      <c r="AN90" s="17">
        <f>IF(OR(AJ90="",AI90=""),"",AJ90-AI90)</f>
        <v/>
      </c>
      <c r="AO90" s="18">
        <f>IF(OR(AJ90="",AI90="",AI90=0),"",(AJ90-AI90)/AI90)</f>
        <v/>
      </c>
      <c r="AP90" s="19">
        <f>IF(AO90="","",IF(AO90&lt;-0.05,"Moins cher",IF(AO90&gt;0.05,"Plus cher","Équivalent")))</f>
        <v/>
      </c>
    </row>
    <row r="91">
      <c r="A91" s="20" t="inlineStr">
        <is>
          <t>SG-2159</t>
        </is>
      </c>
      <c r="B91" s="20" t="inlineStr">
        <is>
          <t>Kids Sonic</t>
        </is>
      </c>
      <c r="C91" s="20" t="inlineStr">
        <is>
          <t>Sonique</t>
        </is>
      </c>
      <c r="D91" s="20" t="inlineStr">
        <is>
          <t>Enfant</t>
        </is>
      </c>
      <c r="E91" s="21" t="n">
        <v>24000</v>
      </c>
      <c r="F91" s="21" t="n">
        <v>24000</v>
      </c>
      <c r="G91" s="22" t="n">
        <v>3</v>
      </c>
      <c r="H91" s="22" t="n">
        <v>60</v>
      </c>
      <c r="I91" s="22" t="n">
        <v>260</v>
      </c>
      <c r="J91" s="20" t="inlineStr">
        <is>
          <t>Batterie Li-ion rechargeable</t>
        </is>
      </c>
      <c r="K91" s="20" t="inlineStr">
        <is>
          <t>USB</t>
        </is>
      </c>
      <c r="L91" s="26" t="inlineStr">
        <is>
          <t>N/D</t>
        </is>
      </c>
      <c r="M91" s="20" t="inlineStr">
        <is>
          <t>IPX7</t>
        </is>
      </c>
      <c r="N91" s="20" t="inlineStr">
        <is>
          <t>Non</t>
        </is>
      </c>
      <c r="O91" s="20" t="inlineStr">
        <is>
          <t>LED colorée</t>
        </is>
      </c>
      <c r="P91" s="20" t="inlineStr">
        <is>
          <t>Oui</t>
        </is>
      </c>
      <c r="Q91" s="23" t="n">
        <v>66.7</v>
      </c>
      <c r="R91" s="20" t="inlineStr">
        <is>
          <t>21.5*22.1*160</t>
        </is>
      </c>
      <c r="S91" s="24" t="inlineStr">
        <is>
          <t>LED clignotantes colorées, poils souples, minuteur 2 min avec pause 30 s, LED d'observation, manche compact personnalisable</t>
        </is>
      </c>
      <c r="T91" s="25" t="n">
        <v>52</v>
      </c>
      <c r="U91" s="12" t="inlineStr">
        <is>
          <t>Sonicare For Kids HX6321/02</t>
        </is>
      </c>
      <c r="V91" s="12" t="inlineStr">
        <is>
          <t>Philips</t>
        </is>
      </c>
      <c r="W91" s="12" t="inlineStr">
        <is>
          <t>Sonique enfant</t>
        </is>
      </c>
      <c r="X91" s="12" t="inlineStr">
        <is>
          <t>62 000 mouvements/min</t>
        </is>
      </c>
      <c r="Y91" s="12" t="inlineStr">
        <is>
          <t>2 modes</t>
        </is>
      </c>
      <c r="Z91" s="12" t="n">
        <v>21</v>
      </c>
      <c r="AA91" s="29" t="inlineStr">
        <is>
          <t>N/D</t>
        </is>
      </c>
      <c r="AB91" s="12" t="inlineStr">
        <is>
          <t>Non</t>
        </is>
      </c>
      <c r="AC91" s="12" t="inlineStr">
        <is>
          <t>Socle inductif</t>
        </is>
      </c>
      <c r="AD91" s="12" t="inlineStr">
        <is>
          <t>EAU (Noon, gamme Sonicare vérifiée)</t>
        </is>
      </c>
      <c r="AE91" s="12" t="inlineStr">
        <is>
          <t>Noon UAE, pharmacies</t>
        </is>
      </c>
      <c r="AF91" s="13" t="inlineStr">
        <is>
          <t>https://www.usa.philips.com/c-p/HX6321_02/sonicare-for-kids-sonic-electric-toothbrush</t>
        </is>
      </c>
      <c r="AG91" s="13" t="inlineStr">
        <is>
          <t>https://www.philips.com/c-dam/b2c/category-pages/personal-care/POHC/resource-library-docs/HX6321-03%20LEAFLET-Sonicare-%20For-Kids-%20Connected-Electric-Toothbrush.pdf</t>
        </is>
      </c>
      <c r="AH91" s="12" t="inlineStr">
        <is>
          <t>Rapprochement sur la cible enfant et la technologie sonique rechargeable. Connectivité Bluetooth et application de coaching enfant. Indicateur de batterie.</t>
        </is>
      </c>
      <c r="AI91" s="14" t="n"/>
      <c r="AJ91" s="14" t="n"/>
      <c r="AK91" s="15" t="n"/>
      <c r="AL91" s="16" t="n"/>
      <c r="AM91" s="15" t="n"/>
      <c r="AN91" s="17">
        <f>IF(OR(AJ91="",AI91=""),"",AJ91-AI91)</f>
        <v/>
      </c>
      <c r="AO91" s="18">
        <f>IF(OR(AJ91="",AI91="",AI91=0),"",(AJ91-AI91)/AI91)</f>
        <v/>
      </c>
      <c r="AP91" s="19">
        <f>IF(AO91="","",IF(AO91&lt;-0.05,"Moins cher",IF(AO91&gt;0.05,"Plus cher","Équivalent")))</f>
        <v/>
      </c>
    </row>
    <row r="92">
      <c r="A92" s="5" t="inlineStr">
        <is>
          <t>SG-2139</t>
        </is>
      </c>
      <c r="B92" s="5" t="inlineStr">
        <is>
          <t>Kids Sonic</t>
        </is>
      </c>
      <c r="C92" s="5" t="inlineStr">
        <is>
          <t>Sonique</t>
        </is>
      </c>
      <c r="D92" s="5" t="inlineStr">
        <is>
          <t>Enfant</t>
        </is>
      </c>
      <c r="E92" s="6" t="n">
        <v>24000</v>
      </c>
      <c r="F92" s="6" t="n">
        <v>24000</v>
      </c>
      <c r="G92" s="7" t="n">
        <v>3</v>
      </c>
      <c r="H92" s="7" t="n">
        <v>60</v>
      </c>
      <c r="I92" s="7" t="n">
        <v>260</v>
      </c>
      <c r="J92" s="5" t="inlineStr">
        <is>
          <t>Batterie Li-ion rechargeable</t>
        </is>
      </c>
      <c r="K92" s="5" t="inlineStr">
        <is>
          <t>USB / magnétique</t>
        </is>
      </c>
      <c r="L92" s="8" t="inlineStr">
        <is>
          <t>N/D</t>
        </is>
      </c>
      <c r="M92" s="5" t="inlineStr">
        <is>
          <t>IPX7</t>
        </is>
      </c>
      <c r="N92" s="5" t="inlineStr">
        <is>
          <t>Non</t>
        </is>
      </c>
      <c r="O92" s="5" t="inlineStr">
        <is>
          <t>LED colorée</t>
        </is>
      </c>
      <c r="P92" s="5" t="inlineStr">
        <is>
          <t>Oui</t>
        </is>
      </c>
      <c r="Q92" s="9" t="n">
        <v>64</v>
      </c>
      <c r="R92" s="5" t="inlineStr">
        <is>
          <t>34.1*33.3*115.1</t>
        </is>
      </c>
      <c r="S92" s="10" t="inlineStr">
        <is>
          <t>LED colorées, LED blanche permettant aux parents d'observer les dents, habillage silicone alimentaire personnalisable</t>
        </is>
      </c>
      <c r="T92" s="11" t="n">
        <v>53</v>
      </c>
      <c r="U92" s="12" t="inlineStr">
        <is>
          <t>Sonicare For Kids HX6321/02</t>
        </is>
      </c>
      <c r="V92" s="12" t="inlineStr">
        <is>
          <t>Philips</t>
        </is>
      </c>
      <c r="W92" s="12" t="inlineStr">
        <is>
          <t>Sonique enfant</t>
        </is>
      </c>
      <c r="X92" s="12" t="inlineStr">
        <is>
          <t>62 000 mouvements/min</t>
        </is>
      </c>
      <c r="Y92" s="12" t="inlineStr">
        <is>
          <t>2 modes</t>
        </is>
      </c>
      <c r="Z92" s="12" t="n">
        <v>21</v>
      </c>
      <c r="AA92" s="29" t="inlineStr">
        <is>
          <t>N/D</t>
        </is>
      </c>
      <c r="AB92" s="12" t="inlineStr">
        <is>
          <t>Non</t>
        </is>
      </c>
      <c r="AC92" s="12" t="inlineStr">
        <is>
          <t>Socle inductif</t>
        </is>
      </c>
      <c r="AD92" s="12" t="inlineStr">
        <is>
          <t>EAU (Noon, gamme Sonicare vérifiée)</t>
        </is>
      </c>
      <c r="AE92" s="12" t="inlineStr">
        <is>
          <t>Noon UAE, pharmacies</t>
        </is>
      </c>
      <c r="AF92" s="13" t="inlineStr">
        <is>
          <t>https://www.usa.philips.com/c-p/HX6321_02/sonicare-for-kids-sonic-electric-toothbrush</t>
        </is>
      </c>
      <c r="AG92" s="13" t="inlineStr">
        <is>
          <t>https://www.philips.com/c-dam/b2c/category-pages/personal-care/POHC/resource-library-docs/HX6321-03%20LEAFLET-Sonicare-%20For-Kids-%20Connected-Electric-Toothbrush.pdf</t>
        </is>
      </c>
      <c r="AH92" s="12" t="inlineStr">
        <is>
          <t>Rapprochement sur la cible enfant et la technologie sonique rechargeable. Connectivité Bluetooth et application de coaching enfant. Indicateur de batterie.</t>
        </is>
      </c>
      <c r="AI92" s="14" t="n"/>
      <c r="AJ92" s="14" t="n"/>
      <c r="AK92" s="15" t="n"/>
      <c r="AL92" s="16" t="n"/>
      <c r="AM92" s="15" t="n"/>
      <c r="AN92" s="17">
        <f>IF(OR(AJ92="",AI92=""),"",AJ92-AI92)</f>
        <v/>
      </c>
      <c r="AO92" s="18">
        <f>IF(OR(AJ92="",AI92="",AI92=0),"",(AJ92-AI92)/AI92)</f>
        <v/>
      </c>
      <c r="AP92" s="19">
        <f>IF(AO92="","",IF(AO92&lt;-0.05,"Moins cher",IF(AO92&gt;0.05,"Plus cher","Équivalent")))</f>
        <v/>
      </c>
    </row>
    <row r="93">
      <c r="A93" s="20" t="inlineStr">
        <is>
          <t>SG-2732</t>
        </is>
      </c>
      <c r="B93" s="20" t="inlineStr">
        <is>
          <t>Kids Sonic</t>
        </is>
      </c>
      <c r="C93" s="20" t="inlineStr">
        <is>
          <t>Sonique</t>
        </is>
      </c>
      <c r="D93" s="20" t="inlineStr">
        <is>
          <t>Enfant</t>
        </is>
      </c>
      <c r="E93" s="21" t="n">
        <v>35000</v>
      </c>
      <c r="F93" s="21" t="n">
        <v>35000</v>
      </c>
      <c r="G93" s="22" t="n">
        <v>3</v>
      </c>
      <c r="H93" s="22" t="n">
        <v>21</v>
      </c>
      <c r="I93" s="22" t="n">
        <v>600</v>
      </c>
      <c r="J93" s="20" t="inlineStr">
        <is>
          <t>Batterie Li-ion rechargeable</t>
        </is>
      </c>
      <c r="K93" s="20" t="inlineStr">
        <is>
          <t>USB</t>
        </is>
      </c>
      <c r="L93" s="26" t="inlineStr">
        <is>
          <t>N/D</t>
        </is>
      </c>
      <c r="M93" s="20" t="inlineStr">
        <is>
          <t>IPX7</t>
        </is>
      </c>
      <c r="N93" s="20" t="inlineStr">
        <is>
          <t>Non</t>
        </is>
      </c>
      <c r="O93" s="20" t="inlineStr">
        <is>
          <t>Aucun</t>
        </is>
      </c>
      <c r="P93" s="20" t="inlineStr">
        <is>
          <t>Oui</t>
        </is>
      </c>
      <c r="Q93" s="23" t="n">
        <v>105</v>
      </c>
      <c r="R93" s="20" t="inlineStr">
        <is>
          <t>28.8*29.5*160.1</t>
        </is>
      </c>
      <c r="S93" s="24" t="inlineStr">
        <is>
          <t>3 intensités, moteur à lévitation magnétique, habillage silicone alimentaire personnalisable, mémoire intelligente</t>
        </is>
      </c>
      <c r="T93" s="25" t="n">
        <v>53</v>
      </c>
      <c r="U93" s="12" t="inlineStr">
        <is>
          <t>Sonicare For Kids HX6321/02</t>
        </is>
      </c>
      <c r="V93" s="12" t="inlineStr">
        <is>
          <t>Philips</t>
        </is>
      </c>
      <c r="W93" s="12" t="inlineStr">
        <is>
          <t>Sonique enfant</t>
        </is>
      </c>
      <c r="X93" s="12" t="inlineStr">
        <is>
          <t>62 000 mouvements/min</t>
        </is>
      </c>
      <c r="Y93" s="12" t="inlineStr">
        <is>
          <t>2 modes</t>
        </is>
      </c>
      <c r="Z93" s="12" t="n">
        <v>21</v>
      </c>
      <c r="AA93" s="29" t="inlineStr">
        <is>
          <t>N/D</t>
        </is>
      </c>
      <c r="AB93" s="12" t="inlineStr">
        <is>
          <t>Non</t>
        </is>
      </c>
      <c r="AC93" s="12" t="inlineStr">
        <is>
          <t>Socle inductif</t>
        </is>
      </c>
      <c r="AD93" s="12" t="inlineStr">
        <is>
          <t>EAU (Noon, gamme Sonicare vérifiée)</t>
        </is>
      </c>
      <c r="AE93" s="12" t="inlineStr">
        <is>
          <t>Noon UAE, pharmacies</t>
        </is>
      </c>
      <c r="AF93" s="13" t="inlineStr">
        <is>
          <t>https://www.usa.philips.com/c-p/HX6321_02/sonicare-for-kids-sonic-electric-toothbrush</t>
        </is>
      </c>
      <c r="AG93" s="13" t="inlineStr">
        <is>
          <t>https://www.philips.com/c-dam/b2c/category-pages/personal-care/POHC/resource-library-docs/HX6321-03%20LEAFLET-Sonicare-%20For-Kids-%20Connected-Electric-Toothbrush.pdf</t>
        </is>
      </c>
      <c r="AH93" s="12" t="inlineStr">
        <is>
          <t>Rapprochement sur la cible enfant et la technologie sonique rechargeable. Connectivité Bluetooth et application de coaching enfant. Indicateur de batterie.</t>
        </is>
      </c>
      <c r="AI93" s="14" t="n"/>
      <c r="AJ93" s="14" t="n"/>
      <c r="AK93" s="15" t="n"/>
      <c r="AL93" s="16" t="n"/>
      <c r="AM93" s="15" t="n"/>
      <c r="AN93" s="17">
        <f>IF(OR(AJ93="",AI93=""),"",AJ93-AI93)</f>
        <v/>
      </c>
      <c r="AO93" s="18">
        <f>IF(OR(AJ93="",AI93="",AI93=0),"",(AJ93-AI93)/AI93)</f>
        <v/>
      </c>
      <c r="AP93" s="19">
        <f>IF(AO93="","",IF(AO93&lt;-0.05,"Moins cher",IF(AO93&gt;0.05,"Plus cher","Équivalent")))</f>
        <v/>
      </c>
    </row>
    <row r="94">
      <c r="A94" s="5" t="inlineStr">
        <is>
          <t>SG-902</t>
        </is>
      </c>
      <c r="B94" s="5" t="inlineStr">
        <is>
          <t>Kids Sonic</t>
        </is>
      </c>
      <c r="C94" s="5" t="inlineStr">
        <is>
          <t>Sonique</t>
        </is>
      </c>
      <c r="D94" s="5" t="inlineStr">
        <is>
          <t>Enfant</t>
        </is>
      </c>
      <c r="E94" s="6" t="n">
        <v>17000</v>
      </c>
      <c r="F94" s="6" t="n">
        <v>17000</v>
      </c>
      <c r="G94" s="30" t="inlineStr">
        <is>
          <t>N/D</t>
        </is>
      </c>
      <c r="H94" s="7" t="n">
        <v>120</v>
      </c>
      <c r="I94" s="30" t="inlineStr">
        <is>
          <t>N/D</t>
        </is>
      </c>
      <c r="J94" s="5" t="inlineStr">
        <is>
          <t>Pile (1x AAA)</t>
        </is>
      </c>
      <c r="K94" s="5" t="inlineStr">
        <is>
          <t>Piles</t>
        </is>
      </c>
      <c r="L94" s="8" t="inlineStr">
        <is>
          <t>N/D</t>
        </is>
      </c>
      <c r="M94" s="5" t="inlineStr">
        <is>
          <t>IPX7</t>
        </is>
      </c>
      <c r="N94" s="5" t="inlineStr">
        <is>
          <t>Non</t>
        </is>
      </c>
      <c r="O94" s="5" t="inlineStr">
        <is>
          <t>LED blanche</t>
        </is>
      </c>
      <c r="P94" s="5" t="inlineStr">
        <is>
          <t>Oui</t>
        </is>
      </c>
      <c r="Q94" s="9" t="n">
        <v>27</v>
      </c>
      <c r="R94" s="5" t="inlineStr">
        <is>
          <t>28.5*26*145</t>
        </is>
      </c>
      <c r="S94" s="10" t="inlineStr">
        <is>
          <t>LED blanche d'observation, ventouse de maintien en option, poils souples DuPont</t>
        </is>
      </c>
      <c r="T94" s="11" t="n">
        <v>54</v>
      </c>
      <c r="U94" s="12" t="inlineStr">
        <is>
          <t>Kids Battery Disney (Frozen / Princess)</t>
        </is>
      </c>
      <c r="V94" s="12" t="inlineStr">
        <is>
          <t>Oral-B</t>
        </is>
      </c>
      <c r="W94" s="12" t="inlineStr">
        <is>
          <t>Oscillo-rotative enfant</t>
        </is>
      </c>
      <c r="X94" s="12" t="inlineStr">
        <is>
          <t>7 600 oscillations/min</t>
        </is>
      </c>
      <c r="Y94" s="12" t="inlineStr">
        <is>
          <t>1 mode</t>
        </is>
      </c>
      <c r="Z94" s="29" t="inlineStr">
        <is>
          <t>N/D</t>
        </is>
      </c>
      <c r="AA94" s="29" t="inlineStr">
        <is>
          <t>N/D</t>
        </is>
      </c>
      <c r="AB94" s="12" t="inlineStr">
        <is>
          <t>Non</t>
        </is>
      </c>
      <c r="AC94" s="12" t="inlineStr">
        <is>
          <t>2 piles AA</t>
        </is>
      </c>
      <c r="AD94" s="12" t="inlineStr">
        <is>
          <t>Non vérifié sur les marchés cibles</t>
        </is>
      </c>
      <c r="AE94" s="12" t="inlineStr">
        <is>
          <t>Amazon, GMS</t>
        </is>
      </c>
      <c r="AF94" s="13" t="inlineStr">
        <is>
          <t>https://www.amazon.com/Oral-B-Pro-Health-Battery-Toothbrush-featuring/dp/B01AKGRSCG</t>
        </is>
      </c>
      <c r="AG94" s="13" t="inlineStr">
        <is>
          <t>https://oralb.com/en-us/products/more-products/kids-products/kids-battery-toothbrush-featuring-disney-princess/</t>
        </is>
      </c>
      <c r="AH94" s="12" t="inlineStr">
        <is>
          <t>Rapprochement sur la cible enfant et l'alimentation à piles. Tête extra-souple, application Disney Magic Timer. Concurrent direct des SEAGO enfant à piles.</t>
        </is>
      </c>
      <c r="AI94" s="14" t="n"/>
      <c r="AJ94" s="14" t="n"/>
      <c r="AK94" s="15" t="n"/>
      <c r="AL94" s="16" t="n"/>
      <c r="AM94" s="15" t="n"/>
      <c r="AN94" s="17">
        <f>IF(OR(AJ94="",AI94=""),"",AJ94-AI94)</f>
        <v/>
      </c>
      <c r="AO94" s="18">
        <f>IF(OR(AJ94="",AI94="",AI94=0),"",(AJ94-AI94)/AI94)</f>
        <v/>
      </c>
      <c r="AP94" s="19">
        <f>IF(AO94="","",IF(AO94&lt;-0.05,"Moins cher",IF(AO94&gt;0.05,"Plus cher","Équivalent")))</f>
        <v/>
      </c>
    </row>
    <row r="95">
      <c r="A95" s="20" t="inlineStr">
        <is>
          <t>SG-513</t>
        </is>
      </c>
      <c r="B95" s="20" t="inlineStr">
        <is>
          <t>Kids Sonic</t>
        </is>
      </c>
      <c r="C95" s="20" t="inlineStr">
        <is>
          <t>Sonique</t>
        </is>
      </c>
      <c r="D95" s="20" t="inlineStr">
        <is>
          <t>Enfant</t>
        </is>
      </c>
      <c r="E95" s="21" t="n">
        <v>17000</v>
      </c>
      <c r="F95" s="21" t="n">
        <v>17000</v>
      </c>
      <c r="G95" s="27" t="inlineStr">
        <is>
          <t>N/D</t>
        </is>
      </c>
      <c r="H95" s="22" t="n">
        <v>150</v>
      </c>
      <c r="I95" s="27" t="inlineStr">
        <is>
          <t>N/D</t>
        </is>
      </c>
      <c r="J95" s="20" t="inlineStr">
        <is>
          <t>Pile (1x AAA)</t>
        </is>
      </c>
      <c r="K95" s="20" t="inlineStr">
        <is>
          <t>Piles</t>
        </is>
      </c>
      <c r="L95" s="26" t="inlineStr">
        <is>
          <t>N/D</t>
        </is>
      </c>
      <c r="M95" s="20" t="inlineStr">
        <is>
          <t>IPX7</t>
        </is>
      </c>
      <c r="N95" s="20" t="inlineStr">
        <is>
          <t>Non</t>
        </is>
      </c>
      <c r="O95" s="20" t="inlineStr">
        <is>
          <t>LED blanche</t>
        </is>
      </c>
      <c r="P95" s="20" t="inlineStr">
        <is>
          <t>Oui</t>
        </is>
      </c>
      <c r="Q95" s="23" t="n">
        <v>28</v>
      </c>
      <c r="R95" s="20" t="inlineStr">
        <is>
          <t>27.9*27.9*148.9</t>
        </is>
      </c>
      <c r="S95" s="24" t="inlineStr">
        <is>
          <t>Design pingouin, LED blanche d'observation, ventouse de maintien, poils souples</t>
        </is>
      </c>
      <c r="T95" s="25" t="n">
        <v>54</v>
      </c>
      <c r="U95" s="12" t="inlineStr">
        <is>
          <t>Kids Battery Disney (Frozen / Princess)</t>
        </is>
      </c>
      <c r="V95" s="12" t="inlineStr">
        <is>
          <t>Oral-B</t>
        </is>
      </c>
      <c r="W95" s="12" t="inlineStr">
        <is>
          <t>Oscillo-rotative enfant</t>
        </is>
      </c>
      <c r="X95" s="12" t="inlineStr">
        <is>
          <t>7 600 oscillations/min</t>
        </is>
      </c>
      <c r="Y95" s="12" t="inlineStr">
        <is>
          <t>1 mode</t>
        </is>
      </c>
      <c r="Z95" s="29" t="inlineStr">
        <is>
          <t>N/D</t>
        </is>
      </c>
      <c r="AA95" s="29" t="inlineStr">
        <is>
          <t>N/D</t>
        </is>
      </c>
      <c r="AB95" s="12" t="inlineStr">
        <is>
          <t>Non</t>
        </is>
      </c>
      <c r="AC95" s="12" t="inlineStr">
        <is>
          <t>2 piles AA</t>
        </is>
      </c>
      <c r="AD95" s="12" t="inlineStr">
        <is>
          <t>Non vérifié sur les marchés cibles</t>
        </is>
      </c>
      <c r="AE95" s="12" t="inlineStr">
        <is>
          <t>Amazon, GMS</t>
        </is>
      </c>
      <c r="AF95" s="13" t="inlineStr">
        <is>
          <t>https://www.amazon.com/Oral-B-Pro-Health-Battery-Toothbrush-featuring/dp/B01AKGRSCG</t>
        </is>
      </c>
      <c r="AG95" s="13" t="inlineStr">
        <is>
          <t>https://oralb.com/en-us/products/more-products/kids-products/kids-battery-toothbrush-featuring-disney-princess/</t>
        </is>
      </c>
      <c r="AH95" s="12" t="inlineStr">
        <is>
          <t>Rapprochement sur la cible enfant et l'alimentation à piles. Tête extra-souple, application Disney Magic Timer. Concurrent direct des SEAGO enfant à piles.</t>
        </is>
      </c>
      <c r="AI95" s="14" t="n"/>
      <c r="AJ95" s="14" t="n"/>
      <c r="AK95" s="15" t="n"/>
      <c r="AL95" s="16" t="n"/>
      <c r="AM95" s="15" t="n"/>
      <c r="AN95" s="17">
        <f>IF(OR(AJ95="",AI95=""),"",AJ95-AI95)</f>
        <v/>
      </c>
      <c r="AO95" s="18">
        <f>IF(OR(AJ95="",AI95="",AI95=0),"",(AJ95-AI95)/AI95)</f>
        <v/>
      </c>
      <c r="AP95" s="19">
        <f>IF(AO95="","",IF(AO95&lt;-0.05,"Moins cher",IF(AO95&gt;0.05,"Plus cher","Équivalent")))</f>
        <v/>
      </c>
    </row>
    <row r="96">
      <c r="A96" s="5" t="inlineStr">
        <is>
          <t>SG-2113</t>
        </is>
      </c>
      <c r="B96" s="5" t="inlineStr">
        <is>
          <t>Kids Sonic</t>
        </is>
      </c>
      <c r="C96" s="5" t="inlineStr">
        <is>
          <t>Sonique</t>
        </is>
      </c>
      <c r="D96" s="5" t="inlineStr">
        <is>
          <t>Enfant</t>
        </is>
      </c>
      <c r="E96" s="6" t="n">
        <v>16000</v>
      </c>
      <c r="F96" s="6" t="n">
        <v>16000</v>
      </c>
      <c r="G96" s="30" t="inlineStr">
        <is>
          <t>N/D</t>
        </is>
      </c>
      <c r="H96" s="7" t="n">
        <v>120</v>
      </c>
      <c r="I96" s="30" t="inlineStr">
        <is>
          <t>N/D</t>
        </is>
      </c>
      <c r="J96" s="5" t="inlineStr">
        <is>
          <t>Pile (1x AAA)</t>
        </is>
      </c>
      <c r="K96" s="5" t="inlineStr">
        <is>
          <t>Piles</t>
        </is>
      </c>
      <c r="L96" s="8" t="inlineStr">
        <is>
          <t>N/D</t>
        </is>
      </c>
      <c r="M96" s="5" t="inlineStr">
        <is>
          <t>IPX7</t>
        </is>
      </c>
      <c r="N96" s="5" t="inlineStr">
        <is>
          <t>Non</t>
        </is>
      </c>
      <c r="O96" s="5" t="inlineStr">
        <is>
          <t>LED colorée</t>
        </is>
      </c>
      <c r="P96" s="5" t="inlineStr">
        <is>
          <t>Oui</t>
        </is>
      </c>
      <c r="Q96" s="9" t="n">
        <v>28</v>
      </c>
      <c r="R96" s="5" t="inlineStr">
        <is>
          <t>25.5*25.5*167.5</t>
        </is>
      </c>
      <c r="S96" s="10" t="inlineStr">
        <is>
          <t>LED blanche d'observation et LED clignotantes colorées, poils souples, motifs par transfert thermique</t>
        </is>
      </c>
      <c r="T96" s="11" t="n">
        <v>55</v>
      </c>
      <c r="U96" s="12" t="inlineStr">
        <is>
          <t>Kids Battery Disney (Frozen / Princess)</t>
        </is>
      </c>
      <c r="V96" s="12" t="inlineStr">
        <is>
          <t>Oral-B</t>
        </is>
      </c>
      <c r="W96" s="12" t="inlineStr">
        <is>
          <t>Oscillo-rotative enfant</t>
        </is>
      </c>
      <c r="X96" s="12" t="inlineStr">
        <is>
          <t>7 600 oscillations/min</t>
        </is>
      </c>
      <c r="Y96" s="12" t="inlineStr">
        <is>
          <t>1 mode</t>
        </is>
      </c>
      <c r="Z96" s="29" t="inlineStr">
        <is>
          <t>N/D</t>
        </is>
      </c>
      <c r="AA96" s="29" t="inlineStr">
        <is>
          <t>N/D</t>
        </is>
      </c>
      <c r="AB96" s="12" t="inlineStr">
        <is>
          <t>Non</t>
        </is>
      </c>
      <c r="AC96" s="12" t="inlineStr">
        <is>
          <t>2 piles AA</t>
        </is>
      </c>
      <c r="AD96" s="12" t="inlineStr">
        <is>
          <t>Non vérifié sur les marchés cibles</t>
        </is>
      </c>
      <c r="AE96" s="12" t="inlineStr">
        <is>
          <t>Amazon, GMS</t>
        </is>
      </c>
      <c r="AF96" s="13" t="inlineStr">
        <is>
          <t>https://www.amazon.com/Oral-B-Pro-Health-Battery-Toothbrush-featuring/dp/B01AKGRSCG</t>
        </is>
      </c>
      <c r="AG96" s="13" t="inlineStr">
        <is>
          <t>https://oralb.com/en-us/products/more-products/kids-products/kids-battery-toothbrush-featuring-disney-princess/</t>
        </is>
      </c>
      <c r="AH96" s="12" t="inlineStr">
        <is>
          <t>Rapprochement sur la cible enfant et l'alimentation à piles. Tête extra-souple, application Disney Magic Timer. Concurrent direct des SEAGO enfant à piles.</t>
        </is>
      </c>
      <c r="AI96" s="14" t="n"/>
      <c r="AJ96" s="14" t="n"/>
      <c r="AK96" s="15" t="n"/>
      <c r="AL96" s="16" t="n"/>
      <c r="AM96" s="15" t="n"/>
      <c r="AN96" s="17">
        <f>IF(OR(AJ96="",AI96=""),"",AJ96-AI96)</f>
        <v/>
      </c>
      <c r="AO96" s="18">
        <f>IF(OR(AJ96="",AI96="",AI96=0),"",(AJ96-AI96)/AI96)</f>
        <v/>
      </c>
      <c r="AP96" s="19">
        <f>IF(AO96="","",IF(AO96&lt;-0.05,"Moins cher",IF(AO96&gt;0.05,"Plus cher","Équivalent")))</f>
        <v/>
      </c>
    </row>
    <row r="97">
      <c r="A97" s="20" t="inlineStr">
        <is>
          <t>SG-976</t>
        </is>
      </c>
      <c r="B97" s="20" t="inlineStr">
        <is>
          <t>Kids Sonic</t>
        </is>
      </c>
      <c r="C97" s="20" t="inlineStr">
        <is>
          <t>Sonique</t>
        </is>
      </c>
      <c r="D97" s="20" t="inlineStr">
        <is>
          <t>Enfant</t>
        </is>
      </c>
      <c r="E97" s="21" t="n">
        <v>16000</v>
      </c>
      <c r="F97" s="21" t="n">
        <v>16000</v>
      </c>
      <c r="G97" s="27" t="inlineStr">
        <is>
          <t>N/D</t>
        </is>
      </c>
      <c r="H97" s="22" t="n">
        <v>120</v>
      </c>
      <c r="I97" s="27" t="inlineStr">
        <is>
          <t>N/D</t>
        </is>
      </c>
      <c r="J97" s="20" t="inlineStr">
        <is>
          <t>Pile (1x AAA)</t>
        </is>
      </c>
      <c r="K97" s="20" t="inlineStr">
        <is>
          <t>Piles</t>
        </is>
      </c>
      <c r="L97" s="26" t="inlineStr">
        <is>
          <t>N/D</t>
        </is>
      </c>
      <c r="M97" s="20" t="inlineStr">
        <is>
          <t>IPX7</t>
        </is>
      </c>
      <c r="N97" s="20" t="inlineStr">
        <is>
          <t>Non</t>
        </is>
      </c>
      <c r="O97" s="20" t="inlineStr">
        <is>
          <t>LED colorée</t>
        </is>
      </c>
      <c r="P97" s="20" t="inlineStr">
        <is>
          <t>Oui</t>
        </is>
      </c>
      <c r="Q97" s="23" t="n">
        <v>31</v>
      </c>
      <c r="R97" s="20" t="inlineStr">
        <is>
          <t>25*25*164</t>
        </is>
      </c>
      <c r="S97" s="24" t="inlineStr">
        <is>
          <t>LED colorées et LED blanche d'observation, poils souples, ventouse de maintien, motifs personnalisables</t>
        </is>
      </c>
      <c r="T97" s="25" t="n">
        <v>55</v>
      </c>
      <c r="U97" s="12" t="inlineStr">
        <is>
          <t>Kids Battery Disney (Frozen / Princess)</t>
        </is>
      </c>
      <c r="V97" s="12" t="inlineStr">
        <is>
          <t>Oral-B</t>
        </is>
      </c>
      <c r="W97" s="12" t="inlineStr">
        <is>
          <t>Oscillo-rotative enfant</t>
        </is>
      </c>
      <c r="X97" s="12" t="inlineStr">
        <is>
          <t>7 600 oscillations/min</t>
        </is>
      </c>
      <c r="Y97" s="12" t="inlineStr">
        <is>
          <t>1 mode</t>
        </is>
      </c>
      <c r="Z97" s="29" t="inlineStr">
        <is>
          <t>N/D</t>
        </is>
      </c>
      <c r="AA97" s="29" t="inlineStr">
        <is>
          <t>N/D</t>
        </is>
      </c>
      <c r="AB97" s="12" t="inlineStr">
        <is>
          <t>Non</t>
        </is>
      </c>
      <c r="AC97" s="12" t="inlineStr">
        <is>
          <t>2 piles AA</t>
        </is>
      </c>
      <c r="AD97" s="12" t="inlineStr">
        <is>
          <t>Non vérifié sur les marchés cibles</t>
        </is>
      </c>
      <c r="AE97" s="12" t="inlineStr">
        <is>
          <t>Amazon, GMS</t>
        </is>
      </c>
      <c r="AF97" s="13" t="inlineStr">
        <is>
          <t>https://www.amazon.com/Oral-B-Pro-Health-Battery-Toothbrush-featuring/dp/B01AKGRSCG</t>
        </is>
      </c>
      <c r="AG97" s="13" t="inlineStr">
        <is>
          <t>https://oralb.com/en-us/products/more-products/kids-products/kids-battery-toothbrush-featuring-disney-princess/</t>
        </is>
      </c>
      <c r="AH97" s="12" t="inlineStr">
        <is>
          <t>Rapprochement sur la cible enfant et l'alimentation à piles. Tête extra-souple, application Disney Magic Timer. Concurrent direct des SEAGO enfant à piles.</t>
        </is>
      </c>
      <c r="AI97" s="14" t="n"/>
      <c r="AJ97" s="14" t="n"/>
      <c r="AK97" s="15" t="n"/>
      <c r="AL97" s="16" t="n"/>
      <c r="AM97" s="15" t="n"/>
      <c r="AN97" s="17">
        <f>IF(OR(AJ97="",AI97=""),"",AJ97-AI97)</f>
        <v/>
      </c>
      <c r="AO97" s="18">
        <f>IF(OR(AJ97="",AI97="",AI97=0),"",(AJ97-AI97)/AI97)</f>
        <v/>
      </c>
      <c r="AP97" s="19">
        <f>IF(AO97="","",IF(AO97&lt;-0.05,"Moins cher",IF(AO97&gt;0.05,"Plus cher","Équivalent")))</f>
        <v/>
      </c>
    </row>
    <row r="98">
      <c r="A98" s="5" t="inlineStr">
        <is>
          <t>SG-977</t>
        </is>
      </c>
      <c r="B98" s="5" t="inlineStr">
        <is>
          <t>Kids Sonic</t>
        </is>
      </c>
      <c r="C98" s="5" t="inlineStr">
        <is>
          <t>Sonique</t>
        </is>
      </c>
      <c r="D98" s="5" t="inlineStr">
        <is>
          <t>Enfant</t>
        </is>
      </c>
      <c r="E98" s="6" t="n">
        <v>24000</v>
      </c>
      <c r="F98" s="6" t="n">
        <v>24000</v>
      </c>
      <c r="G98" s="30" t="inlineStr">
        <is>
          <t>N/D</t>
        </is>
      </c>
      <c r="H98" s="7" t="n">
        <v>150</v>
      </c>
      <c r="I98" s="30" t="inlineStr">
        <is>
          <t>N/D</t>
        </is>
      </c>
      <c r="J98" s="5" t="inlineStr">
        <is>
          <t>Pile (1x AAA)</t>
        </is>
      </c>
      <c r="K98" s="5" t="inlineStr">
        <is>
          <t>Piles</t>
        </is>
      </c>
      <c r="L98" s="8" t="inlineStr">
        <is>
          <t>N/D</t>
        </is>
      </c>
      <c r="M98" s="5" t="inlineStr">
        <is>
          <t>IPX7</t>
        </is>
      </c>
      <c r="N98" s="5" t="inlineStr">
        <is>
          <t>Non</t>
        </is>
      </c>
      <c r="O98" s="5" t="inlineStr">
        <is>
          <t>LED colorée</t>
        </is>
      </c>
      <c r="P98" s="5" t="inlineStr">
        <is>
          <t>Oui</t>
        </is>
      </c>
      <c r="Q98" s="9" t="n">
        <v>27</v>
      </c>
      <c r="R98" s="5" t="inlineStr">
        <is>
          <t>19*19*188</t>
        </is>
      </c>
      <c r="S98" s="10" t="inlineStr">
        <is>
          <t>LED clignotantes colorées, manche antidérapant adapté aux petites mains, LED blanche d'observation, poils souples</t>
        </is>
      </c>
      <c r="T98" s="11" t="n">
        <v>56</v>
      </c>
      <c r="U98" s="12" t="inlineStr">
        <is>
          <t>Kids Battery Disney (Frozen / Princess)</t>
        </is>
      </c>
      <c r="V98" s="12" t="inlineStr">
        <is>
          <t>Oral-B</t>
        </is>
      </c>
      <c r="W98" s="12" t="inlineStr">
        <is>
          <t>Oscillo-rotative enfant</t>
        </is>
      </c>
      <c r="X98" s="12" t="inlineStr">
        <is>
          <t>7 600 oscillations/min</t>
        </is>
      </c>
      <c r="Y98" s="12" t="inlineStr">
        <is>
          <t>1 mode</t>
        </is>
      </c>
      <c r="Z98" s="29" t="inlineStr">
        <is>
          <t>N/D</t>
        </is>
      </c>
      <c r="AA98" s="29" t="inlineStr">
        <is>
          <t>N/D</t>
        </is>
      </c>
      <c r="AB98" s="12" t="inlineStr">
        <is>
          <t>Non</t>
        </is>
      </c>
      <c r="AC98" s="12" t="inlineStr">
        <is>
          <t>2 piles AA</t>
        </is>
      </c>
      <c r="AD98" s="12" t="inlineStr">
        <is>
          <t>Non vérifié sur les marchés cibles</t>
        </is>
      </c>
      <c r="AE98" s="12" t="inlineStr">
        <is>
          <t>Amazon, GMS</t>
        </is>
      </c>
      <c r="AF98" s="13" t="inlineStr">
        <is>
          <t>https://www.amazon.com/Oral-B-Pro-Health-Battery-Toothbrush-featuring/dp/B01AKGRSCG</t>
        </is>
      </c>
      <c r="AG98" s="13" t="inlineStr">
        <is>
          <t>https://oralb.com/en-us/products/more-products/kids-products/kids-battery-toothbrush-featuring-disney-princess/</t>
        </is>
      </c>
      <c r="AH98" s="12" t="inlineStr">
        <is>
          <t>Rapprochement sur la cible enfant et l'alimentation à piles. Tête extra-souple, application Disney Magic Timer. Concurrent direct des SEAGO enfant à piles.</t>
        </is>
      </c>
      <c r="AI98" s="14" t="n"/>
      <c r="AJ98" s="14" t="n"/>
      <c r="AK98" s="15" t="n"/>
      <c r="AL98" s="16" t="n"/>
      <c r="AM98" s="15" t="n"/>
      <c r="AN98" s="17">
        <f>IF(OR(AJ98="",AI98=""),"",AJ98-AI98)</f>
        <v/>
      </c>
      <c r="AO98" s="18">
        <f>IF(OR(AJ98="",AI98="",AI98=0),"",(AJ98-AI98)/AI98)</f>
        <v/>
      </c>
      <c r="AP98" s="19">
        <f>IF(AO98="","",IF(AO98&lt;-0.05,"Moins cher",IF(AO98&gt;0.05,"Plus cher","Équivalent")))</f>
        <v/>
      </c>
    </row>
    <row r="99">
      <c r="A99" s="20" t="inlineStr">
        <is>
          <t>SG-918</t>
        </is>
      </c>
      <c r="B99" s="20" t="inlineStr">
        <is>
          <t>Kids Sonic</t>
        </is>
      </c>
      <c r="C99" s="20" t="inlineStr">
        <is>
          <t>Sonique</t>
        </is>
      </c>
      <c r="D99" s="20" t="inlineStr">
        <is>
          <t>Enfant</t>
        </is>
      </c>
      <c r="E99" s="21" t="n">
        <v>17000</v>
      </c>
      <c r="F99" s="21" t="n">
        <v>17000</v>
      </c>
      <c r="G99" s="22" t="n">
        <v>2</v>
      </c>
      <c r="H99" s="22" t="n">
        <v>120</v>
      </c>
      <c r="I99" s="27" t="inlineStr">
        <is>
          <t>N/D</t>
        </is>
      </c>
      <c r="J99" s="20" t="inlineStr">
        <is>
          <t>Pile (1x AAA)</t>
        </is>
      </c>
      <c r="K99" s="20" t="inlineStr">
        <is>
          <t>Piles</t>
        </is>
      </c>
      <c r="L99" s="26" t="inlineStr">
        <is>
          <t>N/D</t>
        </is>
      </c>
      <c r="M99" s="20" t="inlineStr">
        <is>
          <t>IPX7</t>
        </is>
      </c>
      <c r="N99" s="20" t="inlineStr">
        <is>
          <t>Non</t>
        </is>
      </c>
      <c r="O99" s="20" t="inlineStr">
        <is>
          <t>LED blanche</t>
        </is>
      </c>
      <c r="P99" s="20" t="inlineStr">
        <is>
          <t>Oui</t>
        </is>
      </c>
      <c r="Q99" s="23" t="n">
        <v>24</v>
      </c>
      <c r="R99" s="20" t="inlineStr">
        <is>
          <t>19*19*176</t>
        </is>
      </c>
      <c r="S99" s="24" t="inlineStr">
        <is>
          <t>Manche fin antidérapant, LED blanche d'observation, tenon métal</t>
        </is>
      </c>
      <c r="T99" s="25" t="n">
        <v>56</v>
      </c>
      <c r="U99" s="12" t="inlineStr">
        <is>
          <t>Kids Battery Disney (Frozen / Princess)</t>
        </is>
      </c>
      <c r="V99" s="12" t="inlineStr">
        <is>
          <t>Oral-B</t>
        </is>
      </c>
      <c r="W99" s="12" t="inlineStr">
        <is>
          <t>Oscillo-rotative enfant</t>
        </is>
      </c>
      <c r="X99" s="12" t="inlineStr">
        <is>
          <t>7 600 oscillations/min</t>
        </is>
      </c>
      <c r="Y99" s="12" t="inlineStr">
        <is>
          <t>1 mode</t>
        </is>
      </c>
      <c r="Z99" s="29" t="inlineStr">
        <is>
          <t>N/D</t>
        </is>
      </c>
      <c r="AA99" s="29" t="inlineStr">
        <is>
          <t>N/D</t>
        </is>
      </c>
      <c r="AB99" s="12" t="inlineStr">
        <is>
          <t>Non</t>
        </is>
      </c>
      <c r="AC99" s="12" t="inlineStr">
        <is>
          <t>2 piles AA</t>
        </is>
      </c>
      <c r="AD99" s="12" t="inlineStr">
        <is>
          <t>Non vérifié sur les marchés cibles</t>
        </is>
      </c>
      <c r="AE99" s="12" t="inlineStr">
        <is>
          <t>Amazon, GMS</t>
        </is>
      </c>
      <c r="AF99" s="13" t="inlineStr">
        <is>
          <t>https://www.amazon.com/Oral-B-Pro-Health-Battery-Toothbrush-featuring/dp/B01AKGRSCG</t>
        </is>
      </c>
      <c r="AG99" s="13" t="inlineStr">
        <is>
          <t>https://oralb.com/en-us/products/more-products/kids-products/kids-battery-toothbrush-featuring-disney-princess/</t>
        </is>
      </c>
      <c r="AH99" s="12" t="inlineStr">
        <is>
          <t>Rapprochement sur la cible enfant et l'alimentation à piles. Tête extra-souple, application Disney Magic Timer. Concurrent direct des SEAGO enfant à piles.</t>
        </is>
      </c>
      <c r="AI99" s="14" t="n"/>
      <c r="AJ99" s="14" t="n"/>
      <c r="AK99" s="15" t="n"/>
      <c r="AL99" s="16" t="n"/>
      <c r="AM99" s="15" t="n"/>
      <c r="AN99" s="17">
        <f>IF(OR(AJ99="",AI99=""),"",AJ99-AI99)</f>
        <v/>
      </c>
      <c r="AO99" s="18">
        <f>IF(OR(AJ99="",AI99="",AI99=0),"",(AJ99-AI99)/AI99)</f>
        <v/>
      </c>
      <c r="AP99" s="19">
        <f>IF(AO99="","",IF(AO99&lt;-0.05,"Moins cher",IF(AO99&gt;0.05,"Plus cher","Équivalent")))</f>
        <v/>
      </c>
    </row>
    <row r="100">
      <c r="A100" s="5" t="inlineStr">
        <is>
          <t>SG-2107</t>
        </is>
      </c>
      <c r="B100" s="5" t="inlineStr">
        <is>
          <t>Kids Sonic</t>
        </is>
      </c>
      <c r="C100" s="5" t="inlineStr">
        <is>
          <t>Sonique</t>
        </is>
      </c>
      <c r="D100" s="5" t="inlineStr">
        <is>
          <t>Enfant</t>
        </is>
      </c>
      <c r="E100" s="6" t="n">
        <v>17000</v>
      </c>
      <c r="F100" s="6" t="n">
        <v>17000</v>
      </c>
      <c r="G100" s="30" t="inlineStr">
        <is>
          <t>N/D</t>
        </is>
      </c>
      <c r="H100" s="7" t="n">
        <v>120</v>
      </c>
      <c r="I100" s="30" t="inlineStr">
        <is>
          <t>N/D</t>
        </is>
      </c>
      <c r="J100" s="5" t="inlineStr">
        <is>
          <t>Pile (1x AAA)</t>
        </is>
      </c>
      <c r="K100" s="5" t="inlineStr">
        <is>
          <t>Piles</t>
        </is>
      </c>
      <c r="L100" s="8" t="inlineStr">
        <is>
          <t>N/D</t>
        </is>
      </c>
      <c r="M100" s="5" t="inlineStr">
        <is>
          <t>IPX7</t>
        </is>
      </c>
      <c r="N100" s="5" t="inlineStr">
        <is>
          <t>Non</t>
        </is>
      </c>
      <c r="O100" s="5" t="inlineStr">
        <is>
          <t>LED blanche</t>
        </is>
      </c>
      <c r="P100" s="5" t="inlineStr">
        <is>
          <t>Oui</t>
        </is>
      </c>
      <c r="Q100" s="9" t="n">
        <v>43.5</v>
      </c>
      <c r="R100" s="5" t="inlineStr">
        <is>
          <t>31.4*31*166</t>
        </is>
      </c>
      <c r="S100" s="10" t="inlineStr">
        <is>
          <t>Design renard avec ventouse de maintien, poils souples, LED blanche d'observation</t>
        </is>
      </c>
      <c r="T100" s="11" t="n">
        <v>57</v>
      </c>
      <c r="U100" s="12" t="inlineStr">
        <is>
          <t>Kids Battery Disney (Frozen / Princess)</t>
        </is>
      </c>
      <c r="V100" s="12" t="inlineStr">
        <is>
          <t>Oral-B</t>
        </is>
      </c>
      <c r="W100" s="12" t="inlineStr">
        <is>
          <t>Oscillo-rotative enfant</t>
        </is>
      </c>
      <c r="X100" s="12" t="inlineStr">
        <is>
          <t>7 600 oscillations/min</t>
        </is>
      </c>
      <c r="Y100" s="12" t="inlineStr">
        <is>
          <t>1 mode</t>
        </is>
      </c>
      <c r="Z100" s="29" t="inlineStr">
        <is>
          <t>N/D</t>
        </is>
      </c>
      <c r="AA100" s="29" t="inlineStr">
        <is>
          <t>N/D</t>
        </is>
      </c>
      <c r="AB100" s="12" t="inlineStr">
        <is>
          <t>Non</t>
        </is>
      </c>
      <c r="AC100" s="12" t="inlineStr">
        <is>
          <t>2 piles AA</t>
        </is>
      </c>
      <c r="AD100" s="12" t="inlineStr">
        <is>
          <t>Non vérifié sur les marchés cibles</t>
        </is>
      </c>
      <c r="AE100" s="12" t="inlineStr">
        <is>
          <t>Amazon, GMS</t>
        </is>
      </c>
      <c r="AF100" s="13" t="inlineStr">
        <is>
          <t>https://www.amazon.com/Oral-B-Pro-Health-Battery-Toothbrush-featuring/dp/B01AKGRSCG</t>
        </is>
      </c>
      <c r="AG100" s="13" t="inlineStr">
        <is>
          <t>https://oralb.com/en-us/products/more-products/kids-products/kids-battery-toothbrush-featuring-disney-princess/</t>
        </is>
      </c>
      <c r="AH100" s="12" t="inlineStr">
        <is>
          <t>Rapprochement sur la cible enfant et l'alimentation à piles. Tête extra-souple, application Disney Magic Timer. Concurrent direct des SEAGO enfant à piles.</t>
        </is>
      </c>
      <c r="AI100" s="14" t="n"/>
      <c r="AJ100" s="14" t="n"/>
      <c r="AK100" s="15" t="n"/>
      <c r="AL100" s="16" t="n"/>
      <c r="AM100" s="15" t="n"/>
      <c r="AN100" s="17">
        <f>IF(OR(AJ100="",AI100=""),"",AJ100-AI100)</f>
        <v/>
      </c>
      <c r="AO100" s="18">
        <f>IF(OR(AJ100="",AI100="",AI100=0),"",(AJ100-AI100)/AI100)</f>
        <v/>
      </c>
      <c r="AP100" s="19">
        <f>IF(AO100="","",IF(AO100&lt;-0.05,"Moins cher",IF(AO100&gt;0.05,"Plus cher","Équivalent")))</f>
        <v/>
      </c>
    </row>
    <row r="101">
      <c r="A101" s="20" t="inlineStr">
        <is>
          <t>SG-921</t>
        </is>
      </c>
      <c r="B101" s="20" t="inlineStr">
        <is>
          <t>Kids Sonic</t>
        </is>
      </c>
      <c r="C101" s="20" t="inlineStr">
        <is>
          <t>Sonique</t>
        </is>
      </c>
      <c r="D101" s="20" t="inlineStr">
        <is>
          <t>Enfant</t>
        </is>
      </c>
      <c r="E101" s="21" t="n">
        <v>22000</v>
      </c>
      <c r="F101" s="21" t="n">
        <v>22000</v>
      </c>
      <c r="G101" s="27" t="inlineStr">
        <is>
          <t>N/D</t>
        </is>
      </c>
      <c r="H101" s="22" t="n">
        <v>60</v>
      </c>
      <c r="I101" s="27" t="inlineStr">
        <is>
          <t>N/D</t>
        </is>
      </c>
      <c r="J101" s="20" t="inlineStr">
        <is>
          <t>Piles (2x AAA)</t>
        </is>
      </c>
      <c r="K101" s="20" t="inlineStr">
        <is>
          <t>Piles</t>
        </is>
      </c>
      <c r="L101" s="26" t="inlineStr">
        <is>
          <t>N/D</t>
        </is>
      </c>
      <c r="M101" s="20" t="inlineStr">
        <is>
          <t>IPX5</t>
        </is>
      </c>
      <c r="N101" s="20" t="inlineStr">
        <is>
          <t>Non</t>
        </is>
      </c>
      <c r="O101" s="20" t="inlineStr">
        <is>
          <t>LED colorée</t>
        </is>
      </c>
      <c r="P101" s="20" t="inlineStr">
        <is>
          <t>Oui</t>
        </is>
      </c>
      <c r="Q101" s="23" t="n">
        <v>54</v>
      </c>
      <c r="R101" s="20" t="inlineStr">
        <is>
          <t>57*57*202</t>
        </is>
      </c>
      <c r="S101" s="24" t="inlineStr">
        <is>
          <t>7 chansons intégrées, forme dauphin, LED blanche d'observation et LED colorées</t>
        </is>
      </c>
      <c r="T101" s="25" t="n">
        <v>57</v>
      </c>
      <c r="U101" s="12" t="inlineStr">
        <is>
          <t>Kids Battery Disney (Frozen / Princess)</t>
        </is>
      </c>
      <c r="V101" s="12" t="inlineStr">
        <is>
          <t>Oral-B</t>
        </is>
      </c>
      <c r="W101" s="12" t="inlineStr">
        <is>
          <t>Oscillo-rotative enfant</t>
        </is>
      </c>
      <c r="X101" s="12" t="inlineStr">
        <is>
          <t>7 600 oscillations/min</t>
        </is>
      </c>
      <c r="Y101" s="12" t="inlineStr">
        <is>
          <t>1 mode</t>
        </is>
      </c>
      <c r="Z101" s="29" t="inlineStr">
        <is>
          <t>N/D</t>
        </is>
      </c>
      <c r="AA101" s="29" t="inlineStr">
        <is>
          <t>N/D</t>
        </is>
      </c>
      <c r="AB101" s="12" t="inlineStr">
        <is>
          <t>Non</t>
        </is>
      </c>
      <c r="AC101" s="12" t="inlineStr">
        <is>
          <t>2 piles AA</t>
        </is>
      </c>
      <c r="AD101" s="12" t="inlineStr">
        <is>
          <t>Non vérifié sur les marchés cibles</t>
        </is>
      </c>
      <c r="AE101" s="12" t="inlineStr">
        <is>
          <t>Amazon, GMS</t>
        </is>
      </c>
      <c r="AF101" s="13" t="inlineStr">
        <is>
          <t>https://www.amazon.com/Oral-B-Pro-Health-Battery-Toothbrush-featuring/dp/B01AKGRSCG</t>
        </is>
      </c>
      <c r="AG101" s="13" t="inlineStr">
        <is>
          <t>https://oralb.com/en-us/products/more-products/kids-products/kids-battery-toothbrush-featuring-disney-princess/</t>
        </is>
      </c>
      <c r="AH101" s="12" t="inlineStr">
        <is>
          <t>Rapprochement sur la cible enfant et l'alimentation à piles. Tête extra-souple, application Disney Magic Timer. Concurrent direct des SEAGO enfant à piles.</t>
        </is>
      </c>
      <c r="AI101" s="14" t="n"/>
      <c r="AJ101" s="14" t="n"/>
      <c r="AK101" s="15" t="n"/>
      <c r="AL101" s="16" t="n"/>
      <c r="AM101" s="15" t="n"/>
      <c r="AN101" s="17">
        <f>IF(OR(AJ101="",AI101=""),"",AJ101-AI101)</f>
        <v/>
      </c>
      <c r="AO101" s="18">
        <f>IF(OR(AJ101="",AI101="",AI101=0),"",(AJ101-AI101)/AI101)</f>
        <v/>
      </c>
      <c r="AP101" s="19">
        <f>IF(AO101="","",IF(AO101&lt;-0.05,"Moins cher",IF(AO101&gt;0.05,"Plus cher","Équivalent")))</f>
        <v/>
      </c>
    </row>
    <row r="102">
      <c r="A102" s="5" t="inlineStr">
        <is>
          <t>SG-961</t>
        </is>
      </c>
      <c r="B102" s="5" t="inlineStr">
        <is>
          <t>Kids Sonic</t>
        </is>
      </c>
      <c r="C102" s="5" t="inlineStr">
        <is>
          <t>Sonique</t>
        </is>
      </c>
      <c r="D102" s="5" t="inlineStr">
        <is>
          <t>Enfant</t>
        </is>
      </c>
      <c r="E102" s="6" t="n">
        <v>24000</v>
      </c>
      <c r="F102" s="6" t="n">
        <v>24000</v>
      </c>
      <c r="G102" s="30" t="inlineStr">
        <is>
          <t>N/D</t>
        </is>
      </c>
      <c r="H102" s="7" t="n">
        <v>210</v>
      </c>
      <c r="I102" s="30" t="inlineStr">
        <is>
          <t>N/D</t>
        </is>
      </c>
      <c r="J102" s="5" t="inlineStr">
        <is>
          <t>Pile (1x AA)</t>
        </is>
      </c>
      <c r="K102" s="5" t="inlineStr">
        <is>
          <t>Piles</t>
        </is>
      </c>
      <c r="L102" s="8" t="inlineStr">
        <is>
          <t>N/D</t>
        </is>
      </c>
      <c r="M102" s="5" t="inlineStr">
        <is>
          <t>IPX7</t>
        </is>
      </c>
      <c r="N102" s="5" t="inlineStr">
        <is>
          <t>Non</t>
        </is>
      </c>
      <c r="O102" s="5" t="inlineStr">
        <is>
          <t>Aucun</t>
        </is>
      </c>
      <c r="P102" s="5" t="inlineStr">
        <is>
          <t>Non</t>
        </is>
      </c>
      <c r="Q102" s="9" t="n">
        <v>36</v>
      </c>
      <c r="R102" s="5" t="inlineStr">
        <is>
          <t>26*26*211</t>
        </is>
      </c>
      <c r="S102" s="10" t="inlineStr">
        <is>
          <t>Design ergonomique antidérapant, longue autonomie à prix contenu, poils souples</t>
        </is>
      </c>
      <c r="T102" s="11" t="n">
        <v>58</v>
      </c>
      <c r="U102" s="12" t="inlineStr">
        <is>
          <t>Kids Battery Disney (Frozen / Princess)</t>
        </is>
      </c>
      <c r="V102" s="12" t="inlineStr">
        <is>
          <t>Oral-B</t>
        </is>
      </c>
      <c r="W102" s="12" t="inlineStr">
        <is>
          <t>Oscillo-rotative enfant</t>
        </is>
      </c>
      <c r="X102" s="12" t="inlineStr">
        <is>
          <t>7 600 oscillations/min</t>
        </is>
      </c>
      <c r="Y102" s="12" t="inlineStr">
        <is>
          <t>1 mode</t>
        </is>
      </c>
      <c r="Z102" s="29" t="inlineStr">
        <is>
          <t>N/D</t>
        </is>
      </c>
      <c r="AA102" s="29" t="inlineStr">
        <is>
          <t>N/D</t>
        </is>
      </c>
      <c r="AB102" s="12" t="inlineStr">
        <is>
          <t>Non</t>
        </is>
      </c>
      <c r="AC102" s="12" t="inlineStr">
        <is>
          <t>2 piles AA</t>
        </is>
      </c>
      <c r="AD102" s="12" t="inlineStr">
        <is>
          <t>Non vérifié sur les marchés cibles</t>
        </is>
      </c>
      <c r="AE102" s="12" t="inlineStr">
        <is>
          <t>Amazon, GMS</t>
        </is>
      </c>
      <c r="AF102" s="13" t="inlineStr">
        <is>
          <t>https://www.amazon.com/Oral-B-Pro-Health-Battery-Toothbrush-featuring/dp/B01AKGRSCG</t>
        </is>
      </c>
      <c r="AG102" s="13" t="inlineStr">
        <is>
          <t>https://oralb.com/en-us/products/more-products/kids-products/kids-battery-toothbrush-featuring-disney-princess/</t>
        </is>
      </c>
      <c r="AH102" s="12" t="inlineStr">
        <is>
          <t>Rapprochement sur la cible enfant et l'alimentation à piles. Tête extra-souple, application Disney Magic Timer. Concurrent direct des SEAGO enfant à piles.</t>
        </is>
      </c>
      <c r="AI102" s="14" t="n"/>
      <c r="AJ102" s="14" t="n"/>
      <c r="AK102" s="15" t="n"/>
      <c r="AL102" s="16" t="n"/>
      <c r="AM102" s="15" t="n"/>
      <c r="AN102" s="17">
        <f>IF(OR(AJ102="",AI102=""),"",AJ102-AI102)</f>
        <v/>
      </c>
      <c r="AO102" s="18">
        <f>IF(OR(AJ102="",AI102="",AI102=0),"",(AJ102-AI102)/AI102)</f>
        <v/>
      </c>
      <c r="AP102" s="19">
        <f>IF(AO102="","",IF(AO102&lt;-0.05,"Moins cher",IF(AO102&gt;0.05,"Plus cher","Équivalent")))</f>
        <v/>
      </c>
    </row>
    <row r="103">
      <c r="A103" s="20" t="inlineStr">
        <is>
          <t>SG-919</t>
        </is>
      </c>
      <c r="B103" s="20" t="inlineStr">
        <is>
          <t>Kids Sonic</t>
        </is>
      </c>
      <c r="C103" s="20" t="inlineStr">
        <is>
          <t>Sonique</t>
        </is>
      </c>
      <c r="D103" s="20" t="inlineStr">
        <is>
          <t>Enfant</t>
        </is>
      </c>
      <c r="E103" s="21" t="n">
        <v>18000</v>
      </c>
      <c r="F103" s="21" t="n">
        <v>18000</v>
      </c>
      <c r="G103" s="27" t="inlineStr">
        <is>
          <t>N/D</t>
        </is>
      </c>
      <c r="H103" s="22" t="n">
        <v>60</v>
      </c>
      <c r="I103" s="27" t="inlineStr">
        <is>
          <t>N/D</t>
        </is>
      </c>
      <c r="J103" s="20" t="inlineStr">
        <is>
          <t>Pile (1x AA)</t>
        </is>
      </c>
      <c r="K103" s="20" t="inlineStr">
        <is>
          <t>Piles</t>
        </is>
      </c>
      <c r="L103" s="26" t="inlineStr">
        <is>
          <t>N/D</t>
        </is>
      </c>
      <c r="M103" s="20" t="inlineStr">
        <is>
          <t>IPX6</t>
        </is>
      </c>
      <c r="N103" s="20" t="inlineStr">
        <is>
          <t>Non</t>
        </is>
      </c>
      <c r="O103" s="20" t="inlineStr">
        <is>
          <t>Aucun</t>
        </is>
      </c>
      <c r="P103" s="20" t="inlineStr">
        <is>
          <t>Non</t>
        </is>
      </c>
      <c r="Q103" s="23" t="n">
        <v>52</v>
      </c>
      <c r="R103" s="20" t="inlineStr">
        <is>
          <t>29*28*190</t>
        </is>
      </c>
      <c r="S103" s="24" t="inlineStr">
        <is>
          <t>Motifs par transfert thermique, poils souples</t>
        </is>
      </c>
      <c r="T103" s="25" t="n">
        <v>58</v>
      </c>
      <c r="U103" s="12" t="inlineStr">
        <is>
          <t>Kids Battery Disney (Frozen / Princess)</t>
        </is>
      </c>
      <c r="V103" s="12" t="inlineStr">
        <is>
          <t>Oral-B</t>
        </is>
      </c>
      <c r="W103" s="12" t="inlineStr">
        <is>
          <t>Oscillo-rotative enfant</t>
        </is>
      </c>
      <c r="X103" s="12" t="inlineStr">
        <is>
          <t>7 600 oscillations/min</t>
        </is>
      </c>
      <c r="Y103" s="12" t="inlineStr">
        <is>
          <t>1 mode</t>
        </is>
      </c>
      <c r="Z103" s="29" t="inlineStr">
        <is>
          <t>N/D</t>
        </is>
      </c>
      <c r="AA103" s="29" t="inlineStr">
        <is>
          <t>N/D</t>
        </is>
      </c>
      <c r="AB103" s="12" t="inlineStr">
        <is>
          <t>Non</t>
        </is>
      </c>
      <c r="AC103" s="12" t="inlineStr">
        <is>
          <t>2 piles AA</t>
        </is>
      </c>
      <c r="AD103" s="12" t="inlineStr">
        <is>
          <t>Non vérifié sur les marchés cibles</t>
        </is>
      </c>
      <c r="AE103" s="12" t="inlineStr">
        <is>
          <t>Amazon, GMS</t>
        </is>
      </c>
      <c r="AF103" s="13" t="inlineStr">
        <is>
          <t>https://www.amazon.com/Oral-B-Pro-Health-Battery-Toothbrush-featuring/dp/B01AKGRSCG</t>
        </is>
      </c>
      <c r="AG103" s="13" t="inlineStr">
        <is>
          <t>https://oralb.com/en-us/products/more-products/kids-products/kids-battery-toothbrush-featuring-disney-princess/</t>
        </is>
      </c>
      <c r="AH103" s="12" t="inlineStr">
        <is>
          <t>Rapprochement sur la cible enfant et l'alimentation à piles. Tête extra-souple, application Disney Magic Timer. Concurrent direct des SEAGO enfant à piles.</t>
        </is>
      </c>
      <c r="AI103" s="14" t="n"/>
      <c r="AJ103" s="14" t="n"/>
      <c r="AK103" s="15" t="n"/>
      <c r="AL103" s="16" t="n"/>
      <c r="AM103" s="15" t="n"/>
      <c r="AN103" s="17">
        <f>IF(OR(AJ103="",AI103=""),"",AJ103-AI103)</f>
        <v/>
      </c>
      <c r="AO103" s="18">
        <f>IF(OR(AJ103="",AI103="",AI103=0),"",(AJ103-AI103)/AI103)</f>
        <v/>
      </c>
      <c r="AP103" s="19">
        <f>IF(AO103="","",IF(AO103&lt;-0.05,"Moins cher",IF(AO103&gt;0.05,"Plus cher","Équivalent")))</f>
        <v/>
      </c>
    </row>
    <row r="104">
      <c r="A104" s="5" t="inlineStr">
        <is>
          <t>SG-2001</t>
        </is>
      </c>
      <c r="B104" s="5" t="inlineStr">
        <is>
          <t>Kids Sonic</t>
        </is>
      </c>
      <c r="C104" s="5" t="inlineStr">
        <is>
          <t>Sonique</t>
        </is>
      </c>
      <c r="D104" s="5" t="inlineStr">
        <is>
          <t>Enfant</t>
        </is>
      </c>
      <c r="E104" s="6" t="n">
        <v>38000</v>
      </c>
      <c r="F104" s="6" t="n">
        <v>38000</v>
      </c>
      <c r="G104" s="7" t="n">
        <v>3</v>
      </c>
      <c r="H104" s="7" t="n">
        <v>21</v>
      </c>
      <c r="I104" s="7" t="n">
        <v>600</v>
      </c>
      <c r="J104" s="5" t="inlineStr">
        <is>
          <t>Batterie Ni-MH rechargeable</t>
        </is>
      </c>
      <c r="K104" s="5" t="inlineStr">
        <is>
          <t>USB</t>
        </is>
      </c>
      <c r="L104" s="8" t="inlineStr">
        <is>
          <t>N/D</t>
        </is>
      </c>
      <c r="M104" s="5" t="inlineStr">
        <is>
          <t>IPX7</t>
        </is>
      </c>
      <c r="N104" s="5" t="inlineStr">
        <is>
          <t>Non</t>
        </is>
      </c>
      <c r="O104" s="5" t="inlineStr">
        <is>
          <t>Aucun</t>
        </is>
      </c>
      <c r="P104" s="5" t="inlineStr">
        <is>
          <t>Oui</t>
        </is>
      </c>
      <c r="Q104" s="9" t="n">
        <v>73</v>
      </c>
      <c r="R104" s="5" t="inlineStr">
        <is>
          <t>20.4*19.4*193.3</t>
        </is>
      </c>
      <c r="S104" s="10" t="inlineStr">
        <is>
          <t>Motifs par transfert thermique, format voyage, mémoire intelligente</t>
        </is>
      </c>
      <c r="T104" s="11" t="n">
        <v>59</v>
      </c>
      <c r="U104" s="12" t="inlineStr">
        <is>
          <t>Sonicare For Kids HX6321/02</t>
        </is>
      </c>
      <c r="V104" s="12" t="inlineStr">
        <is>
          <t>Philips</t>
        </is>
      </c>
      <c r="W104" s="12" t="inlineStr">
        <is>
          <t>Sonique enfant</t>
        </is>
      </c>
      <c r="X104" s="12" t="inlineStr">
        <is>
          <t>62 000 mouvements/min</t>
        </is>
      </c>
      <c r="Y104" s="12" t="inlineStr">
        <is>
          <t>2 modes</t>
        </is>
      </c>
      <c r="Z104" s="12" t="n">
        <v>21</v>
      </c>
      <c r="AA104" s="29" t="inlineStr">
        <is>
          <t>N/D</t>
        </is>
      </c>
      <c r="AB104" s="12" t="inlineStr">
        <is>
          <t>Non</t>
        </is>
      </c>
      <c r="AC104" s="12" t="inlineStr">
        <is>
          <t>Socle inductif</t>
        </is>
      </c>
      <c r="AD104" s="12" t="inlineStr">
        <is>
          <t>EAU (Noon, gamme Sonicare vérifiée)</t>
        </is>
      </c>
      <c r="AE104" s="12" t="inlineStr">
        <is>
          <t>Noon UAE, pharmacies</t>
        </is>
      </c>
      <c r="AF104" s="13" t="inlineStr">
        <is>
          <t>https://www.usa.philips.com/c-p/HX6321_02/sonicare-for-kids-sonic-electric-toothbrush</t>
        </is>
      </c>
      <c r="AG104" s="13" t="inlineStr">
        <is>
          <t>https://www.philips.com/c-dam/b2c/category-pages/personal-care/POHC/resource-library-docs/HX6321-03%20LEAFLET-Sonicare-%20For-Kids-%20Connected-Electric-Toothbrush.pdf</t>
        </is>
      </c>
      <c r="AH104" s="12" t="inlineStr">
        <is>
          <t>Rapprochement sur la cible enfant et la technologie sonique rechargeable. Connectivité Bluetooth et application de coaching enfant. Indicateur de batterie.</t>
        </is>
      </c>
      <c r="AI104" s="14" t="n"/>
      <c r="AJ104" s="14" t="n"/>
      <c r="AK104" s="15" t="n"/>
      <c r="AL104" s="16" t="n"/>
      <c r="AM104" s="15" t="n"/>
      <c r="AN104" s="17">
        <f>IF(OR(AJ104="",AI104=""),"",AJ104-AI104)</f>
        <v/>
      </c>
      <c r="AO104" s="18">
        <f>IF(OR(AJ104="",AI104="",AI104=0),"",(AJ104-AI104)/AI104)</f>
        <v/>
      </c>
      <c r="AP104" s="19">
        <f>IF(AO104="","",IF(AO104&lt;-0.05,"Moins cher",IF(AO104&gt;0.05,"Plus cher","Équivalent")))</f>
        <v/>
      </c>
    </row>
    <row r="105">
      <c r="A105" s="20" t="inlineStr">
        <is>
          <t>SG-2008</t>
        </is>
      </c>
      <c r="B105" s="20" t="inlineStr">
        <is>
          <t>Kids Sonic</t>
        </is>
      </c>
      <c r="C105" s="20" t="inlineStr">
        <is>
          <t>Sonique</t>
        </is>
      </c>
      <c r="D105" s="20" t="inlineStr">
        <is>
          <t>Enfant</t>
        </is>
      </c>
      <c r="E105" s="21" t="n">
        <v>35000</v>
      </c>
      <c r="F105" s="21" t="n">
        <v>35000</v>
      </c>
      <c r="G105" s="22" t="n">
        <v>3</v>
      </c>
      <c r="H105" s="22" t="n">
        <v>25</v>
      </c>
      <c r="I105" s="22" t="n">
        <v>260</v>
      </c>
      <c r="J105" s="20" t="inlineStr">
        <is>
          <t>Batterie Li-ion rechargeable</t>
        </is>
      </c>
      <c r="K105" s="20" t="inlineStr">
        <is>
          <t>USB</t>
        </is>
      </c>
      <c r="L105" s="26" t="inlineStr">
        <is>
          <t>N/D</t>
        </is>
      </c>
      <c r="M105" s="20" t="inlineStr">
        <is>
          <t>IPX7</t>
        </is>
      </c>
      <c r="N105" s="20" t="inlineStr">
        <is>
          <t>Non</t>
        </is>
      </c>
      <c r="O105" s="20" t="inlineStr">
        <is>
          <t>LED colorée</t>
        </is>
      </c>
      <c r="P105" s="20" t="inlineStr">
        <is>
          <t>Oui</t>
        </is>
      </c>
      <c r="Q105" s="23" t="n">
        <v>64</v>
      </c>
      <c r="R105" s="20" t="inlineStr">
        <is>
          <t>37.6*33.1*183.7</t>
        </is>
      </c>
      <c r="S105" s="24" t="inlineStr">
        <is>
          <t>Habillage silicone alimentaire personnalisable, éclairage LED et design animalier</t>
        </is>
      </c>
      <c r="T105" s="25" t="n">
        <v>59</v>
      </c>
      <c r="U105" s="12" t="inlineStr">
        <is>
          <t>Sonicare For Kids HX6321/02</t>
        </is>
      </c>
      <c r="V105" s="12" t="inlineStr">
        <is>
          <t>Philips</t>
        </is>
      </c>
      <c r="W105" s="12" t="inlineStr">
        <is>
          <t>Sonique enfant</t>
        </is>
      </c>
      <c r="X105" s="12" t="inlineStr">
        <is>
          <t>62 000 mouvements/min</t>
        </is>
      </c>
      <c r="Y105" s="12" t="inlineStr">
        <is>
          <t>2 modes</t>
        </is>
      </c>
      <c r="Z105" s="12" t="n">
        <v>21</v>
      </c>
      <c r="AA105" s="29" t="inlineStr">
        <is>
          <t>N/D</t>
        </is>
      </c>
      <c r="AB105" s="12" t="inlineStr">
        <is>
          <t>Non</t>
        </is>
      </c>
      <c r="AC105" s="12" t="inlineStr">
        <is>
          <t>Socle inductif</t>
        </is>
      </c>
      <c r="AD105" s="12" t="inlineStr">
        <is>
          <t>EAU (Noon, gamme Sonicare vérifiée)</t>
        </is>
      </c>
      <c r="AE105" s="12" t="inlineStr">
        <is>
          <t>Noon UAE, pharmacies</t>
        </is>
      </c>
      <c r="AF105" s="13" t="inlineStr">
        <is>
          <t>https://www.usa.philips.com/c-p/HX6321_02/sonicare-for-kids-sonic-electric-toothbrush</t>
        </is>
      </c>
      <c r="AG105" s="13" t="inlineStr">
        <is>
          <t>https://www.philips.com/c-dam/b2c/category-pages/personal-care/POHC/resource-library-docs/HX6321-03%20LEAFLET-Sonicare-%20For-Kids-%20Connected-Electric-Toothbrush.pdf</t>
        </is>
      </c>
      <c r="AH105" s="12" t="inlineStr">
        <is>
          <t>Rapprochement sur la cible enfant et la technologie sonique rechargeable. Connectivité Bluetooth et application de coaching enfant. Indicateur de batterie.</t>
        </is>
      </c>
      <c r="AI105" s="14" t="n"/>
      <c r="AJ105" s="14" t="n"/>
      <c r="AK105" s="15" t="n"/>
      <c r="AL105" s="16" t="n"/>
      <c r="AM105" s="15" t="n"/>
      <c r="AN105" s="17">
        <f>IF(OR(AJ105="",AI105=""),"",AJ105-AI105)</f>
        <v/>
      </c>
      <c r="AO105" s="18">
        <f>IF(OR(AJ105="",AI105="",AI105=0),"",(AJ105-AI105)/AI105)</f>
        <v/>
      </c>
      <c r="AP105" s="19">
        <f>IF(AO105="","",IF(AO105&lt;-0.05,"Moins cher",IF(AO105&gt;0.05,"Plus cher","Équivalent")))</f>
        <v/>
      </c>
    </row>
    <row r="106">
      <c r="A106" s="5" t="inlineStr">
        <is>
          <t>SG-567</t>
        </is>
      </c>
      <c r="B106" s="5" t="inlineStr">
        <is>
          <t>Kids Sonic</t>
        </is>
      </c>
      <c r="C106" s="5" t="inlineStr">
        <is>
          <t>Sonique</t>
        </is>
      </c>
      <c r="D106" s="5" t="inlineStr">
        <is>
          <t>Enfant</t>
        </is>
      </c>
      <c r="E106" s="6" t="n">
        <v>31000</v>
      </c>
      <c r="F106" s="6" t="n">
        <v>31000</v>
      </c>
      <c r="G106" s="7" t="n">
        <v>2</v>
      </c>
      <c r="H106" s="30" t="inlineStr">
        <is>
          <t>N/D</t>
        </is>
      </c>
      <c r="I106" s="7" t="n">
        <v>600</v>
      </c>
      <c r="J106" s="5" t="inlineStr">
        <is>
          <t>Batterie Li-ion rechargeable</t>
        </is>
      </c>
      <c r="K106" s="5" t="inlineStr">
        <is>
          <t>USB</t>
        </is>
      </c>
      <c r="L106" s="8" t="inlineStr">
        <is>
          <t>N/D</t>
        </is>
      </c>
      <c r="M106" s="5" t="inlineStr">
        <is>
          <t>IPX7</t>
        </is>
      </c>
      <c r="N106" s="5" t="inlineStr">
        <is>
          <t>Non</t>
        </is>
      </c>
      <c r="O106" s="5" t="inlineStr">
        <is>
          <t>Aucun</t>
        </is>
      </c>
      <c r="P106" s="5" t="inlineStr">
        <is>
          <t>Oui</t>
        </is>
      </c>
      <c r="Q106" s="9" t="n">
        <v>82.2</v>
      </c>
      <c r="R106" s="5" t="inlineStr">
        <is>
          <t>25*23*225</t>
        </is>
      </c>
      <c r="S106" s="10" t="inlineStr">
        <is>
          <t>Moteur à lévitation magnétique amplitude 6 mm, motifs par transfert thermique</t>
        </is>
      </c>
      <c r="T106" s="11" t="n">
        <v>60</v>
      </c>
      <c r="U106" s="12" t="inlineStr">
        <is>
          <t>Sonicare For Kids HX6321/02</t>
        </is>
      </c>
      <c r="V106" s="12" t="inlineStr">
        <is>
          <t>Philips</t>
        </is>
      </c>
      <c r="W106" s="12" t="inlineStr">
        <is>
          <t>Sonique enfant</t>
        </is>
      </c>
      <c r="X106" s="12" t="inlineStr">
        <is>
          <t>62 000 mouvements/min</t>
        </is>
      </c>
      <c r="Y106" s="12" t="inlineStr">
        <is>
          <t>2 modes</t>
        </is>
      </c>
      <c r="Z106" s="12" t="n">
        <v>21</v>
      </c>
      <c r="AA106" s="29" t="inlineStr">
        <is>
          <t>N/D</t>
        </is>
      </c>
      <c r="AB106" s="12" t="inlineStr">
        <is>
          <t>Non</t>
        </is>
      </c>
      <c r="AC106" s="12" t="inlineStr">
        <is>
          <t>Socle inductif</t>
        </is>
      </c>
      <c r="AD106" s="12" t="inlineStr">
        <is>
          <t>EAU (Noon, gamme Sonicare vérifiée)</t>
        </is>
      </c>
      <c r="AE106" s="12" t="inlineStr">
        <is>
          <t>Noon UAE, pharmacies</t>
        </is>
      </c>
      <c r="AF106" s="13" t="inlineStr">
        <is>
          <t>https://www.usa.philips.com/c-p/HX6321_02/sonicare-for-kids-sonic-electric-toothbrush</t>
        </is>
      </c>
      <c r="AG106" s="13" t="inlineStr">
        <is>
          <t>https://www.philips.com/c-dam/b2c/category-pages/personal-care/POHC/resource-library-docs/HX6321-03%20LEAFLET-Sonicare-%20For-Kids-%20Connected-Electric-Toothbrush.pdf</t>
        </is>
      </c>
      <c r="AH106" s="12" t="inlineStr">
        <is>
          <t>Rapprochement sur la cible enfant et la technologie sonique rechargeable. Connectivité Bluetooth et application de coaching enfant. Indicateur de batterie.</t>
        </is>
      </c>
      <c r="AI106" s="14" t="n"/>
      <c r="AJ106" s="14" t="n"/>
      <c r="AK106" s="15" t="n"/>
      <c r="AL106" s="16" t="n"/>
      <c r="AM106" s="15" t="n"/>
      <c r="AN106" s="17">
        <f>IF(OR(AJ106="",AI106=""),"",AJ106-AI106)</f>
        <v/>
      </c>
      <c r="AO106" s="18">
        <f>IF(OR(AJ106="",AI106="",AI106=0),"",(AJ106-AI106)/AI106)</f>
        <v/>
      </c>
      <c r="AP106" s="19">
        <f>IF(AO106="","",IF(AO106&lt;-0.05,"Moins cher",IF(AO106&gt;0.05,"Plus cher","Équivalent")))</f>
        <v/>
      </c>
    </row>
    <row r="107">
      <c r="A107" s="20" t="inlineStr">
        <is>
          <t>SG-2711</t>
        </is>
      </c>
      <c r="B107" s="20" t="inlineStr">
        <is>
          <t>Kids Sonic</t>
        </is>
      </c>
      <c r="C107" s="20" t="inlineStr">
        <is>
          <t>Sonique</t>
        </is>
      </c>
      <c r="D107" s="20" t="inlineStr">
        <is>
          <t>Enfant</t>
        </is>
      </c>
      <c r="E107" s="21" t="n">
        <v>31000</v>
      </c>
      <c r="F107" s="21" t="n">
        <v>31000</v>
      </c>
      <c r="G107" s="22" t="n">
        <v>2</v>
      </c>
      <c r="H107" s="27" t="inlineStr">
        <is>
          <t>N/D</t>
        </is>
      </c>
      <c r="I107" s="22" t="n">
        <v>600</v>
      </c>
      <c r="J107" s="20" t="inlineStr">
        <is>
          <t>Batterie Li-ion rechargeable</t>
        </is>
      </c>
      <c r="K107" s="20" t="inlineStr">
        <is>
          <t>USB</t>
        </is>
      </c>
      <c r="L107" s="26" t="inlineStr">
        <is>
          <t>N/D</t>
        </is>
      </c>
      <c r="M107" s="20" t="inlineStr">
        <is>
          <t>IPX7</t>
        </is>
      </c>
      <c r="N107" s="20" t="inlineStr">
        <is>
          <t>Non</t>
        </is>
      </c>
      <c r="O107" s="20" t="inlineStr">
        <is>
          <t>Aucun</t>
        </is>
      </c>
      <c r="P107" s="20" t="inlineStr">
        <is>
          <t>Oui</t>
        </is>
      </c>
      <c r="Q107" s="23" t="n">
        <v>82.2</v>
      </c>
      <c r="R107" s="20" t="inlineStr">
        <is>
          <t>25*23*225</t>
        </is>
      </c>
      <c r="S107" s="24" t="inlineStr">
        <is>
          <t>Connectivité Bluetooth / WiFi avec pilotage par application, moteur à lévitation magnétique amplitude 6 mm, motifs par transfert thermique</t>
        </is>
      </c>
      <c r="T107" s="25" t="n">
        <v>60</v>
      </c>
      <c r="U107" s="12" t="inlineStr">
        <is>
          <t>Sonicare For Kids HX6321/02</t>
        </is>
      </c>
      <c r="V107" s="12" t="inlineStr">
        <is>
          <t>Philips</t>
        </is>
      </c>
      <c r="W107" s="12" t="inlineStr">
        <is>
          <t>Sonique enfant</t>
        </is>
      </c>
      <c r="X107" s="12" t="inlineStr">
        <is>
          <t>62 000 mouvements/min</t>
        </is>
      </c>
      <c r="Y107" s="12" t="inlineStr">
        <is>
          <t>2 modes</t>
        </is>
      </c>
      <c r="Z107" s="12" t="n">
        <v>21</v>
      </c>
      <c r="AA107" s="29" t="inlineStr">
        <is>
          <t>N/D</t>
        </is>
      </c>
      <c r="AB107" s="12" t="inlineStr">
        <is>
          <t>Non</t>
        </is>
      </c>
      <c r="AC107" s="12" t="inlineStr">
        <is>
          <t>Socle inductif</t>
        </is>
      </c>
      <c r="AD107" s="12" t="inlineStr">
        <is>
          <t>EAU (Noon, gamme Sonicare vérifiée)</t>
        </is>
      </c>
      <c r="AE107" s="12" t="inlineStr">
        <is>
          <t>Noon UAE, pharmacies</t>
        </is>
      </c>
      <c r="AF107" s="13" t="inlineStr">
        <is>
          <t>https://www.usa.philips.com/c-p/HX6321_02/sonicare-for-kids-sonic-electric-toothbrush</t>
        </is>
      </c>
      <c r="AG107" s="13" t="inlineStr">
        <is>
          <t>https://www.philips.com/c-dam/b2c/category-pages/personal-care/POHC/resource-library-docs/HX6321-03%20LEAFLET-Sonicare-%20For-Kids-%20Connected-Electric-Toothbrush.pdf</t>
        </is>
      </c>
      <c r="AH107" s="12" t="inlineStr">
        <is>
          <t>Rapprochement sur la cible enfant et la technologie sonique rechargeable. Connectivité Bluetooth et application de coaching enfant. Indicateur de batterie.</t>
        </is>
      </c>
      <c r="AI107" s="14" t="n"/>
      <c r="AJ107" s="14" t="n"/>
      <c r="AK107" s="15" t="n"/>
      <c r="AL107" s="16" t="n"/>
      <c r="AM107" s="15" t="n"/>
      <c r="AN107" s="17">
        <f>IF(OR(AJ107="",AI107=""),"",AJ107-AI107)</f>
        <v/>
      </c>
      <c r="AO107" s="18">
        <f>IF(OR(AJ107="",AI107="",AI107=0),"",(AJ107-AI107)/AI107)</f>
        <v/>
      </c>
      <c r="AP107" s="19">
        <f>IF(AO107="","",IF(AO107&lt;-0.05,"Moins cher",IF(AO107&gt;0.05,"Plus cher","Équivalent")))</f>
        <v/>
      </c>
    </row>
    <row r="108">
      <c r="A108" s="5" t="inlineStr">
        <is>
          <t>SG-2607</t>
        </is>
      </c>
      <c r="B108" s="5" t="inlineStr">
        <is>
          <t>Rotating Clean</t>
        </is>
      </c>
      <c r="C108" s="5" t="inlineStr">
        <is>
          <t>Rotative / oscillante</t>
        </is>
      </c>
      <c r="D108" s="5" t="inlineStr">
        <is>
          <t>Adulte</t>
        </is>
      </c>
      <c r="E108" s="6" t="n">
        <v>8000</v>
      </c>
      <c r="F108" s="6" t="n">
        <v>8000</v>
      </c>
      <c r="G108" s="7" t="n">
        <v>5</v>
      </c>
      <c r="H108" s="7" t="n">
        <v>21</v>
      </c>
      <c r="I108" s="7" t="n">
        <v>700</v>
      </c>
      <c r="J108" s="5" t="inlineStr">
        <is>
          <t>Batterie Li-ion rechargeable</t>
        </is>
      </c>
      <c r="K108" s="5" t="inlineStr">
        <is>
          <t>USB</t>
        </is>
      </c>
      <c r="L108" s="8" t="inlineStr">
        <is>
          <t>N/D</t>
        </is>
      </c>
      <c r="M108" s="5" t="inlineStr">
        <is>
          <t>IPX7</t>
        </is>
      </c>
      <c r="N108" s="5" t="inlineStr">
        <is>
          <t>Non</t>
        </is>
      </c>
      <c r="O108" s="5" t="inlineStr">
        <is>
          <t>Écran digital</t>
        </is>
      </c>
      <c r="P108" s="5" t="inlineStr">
        <is>
          <t>Oui</t>
        </is>
      </c>
      <c r="Q108" s="9" t="n">
        <v>98</v>
      </c>
      <c r="R108" s="5" t="inlineStr">
        <is>
          <t>28.3*25.5*199.1</t>
        </is>
      </c>
      <c r="S108" s="10" t="inlineStr">
        <is>
          <t>Panneau digital de changement de mode, mémoire intelligente, protection surcharge et décharge profonde, indicateur batterie</t>
        </is>
      </c>
      <c r="T108" s="11" t="n">
        <v>62</v>
      </c>
      <c r="U108" s="12" t="inlineStr">
        <is>
          <t>iO Series 3</t>
        </is>
      </c>
      <c r="V108" s="12" t="inlineStr">
        <is>
          <t>Oral-B</t>
        </is>
      </c>
      <c r="W108" s="12" t="inlineStr">
        <is>
          <t>Oscillo-rotative + micro-vibrations</t>
        </is>
      </c>
      <c r="X108" s="29" t="inlineStr">
        <is>
          <t>N/D</t>
        </is>
      </c>
      <c r="Y108" s="12" t="inlineStr">
        <is>
          <t>3 modes (Daily Clean, Sensitive, Whitening)</t>
        </is>
      </c>
      <c r="Z108" s="29" t="inlineStr">
        <is>
          <t>N/D</t>
        </is>
      </c>
      <c r="AA108" s="29" t="inlineStr">
        <is>
          <t>N/D</t>
        </is>
      </c>
      <c r="AB108" s="12" t="inlineStr">
        <is>
          <t>Oui (anneau lumineux blanc / vert / rouge)</t>
        </is>
      </c>
      <c r="AC108" s="12" t="inlineStr">
        <is>
          <t>Socle magnétique</t>
        </is>
      </c>
      <c r="AD108" s="12" t="inlineStr">
        <is>
          <t>Côte d'Ivoire (Jumia, gamme iO référencée)</t>
        </is>
      </c>
      <c r="AE108" s="12" t="inlineStr">
        <is>
          <t>Jumia CI, pharmacies</t>
        </is>
      </c>
      <c r="AF108" s="13" t="inlineStr">
        <is>
          <t>https://oralb.com/en-us/products/io-series-3-rechargeable-electric-toothbrush-white/</t>
        </is>
      </c>
      <c r="AG108" s="13" t="inlineStr">
        <is>
          <t>https://www.jumia.ci/slp/brosse-a-dents-electrique-oral-b-io3</t>
        </is>
      </c>
      <c r="AH108" s="12" t="inlineStr">
        <is>
          <t>Rapprochement sur la technologie oscillo-rotative avec écran et capteur de pression. Capteur de pression tricolore, équivalent direct des modèles SEAGO à écran et capteur.</t>
        </is>
      </c>
      <c r="AI108" s="14" t="n"/>
      <c r="AJ108" s="14" t="n"/>
      <c r="AK108" s="15" t="n"/>
      <c r="AL108" s="16" t="n"/>
      <c r="AM108" s="15" t="n"/>
      <c r="AN108" s="17">
        <f>IF(OR(AJ108="",AI108=""),"",AJ108-AI108)</f>
        <v/>
      </c>
      <c r="AO108" s="18">
        <f>IF(OR(AJ108="",AI108="",AI108=0),"",(AJ108-AI108)/AI108)</f>
        <v/>
      </c>
      <c r="AP108" s="19">
        <f>IF(AO108="","",IF(AO108&lt;-0.05,"Moins cher",IF(AO108&gt;0.05,"Plus cher","Équivalent")))</f>
        <v/>
      </c>
    </row>
    <row r="109">
      <c r="A109" s="20" t="inlineStr">
        <is>
          <t>SG-2606</t>
        </is>
      </c>
      <c r="B109" s="20" t="inlineStr">
        <is>
          <t>Rotating Clean</t>
        </is>
      </c>
      <c r="C109" s="20" t="inlineStr">
        <is>
          <t>Rotative / oscillante</t>
        </is>
      </c>
      <c r="D109" s="20" t="inlineStr">
        <is>
          <t>Adulte</t>
        </is>
      </c>
      <c r="E109" s="21" t="n">
        <v>6000</v>
      </c>
      <c r="F109" s="21" t="n">
        <v>6000</v>
      </c>
      <c r="G109" s="27" t="inlineStr">
        <is>
          <t>N/D</t>
        </is>
      </c>
      <c r="H109" s="22" t="n">
        <v>60</v>
      </c>
      <c r="I109" s="27" t="inlineStr">
        <is>
          <t>N/D</t>
        </is>
      </c>
      <c r="J109" s="20" t="inlineStr">
        <is>
          <t>Piles (2x AA)</t>
        </is>
      </c>
      <c r="K109" s="20" t="inlineStr">
        <is>
          <t>Piles</t>
        </is>
      </c>
      <c r="L109" s="26" t="inlineStr">
        <is>
          <t>N/D</t>
        </is>
      </c>
      <c r="M109" s="20" t="inlineStr">
        <is>
          <t>IPX6</t>
        </is>
      </c>
      <c r="N109" s="20" t="inlineStr">
        <is>
          <t>Non</t>
        </is>
      </c>
      <c r="O109" s="20" t="inlineStr">
        <is>
          <t>Aucun</t>
        </is>
      </c>
      <c r="P109" s="20" t="inlineStr">
        <is>
          <t>Non</t>
        </is>
      </c>
      <c r="Q109" s="23" t="n">
        <v>87</v>
      </c>
      <c r="R109" s="20" t="inlineStr">
        <is>
          <t>29.8*40.1*206</t>
        </is>
      </c>
      <c r="S109" s="24" t="inlineStr">
        <is>
          <t>Compatible têtes Oral-B, manche antidérapant, design ergonomique</t>
        </is>
      </c>
      <c r="T109" s="25" t="n">
        <v>62</v>
      </c>
      <c r="U109" s="12" t="inlineStr">
        <is>
          <t>Vitality 100 CrossAction</t>
        </is>
      </c>
      <c r="V109" s="12" t="inlineStr">
        <is>
          <t>Oral-B</t>
        </is>
      </c>
      <c r="W109" s="12" t="inlineStr">
        <is>
          <t>Oscillo-rotative (2D)</t>
        </is>
      </c>
      <c r="X109" s="12" t="inlineStr">
        <is>
          <t>7 600 oscillations/min</t>
        </is>
      </c>
      <c r="Y109" s="12" t="inlineStr">
        <is>
          <t>1 mode</t>
        </is>
      </c>
      <c r="Z109" s="29" t="inlineStr">
        <is>
          <t>N/D</t>
        </is>
      </c>
      <c r="AA109" s="29" t="inlineStr">
        <is>
          <t>N/D</t>
        </is>
      </c>
      <c r="AB109" s="12" t="inlineStr">
        <is>
          <t>Non</t>
        </is>
      </c>
      <c r="AC109" s="12" t="inlineStr">
        <is>
          <t>Socle</t>
        </is>
      </c>
      <c r="AD109" s="12" t="inlineStr">
        <is>
          <t>Côte d'Ivoire (Jumia, vérifié)</t>
        </is>
      </c>
      <c r="AE109" s="12" t="inlineStr">
        <is>
          <t>Jumia CI, pharmacies, GMS</t>
        </is>
      </c>
      <c r="AF109" s="13" t="inlineStr">
        <is>
          <t>https://www.oral-b.co.in/en-in/products/electric-toothbrushes/or/vitality-cross-action</t>
        </is>
      </c>
      <c r="AG109" s="13" t="inlineStr">
        <is>
          <t>https://www.jumia.ci/mlp-oral-b-brosse-a-dent/</t>
        </is>
      </c>
      <c r="AH109" s="12" t="inlineStr">
        <is>
          <t>Rapprochement sur la technologie oscillo-rotative d'entrée de gamme. Écart : SEAGO fonctionne sur piles, le concurrent est rechargeable sur socle. Entrée de gamme rotative la plus distribuée. Minuteur 2 min avec quadpacer 30 s.</t>
        </is>
      </c>
      <c r="AI109" s="14" t="n"/>
      <c r="AJ109" s="14" t="n"/>
      <c r="AK109" s="15" t="n"/>
      <c r="AL109" s="16" t="n"/>
      <c r="AM109" s="15" t="n"/>
      <c r="AN109" s="17">
        <f>IF(OR(AJ109="",AI109=""),"",AJ109-AI109)</f>
        <v/>
      </c>
      <c r="AO109" s="18">
        <f>IF(OR(AJ109="",AI109="",AI109=0),"",(AJ109-AI109)/AI109)</f>
        <v/>
      </c>
      <c r="AP109" s="19">
        <f>IF(AO109="","",IF(AO109&lt;-0.05,"Moins cher",IF(AO109&gt;0.05,"Plus cher","Équivalent")))</f>
        <v/>
      </c>
    </row>
    <row r="110">
      <c r="A110" s="5" t="inlineStr">
        <is>
          <t>SG-2603</t>
        </is>
      </c>
      <c r="B110" s="5" t="inlineStr">
        <is>
          <t>Rotating Clean</t>
        </is>
      </c>
      <c r="C110" s="5" t="inlineStr">
        <is>
          <t>Rotative / oscillante</t>
        </is>
      </c>
      <c r="D110" s="5" t="inlineStr">
        <is>
          <t>Adulte</t>
        </is>
      </c>
      <c r="E110" s="6" t="n">
        <v>8000</v>
      </c>
      <c r="F110" s="6" t="n">
        <v>8000</v>
      </c>
      <c r="G110" s="7" t="n">
        <v>5</v>
      </c>
      <c r="H110" s="7" t="n">
        <v>30</v>
      </c>
      <c r="I110" s="7" t="n">
        <v>700</v>
      </c>
      <c r="J110" s="5" t="inlineStr">
        <is>
          <t>Batterie Li-ion rechargeable</t>
        </is>
      </c>
      <c r="K110" s="5" t="inlineStr">
        <is>
          <t>Type-C</t>
        </is>
      </c>
      <c r="L110" s="9" t="n">
        <v>4</v>
      </c>
      <c r="M110" s="5" t="inlineStr">
        <is>
          <t>IPX6</t>
        </is>
      </c>
      <c r="N110" s="5" t="inlineStr">
        <is>
          <t>Non</t>
        </is>
      </c>
      <c r="O110" s="5" t="inlineStr">
        <is>
          <t>Aucun</t>
        </is>
      </c>
      <c r="P110" s="5" t="inlineStr">
        <is>
          <t>Oui</t>
        </is>
      </c>
      <c r="Q110" s="9" t="n">
        <v>103</v>
      </c>
      <c r="R110" s="5" t="inlineStr">
        <is>
          <t>28.3*25.5*237</t>
        </is>
      </c>
      <c r="S110" s="10" t="inlineStr">
        <is>
          <t>Charge rapide 4 h pour 30 jours, tête remplaçable</t>
        </is>
      </c>
      <c r="T110" s="11" t="n">
        <v>63</v>
      </c>
      <c r="U110" s="12" t="inlineStr">
        <is>
          <t>Pro 3 3000</t>
        </is>
      </c>
      <c r="V110" s="12" t="inlineStr">
        <is>
          <t>Oral-B</t>
        </is>
      </c>
      <c r="W110" s="12" t="inlineStr">
        <is>
          <t>Oscillo-rotative</t>
        </is>
      </c>
      <c r="X110" s="12" t="inlineStr">
        <is>
          <t>8 800 oscillations/min</t>
        </is>
      </c>
      <c r="Y110" s="12" t="inlineStr">
        <is>
          <t>2 à 3 modes selon la version régionale</t>
        </is>
      </c>
      <c r="Z110" s="12" t="n">
        <v>14</v>
      </c>
      <c r="AA110" s="29" t="inlineStr">
        <is>
          <t>N/D</t>
        </is>
      </c>
      <c r="AB110" s="12" t="inlineStr">
        <is>
          <t>Oui (voyant lumineux, ralentissement automatique)</t>
        </is>
      </c>
      <c r="AC110" s="12" t="inlineStr">
        <is>
          <t>Socle</t>
        </is>
      </c>
      <c r="AD110" s="12" t="inlineStr">
        <is>
          <t>Non vérifié sur les marchés cibles</t>
        </is>
      </c>
      <c r="AE110" s="12" t="inlineStr">
        <is>
          <t>Amazon UK, pharmacies</t>
        </is>
      </c>
      <c r="AF110" s="13" t="inlineStr">
        <is>
          <t>https://www.amazon.co.uk/Oral-B-CrossAction-Electric-Toothbrush-Rechargeable/dp/B072DTPBHF</t>
        </is>
      </c>
      <c r="AG110" s="13" t="inlineStr">
        <is>
          <t>https://www.electricteeth.com/uk/oral-b-pro-3-3000-review/</t>
        </is>
      </c>
      <c r="AH110" s="12" t="inlineStr">
        <is>
          <t>Rapprochement sur la technologie oscillo-rotative rechargeable multimodes. Nombre de modes variable selon le pays de commercialisation, à confirmer sur la fiche locale.</t>
        </is>
      </c>
      <c r="AI110" s="14" t="n"/>
      <c r="AJ110" s="14" t="n"/>
      <c r="AK110" s="15" t="n"/>
      <c r="AL110" s="16" t="n"/>
      <c r="AM110" s="15" t="n"/>
      <c r="AN110" s="17">
        <f>IF(OR(AJ110="",AI110=""),"",AJ110-AI110)</f>
        <v/>
      </c>
      <c r="AO110" s="18">
        <f>IF(OR(AJ110="",AI110="",AI110=0),"",(AJ110-AI110)/AI110)</f>
        <v/>
      </c>
      <c r="AP110" s="19">
        <f>IF(AO110="","",IF(AO110&lt;-0.05,"Moins cher",IF(AO110&gt;0.05,"Plus cher","Équivalent")))</f>
        <v/>
      </c>
    </row>
    <row r="111">
      <c r="A111" s="20" t="inlineStr">
        <is>
          <t>SG-930</t>
        </is>
      </c>
      <c r="B111" s="20" t="inlineStr">
        <is>
          <t>Rotating Clean</t>
        </is>
      </c>
      <c r="C111" s="20" t="inlineStr">
        <is>
          <t>Rotative / oscillante</t>
        </is>
      </c>
      <c r="D111" s="20" t="inlineStr">
        <is>
          <t>Enfant</t>
        </is>
      </c>
      <c r="E111" s="21" t="n">
        <v>16000</v>
      </c>
      <c r="F111" s="21" t="n">
        <v>16000</v>
      </c>
      <c r="G111" s="27" t="inlineStr">
        <is>
          <t>N/D</t>
        </is>
      </c>
      <c r="H111" s="22" t="n">
        <v>60</v>
      </c>
      <c r="I111" s="27" t="inlineStr">
        <is>
          <t>N/D</t>
        </is>
      </c>
      <c r="J111" s="20" t="inlineStr">
        <is>
          <t>Piles (2x AAA)</t>
        </is>
      </c>
      <c r="K111" s="20" t="inlineStr">
        <is>
          <t>Piles</t>
        </is>
      </c>
      <c r="L111" s="26" t="inlineStr">
        <is>
          <t>N/D</t>
        </is>
      </c>
      <c r="M111" s="20" t="inlineStr">
        <is>
          <t>IPX6</t>
        </is>
      </c>
      <c r="N111" s="20" t="inlineStr">
        <is>
          <t>Non</t>
        </is>
      </c>
      <c r="O111" s="20" t="inlineStr">
        <is>
          <t>Aucun</t>
        </is>
      </c>
      <c r="P111" s="20" t="inlineStr">
        <is>
          <t>Non</t>
        </is>
      </c>
      <c r="Q111" s="23" t="n">
        <v>76</v>
      </c>
      <c r="R111" s="20" t="inlineStr">
        <is>
          <t>29.07*28.6*200.7</t>
        </is>
      </c>
      <c r="S111" s="24" t="inlineStr">
        <is>
          <t>Motifs par transfert thermique, poils souples</t>
        </is>
      </c>
      <c r="T111" s="25" t="n">
        <v>64</v>
      </c>
      <c r="U111" s="12" t="inlineStr">
        <is>
          <t>Kids Battery Disney (Frozen / Princess)</t>
        </is>
      </c>
      <c r="V111" s="12" t="inlineStr">
        <is>
          <t>Oral-B</t>
        </is>
      </c>
      <c r="W111" s="12" t="inlineStr">
        <is>
          <t>Oscillo-rotative enfant</t>
        </is>
      </c>
      <c r="X111" s="12" t="inlineStr">
        <is>
          <t>7 600 oscillations/min</t>
        </is>
      </c>
      <c r="Y111" s="12" t="inlineStr">
        <is>
          <t>1 mode</t>
        </is>
      </c>
      <c r="Z111" s="29" t="inlineStr">
        <is>
          <t>N/D</t>
        </is>
      </c>
      <c r="AA111" s="29" t="inlineStr">
        <is>
          <t>N/D</t>
        </is>
      </c>
      <c r="AB111" s="12" t="inlineStr">
        <is>
          <t>Non</t>
        </is>
      </c>
      <c r="AC111" s="12" t="inlineStr">
        <is>
          <t>2 piles AA</t>
        </is>
      </c>
      <c r="AD111" s="12" t="inlineStr">
        <is>
          <t>Non vérifié sur les marchés cibles</t>
        </is>
      </c>
      <c r="AE111" s="12" t="inlineStr">
        <is>
          <t>Amazon, GMS</t>
        </is>
      </c>
      <c r="AF111" s="13" t="inlineStr">
        <is>
          <t>https://www.amazon.com/Oral-B-Pro-Health-Battery-Toothbrush-featuring/dp/B01AKGRSCG</t>
        </is>
      </c>
      <c r="AG111" s="13" t="inlineStr">
        <is>
          <t>https://oralb.com/en-us/products/more-products/kids-products/kids-battery-toothbrush-featuring-disney-princess/</t>
        </is>
      </c>
      <c r="AH111" s="12" t="inlineStr">
        <is>
          <t>Rapprochement sur la cible enfant et l'alimentation à piles. Tête extra-souple, application Disney Magic Timer. Concurrent direct des SEAGO enfant à piles.</t>
        </is>
      </c>
      <c r="AI111" s="14" t="n"/>
      <c r="AJ111" s="14" t="n"/>
      <c r="AK111" s="15" t="n"/>
      <c r="AL111" s="16" t="n"/>
      <c r="AM111" s="15" t="n"/>
      <c r="AN111" s="17">
        <f>IF(OR(AJ111="",AI111=""),"",AJ111-AI111)</f>
        <v/>
      </c>
      <c r="AO111" s="18">
        <f>IF(OR(AJ111="",AI111="",AI111=0),"",(AJ111-AI111)/AI111)</f>
        <v/>
      </c>
      <c r="AP111" s="19">
        <f>IF(AO111="","",IF(AO111&lt;-0.05,"Moins cher",IF(AO111&gt;0.05,"Plus cher","Équivalent")))</f>
        <v/>
      </c>
    </row>
    <row r="112">
      <c r="A112" s="5" t="inlineStr">
        <is>
          <t>SG-533</t>
        </is>
      </c>
      <c r="B112" s="5" t="inlineStr">
        <is>
          <t>Rotating Clean</t>
        </is>
      </c>
      <c r="C112" s="5" t="inlineStr">
        <is>
          <t>Rotative / oscillante</t>
        </is>
      </c>
      <c r="D112" s="5" t="inlineStr">
        <is>
          <t>Adulte</t>
        </is>
      </c>
      <c r="E112" s="6" t="n">
        <v>9000</v>
      </c>
      <c r="F112" s="6" t="n">
        <v>9000</v>
      </c>
      <c r="G112" s="30" t="inlineStr">
        <is>
          <t>N/D</t>
        </is>
      </c>
      <c r="H112" s="7" t="n">
        <v>75</v>
      </c>
      <c r="I112" s="30" t="inlineStr">
        <is>
          <t>N/D</t>
        </is>
      </c>
      <c r="J112" s="5" t="inlineStr">
        <is>
          <t>Piles (2x AA)</t>
        </is>
      </c>
      <c r="K112" s="5" t="inlineStr">
        <is>
          <t>Piles</t>
        </is>
      </c>
      <c r="L112" s="8" t="inlineStr">
        <is>
          <t>N/D</t>
        </is>
      </c>
      <c r="M112" s="5" t="inlineStr">
        <is>
          <t>IPX6</t>
        </is>
      </c>
      <c r="N112" s="5" t="inlineStr">
        <is>
          <t>Non</t>
        </is>
      </c>
      <c r="O112" s="5" t="inlineStr">
        <is>
          <t>Aucun</t>
        </is>
      </c>
      <c r="P112" s="5" t="inlineStr">
        <is>
          <t>Non</t>
        </is>
      </c>
      <c r="Q112" s="9" t="n">
        <v>80</v>
      </c>
      <c r="R112" s="5" t="inlineStr">
        <is>
          <t>38.8*24.3*198</t>
        </is>
      </c>
      <c r="S112" s="10" t="inlineStr">
        <is>
          <t>Têtes double action, manche antidérapant, poils souples</t>
        </is>
      </c>
      <c r="T112" s="11" t="n">
        <v>64</v>
      </c>
      <c r="U112" s="12" t="inlineStr">
        <is>
          <t>Vitality 100 CrossAction</t>
        </is>
      </c>
      <c r="V112" s="12" t="inlineStr">
        <is>
          <t>Oral-B</t>
        </is>
      </c>
      <c r="W112" s="12" t="inlineStr">
        <is>
          <t>Oscillo-rotative (2D)</t>
        </is>
      </c>
      <c r="X112" s="12" t="inlineStr">
        <is>
          <t>7 600 oscillations/min</t>
        </is>
      </c>
      <c r="Y112" s="12" t="inlineStr">
        <is>
          <t>1 mode</t>
        </is>
      </c>
      <c r="Z112" s="29" t="inlineStr">
        <is>
          <t>N/D</t>
        </is>
      </c>
      <c r="AA112" s="29" t="inlineStr">
        <is>
          <t>N/D</t>
        </is>
      </c>
      <c r="AB112" s="12" t="inlineStr">
        <is>
          <t>Non</t>
        </is>
      </c>
      <c r="AC112" s="12" t="inlineStr">
        <is>
          <t>Socle</t>
        </is>
      </c>
      <c r="AD112" s="12" t="inlineStr">
        <is>
          <t>Côte d'Ivoire (Jumia, vérifié)</t>
        </is>
      </c>
      <c r="AE112" s="12" t="inlineStr">
        <is>
          <t>Jumia CI, pharmacies, GMS</t>
        </is>
      </c>
      <c r="AF112" s="13" t="inlineStr">
        <is>
          <t>https://www.oral-b.co.in/en-in/products/electric-toothbrushes/or/vitality-cross-action</t>
        </is>
      </c>
      <c r="AG112" s="13" t="inlineStr">
        <is>
          <t>https://www.jumia.ci/mlp-oral-b-brosse-a-dent/</t>
        </is>
      </c>
      <c r="AH112" s="12" t="inlineStr">
        <is>
          <t>Rapprochement sur la technologie oscillo-rotative d'entrée de gamme. Écart : SEAGO fonctionne sur piles, le concurrent est rechargeable sur socle. Entrée de gamme rotative la plus distribuée. Minuteur 2 min avec quadpacer 30 s.</t>
        </is>
      </c>
      <c r="AI112" s="14" t="n"/>
      <c r="AJ112" s="14" t="n"/>
      <c r="AK112" s="15" t="n"/>
      <c r="AL112" s="16" t="n"/>
      <c r="AM112" s="15" t="n"/>
      <c r="AN112" s="17">
        <f>IF(OR(AJ112="",AI112=""),"",AJ112-AI112)</f>
        <v/>
      </c>
      <c r="AO112" s="18">
        <f>IF(OR(AJ112="",AI112="",AI112=0),"",(AJ112-AI112)/AI112)</f>
        <v/>
      </c>
      <c r="AP112" s="19">
        <f>IF(AO112="","",IF(AO112&lt;-0.05,"Moins cher",IF(AO112&gt;0.05,"Plus cher","Équivalent")))</f>
        <v/>
      </c>
    </row>
    <row r="113">
      <c r="A113" s="20" t="inlineStr">
        <is>
          <t>SG-587</t>
        </is>
      </c>
      <c r="B113" s="20" t="inlineStr">
        <is>
          <t>Rotating Clean</t>
        </is>
      </c>
      <c r="C113" s="20" t="inlineStr">
        <is>
          <t>Rotative / oscillante</t>
        </is>
      </c>
      <c r="D113" s="20" t="inlineStr">
        <is>
          <t>Enfant</t>
        </is>
      </c>
      <c r="E113" s="21" t="n">
        <v>16000</v>
      </c>
      <c r="F113" s="21" t="n">
        <v>16000</v>
      </c>
      <c r="G113" s="27" t="inlineStr">
        <is>
          <t>N/D</t>
        </is>
      </c>
      <c r="H113" s="22" t="n">
        <v>40</v>
      </c>
      <c r="I113" s="27" t="inlineStr">
        <is>
          <t>N/D</t>
        </is>
      </c>
      <c r="J113" s="20" t="inlineStr">
        <is>
          <t>Piles (2x AAA)</t>
        </is>
      </c>
      <c r="K113" s="20" t="inlineStr">
        <is>
          <t>Piles</t>
        </is>
      </c>
      <c r="L113" s="26" t="inlineStr">
        <is>
          <t>N/D</t>
        </is>
      </c>
      <c r="M113" s="20" t="inlineStr">
        <is>
          <t>IPX6</t>
        </is>
      </c>
      <c r="N113" s="20" t="inlineStr">
        <is>
          <t>Non</t>
        </is>
      </c>
      <c r="O113" s="20" t="inlineStr">
        <is>
          <t>Aucun</t>
        </is>
      </c>
      <c r="P113" s="20" t="inlineStr">
        <is>
          <t>Non</t>
        </is>
      </c>
      <c r="Q113" s="23" t="n">
        <v>55</v>
      </c>
      <c r="R113" s="20" t="inlineStr">
        <is>
          <t>29*29*201</t>
        </is>
      </c>
      <c r="S113" s="24" t="inlineStr">
        <is>
          <t>Motifs par transfert thermique, design ergonomique</t>
        </is>
      </c>
      <c r="T113" s="25" t="n">
        <v>65</v>
      </c>
      <c r="U113" s="12" t="inlineStr">
        <is>
          <t>Kids Battery Disney (Frozen / Princess)</t>
        </is>
      </c>
      <c r="V113" s="12" t="inlineStr">
        <is>
          <t>Oral-B</t>
        </is>
      </c>
      <c r="W113" s="12" t="inlineStr">
        <is>
          <t>Oscillo-rotative enfant</t>
        </is>
      </c>
      <c r="X113" s="12" t="inlineStr">
        <is>
          <t>7 600 oscillations/min</t>
        </is>
      </c>
      <c r="Y113" s="12" t="inlineStr">
        <is>
          <t>1 mode</t>
        </is>
      </c>
      <c r="Z113" s="29" t="inlineStr">
        <is>
          <t>N/D</t>
        </is>
      </c>
      <c r="AA113" s="29" t="inlineStr">
        <is>
          <t>N/D</t>
        </is>
      </c>
      <c r="AB113" s="12" t="inlineStr">
        <is>
          <t>Non</t>
        </is>
      </c>
      <c r="AC113" s="12" t="inlineStr">
        <is>
          <t>2 piles AA</t>
        </is>
      </c>
      <c r="AD113" s="12" t="inlineStr">
        <is>
          <t>Non vérifié sur les marchés cibles</t>
        </is>
      </c>
      <c r="AE113" s="12" t="inlineStr">
        <is>
          <t>Amazon, GMS</t>
        </is>
      </c>
      <c r="AF113" s="13" t="inlineStr">
        <is>
          <t>https://www.amazon.com/Oral-B-Pro-Health-Battery-Toothbrush-featuring/dp/B01AKGRSCG</t>
        </is>
      </c>
      <c r="AG113" s="13" t="inlineStr">
        <is>
          <t>https://oralb.com/en-us/products/more-products/kids-products/kids-battery-toothbrush-featuring-disney-princess/</t>
        </is>
      </c>
      <c r="AH113" s="12" t="inlineStr">
        <is>
          <t>Rapprochement sur la cible enfant et l'alimentation à piles. Tête extra-souple, application Disney Magic Timer. Concurrent direct des SEAGO enfant à piles.</t>
        </is>
      </c>
      <c r="AI113" s="14" t="n"/>
      <c r="AJ113" s="14" t="n"/>
      <c r="AK113" s="15" t="n"/>
      <c r="AL113" s="16" t="n"/>
      <c r="AM113" s="15" t="n"/>
      <c r="AN113" s="17">
        <f>IF(OR(AJ113="",AI113=""),"",AJ113-AI113)</f>
        <v/>
      </c>
      <c r="AO113" s="18">
        <f>IF(OR(AJ113="",AI113="",AI113=0),"",(AJ113-AI113)/AI113)</f>
        <v/>
      </c>
      <c r="AP113" s="19">
        <f>IF(AO113="","",IF(AO113&lt;-0.05,"Moins cher",IF(AO113&gt;0.05,"Plus cher","Équivalent")))</f>
        <v/>
      </c>
    </row>
    <row r="114">
      <c r="A114" s="5" t="inlineStr">
        <is>
          <t>SG-2602</t>
        </is>
      </c>
      <c r="B114" s="5" t="inlineStr">
        <is>
          <t>Rotating Clean</t>
        </is>
      </c>
      <c r="C114" s="5" t="inlineStr">
        <is>
          <t>Rotative / oscillante</t>
        </is>
      </c>
      <c r="D114" s="5" t="inlineStr">
        <is>
          <t>Enfant</t>
        </is>
      </c>
      <c r="E114" s="6" t="n">
        <v>16000</v>
      </c>
      <c r="F114" s="6" t="n">
        <v>16000</v>
      </c>
      <c r="G114" s="30" t="inlineStr">
        <is>
          <t>N/D</t>
        </is>
      </c>
      <c r="H114" s="7" t="n">
        <v>40</v>
      </c>
      <c r="I114" s="30" t="inlineStr">
        <is>
          <t>N/D</t>
        </is>
      </c>
      <c r="J114" s="5" t="inlineStr">
        <is>
          <t>Piles (2x AAA)</t>
        </is>
      </c>
      <c r="K114" s="5" t="inlineStr">
        <is>
          <t>Piles</t>
        </is>
      </c>
      <c r="L114" s="8" t="inlineStr">
        <is>
          <t>N/D</t>
        </is>
      </c>
      <c r="M114" s="5" t="inlineStr">
        <is>
          <t>IPX6</t>
        </is>
      </c>
      <c r="N114" s="5" t="inlineStr">
        <is>
          <t>Non</t>
        </is>
      </c>
      <c r="O114" s="5" t="inlineStr">
        <is>
          <t>Aucun</t>
        </is>
      </c>
      <c r="P114" s="5" t="inlineStr">
        <is>
          <t>Oui</t>
        </is>
      </c>
      <c r="Q114" s="9" t="n">
        <v>65</v>
      </c>
      <c r="R114" s="5" t="inlineStr">
        <is>
          <t>29.8*29.8*219.7</t>
        </is>
      </c>
      <c r="S114" s="10" t="inlineStr">
        <is>
          <t>Motifs par transfert thermique, design ergonomique</t>
        </is>
      </c>
      <c r="T114" s="11" t="n">
        <v>65</v>
      </c>
      <c r="U114" s="12" t="inlineStr">
        <is>
          <t>Kids Battery Disney (Frozen / Princess)</t>
        </is>
      </c>
      <c r="V114" s="12" t="inlineStr">
        <is>
          <t>Oral-B</t>
        </is>
      </c>
      <c r="W114" s="12" t="inlineStr">
        <is>
          <t>Oscillo-rotative enfant</t>
        </is>
      </c>
      <c r="X114" s="12" t="inlineStr">
        <is>
          <t>7 600 oscillations/min</t>
        </is>
      </c>
      <c r="Y114" s="12" t="inlineStr">
        <is>
          <t>1 mode</t>
        </is>
      </c>
      <c r="Z114" s="29" t="inlineStr">
        <is>
          <t>N/D</t>
        </is>
      </c>
      <c r="AA114" s="29" t="inlineStr">
        <is>
          <t>N/D</t>
        </is>
      </c>
      <c r="AB114" s="12" t="inlineStr">
        <is>
          <t>Non</t>
        </is>
      </c>
      <c r="AC114" s="12" t="inlineStr">
        <is>
          <t>2 piles AA</t>
        </is>
      </c>
      <c r="AD114" s="12" t="inlineStr">
        <is>
          <t>Non vérifié sur les marchés cibles</t>
        </is>
      </c>
      <c r="AE114" s="12" t="inlineStr">
        <is>
          <t>Amazon, GMS</t>
        </is>
      </c>
      <c r="AF114" s="13" t="inlineStr">
        <is>
          <t>https://www.amazon.com/Oral-B-Pro-Health-Battery-Toothbrush-featuring/dp/B01AKGRSCG</t>
        </is>
      </c>
      <c r="AG114" s="13" t="inlineStr">
        <is>
          <t>https://oralb.com/en-us/products/more-products/kids-products/kids-battery-toothbrush-featuring-disney-princess/</t>
        </is>
      </c>
      <c r="AH114" s="12" t="inlineStr">
        <is>
          <t>Rapprochement sur la cible enfant et l'alimentation à piles. Tête extra-souple, application Disney Magic Timer. Concurrent direct des SEAGO enfant à piles.</t>
        </is>
      </c>
      <c r="AI114" s="14" t="n"/>
      <c r="AJ114" s="14" t="n"/>
      <c r="AK114" s="15" t="n"/>
      <c r="AL114" s="16" t="n"/>
      <c r="AM114" s="15" t="n"/>
      <c r="AN114" s="17">
        <f>IF(OR(AJ114="",AI114=""),"",AJ114-AI114)</f>
        <v/>
      </c>
      <c r="AO114" s="18">
        <f>IF(OR(AJ114="",AI114="",AI114=0),"",(AJ114-AI114)/AI114)</f>
        <v/>
      </c>
      <c r="AP114" s="19">
        <f>IF(AO114="","",IF(AO114&lt;-0.05,"Moins cher",IF(AO114&gt;0.05,"Plus cher","Équivalent")))</f>
        <v/>
      </c>
    </row>
    <row r="115">
      <c r="A115" s="20" t="inlineStr">
        <is>
          <t>SG-2004</t>
        </is>
      </c>
      <c r="B115" s="20" t="inlineStr">
        <is>
          <t>Rotating Clean</t>
        </is>
      </c>
      <c r="C115" s="20" t="inlineStr">
        <is>
          <t>Rotative / oscillante</t>
        </is>
      </c>
      <c r="D115" s="20" t="inlineStr">
        <is>
          <t>Adulte</t>
        </is>
      </c>
      <c r="E115" s="21" t="n">
        <v>6000</v>
      </c>
      <c r="F115" s="21" t="n">
        <v>6000</v>
      </c>
      <c r="G115" s="27" t="inlineStr">
        <is>
          <t>N/D</t>
        </is>
      </c>
      <c r="H115" s="22" t="n">
        <v>75</v>
      </c>
      <c r="I115" s="27" t="inlineStr">
        <is>
          <t>N/D</t>
        </is>
      </c>
      <c r="J115" s="20" t="inlineStr">
        <is>
          <t>Piles (2x AA)</t>
        </is>
      </c>
      <c r="K115" s="20" t="inlineStr">
        <is>
          <t>Piles</t>
        </is>
      </c>
      <c r="L115" s="26" t="inlineStr">
        <is>
          <t>N/D</t>
        </is>
      </c>
      <c r="M115" s="20" t="inlineStr">
        <is>
          <t>IPX6</t>
        </is>
      </c>
      <c r="N115" s="20" t="inlineStr">
        <is>
          <t>Non</t>
        </is>
      </c>
      <c r="O115" s="20" t="inlineStr">
        <is>
          <t>Aucun</t>
        </is>
      </c>
      <c r="P115" s="20" t="inlineStr">
        <is>
          <t>Oui</t>
        </is>
      </c>
      <c r="Q115" s="23" t="n">
        <v>84</v>
      </c>
      <c r="R115" s="20" t="inlineStr">
        <is>
          <t>40*29.4*173</t>
        </is>
      </c>
      <c r="S115" s="24" t="inlineStr">
        <is>
          <t>Compatible têtes Oral-B, manche antidérapant</t>
        </is>
      </c>
      <c r="T115" s="25" t="n">
        <v>66</v>
      </c>
      <c r="U115" s="12" t="inlineStr">
        <is>
          <t>Vitality 100 CrossAction</t>
        </is>
      </c>
      <c r="V115" s="12" t="inlineStr">
        <is>
          <t>Oral-B</t>
        </is>
      </c>
      <c r="W115" s="12" t="inlineStr">
        <is>
          <t>Oscillo-rotative (2D)</t>
        </is>
      </c>
      <c r="X115" s="12" t="inlineStr">
        <is>
          <t>7 600 oscillations/min</t>
        </is>
      </c>
      <c r="Y115" s="12" t="inlineStr">
        <is>
          <t>1 mode</t>
        </is>
      </c>
      <c r="Z115" s="29" t="inlineStr">
        <is>
          <t>N/D</t>
        </is>
      </c>
      <c r="AA115" s="29" t="inlineStr">
        <is>
          <t>N/D</t>
        </is>
      </c>
      <c r="AB115" s="12" t="inlineStr">
        <is>
          <t>Non</t>
        </is>
      </c>
      <c r="AC115" s="12" t="inlineStr">
        <is>
          <t>Socle</t>
        </is>
      </c>
      <c r="AD115" s="12" t="inlineStr">
        <is>
          <t>Côte d'Ivoire (Jumia, vérifié)</t>
        </is>
      </c>
      <c r="AE115" s="12" t="inlineStr">
        <is>
          <t>Jumia CI, pharmacies, GMS</t>
        </is>
      </c>
      <c r="AF115" s="13" t="inlineStr">
        <is>
          <t>https://www.oral-b.co.in/en-in/products/electric-toothbrushes/or/vitality-cross-action</t>
        </is>
      </c>
      <c r="AG115" s="13" t="inlineStr">
        <is>
          <t>https://www.jumia.ci/mlp-oral-b-brosse-a-dent/</t>
        </is>
      </c>
      <c r="AH115" s="12" t="inlineStr">
        <is>
          <t>Rapprochement sur la technologie oscillo-rotative d'entrée de gamme. Écart : SEAGO fonctionne sur piles, le concurrent est rechargeable sur socle. Entrée de gamme rotative la plus distribuée. Minuteur 2 min avec quadpacer 30 s.</t>
        </is>
      </c>
      <c r="AI115" s="14" t="n"/>
      <c r="AJ115" s="14" t="n"/>
      <c r="AK115" s="15" t="n"/>
      <c r="AL115" s="16" t="n"/>
      <c r="AM115" s="15" t="n"/>
      <c r="AN115" s="17">
        <f>IF(OR(AJ115="",AI115=""),"",AJ115-AI115)</f>
        <v/>
      </c>
      <c r="AO115" s="18">
        <f>IF(OR(AJ115="",AI115="",AI115=0),"",(AJ115-AI115)/AI115)</f>
        <v/>
      </c>
      <c r="AP115" s="19">
        <f>IF(AO115="","",IF(AO115&lt;-0.05,"Moins cher",IF(AO115&gt;0.05,"Plus cher","Équivalent")))</f>
        <v/>
      </c>
    </row>
    <row r="116">
      <c r="A116" s="5" t="inlineStr">
        <is>
          <t>SG-913B</t>
        </is>
      </c>
      <c r="B116" s="5" t="inlineStr">
        <is>
          <t>Rotating Clean</t>
        </is>
      </c>
      <c r="C116" s="5" t="inlineStr">
        <is>
          <t>Rotative / oscillante</t>
        </is>
      </c>
      <c r="D116" s="5" t="inlineStr">
        <is>
          <t>Adulte</t>
        </is>
      </c>
      <c r="E116" s="6" t="n">
        <v>8800</v>
      </c>
      <c r="F116" s="6" t="n">
        <v>8800</v>
      </c>
      <c r="G116" s="7" t="n">
        <v>4</v>
      </c>
      <c r="H116" s="7" t="n">
        <v>21</v>
      </c>
      <c r="I116" s="7" t="n">
        <v>700</v>
      </c>
      <c r="J116" s="5" t="inlineStr">
        <is>
          <t>Batterie Li-ion rechargeable</t>
        </is>
      </c>
      <c r="K116" s="5" t="inlineStr">
        <is>
          <t>USB</t>
        </is>
      </c>
      <c r="L116" s="8" t="inlineStr">
        <is>
          <t>N/D</t>
        </is>
      </c>
      <c r="M116" s="5" t="inlineStr">
        <is>
          <t>IPX6</t>
        </is>
      </c>
      <c r="N116" s="5" t="inlineStr">
        <is>
          <t>Non</t>
        </is>
      </c>
      <c r="O116" s="5" t="inlineStr">
        <is>
          <t>Aucun</t>
        </is>
      </c>
      <c r="P116" s="5" t="inlineStr">
        <is>
          <t>Oui</t>
        </is>
      </c>
      <c r="Q116" s="9" t="n">
        <v>105</v>
      </c>
      <c r="R116" s="5" t="inlineStr">
        <is>
          <t>28.1*26.3*225</t>
        </is>
      </c>
      <c r="S116" s="10" t="inlineStr">
        <is>
          <t>4 modes (clean, soft, pulse, massage), compatible têtes Oral-B, design ergonomique</t>
        </is>
      </c>
      <c r="T116" s="11" t="n">
        <v>66</v>
      </c>
      <c r="U116" s="12" t="inlineStr">
        <is>
          <t>Pro 3 3000</t>
        </is>
      </c>
      <c r="V116" s="12" t="inlineStr">
        <is>
          <t>Oral-B</t>
        </is>
      </c>
      <c r="W116" s="12" t="inlineStr">
        <is>
          <t>Oscillo-rotative</t>
        </is>
      </c>
      <c r="X116" s="12" t="inlineStr">
        <is>
          <t>8 800 oscillations/min</t>
        </is>
      </c>
      <c r="Y116" s="12" t="inlineStr">
        <is>
          <t>2 à 3 modes selon la version régionale</t>
        </is>
      </c>
      <c r="Z116" s="12" t="n">
        <v>14</v>
      </c>
      <c r="AA116" s="29" t="inlineStr">
        <is>
          <t>N/D</t>
        </is>
      </c>
      <c r="AB116" s="12" t="inlineStr">
        <is>
          <t>Oui (voyant lumineux, ralentissement automatique)</t>
        </is>
      </c>
      <c r="AC116" s="12" t="inlineStr">
        <is>
          <t>Socle</t>
        </is>
      </c>
      <c r="AD116" s="12" t="inlineStr">
        <is>
          <t>Non vérifié sur les marchés cibles</t>
        </is>
      </c>
      <c r="AE116" s="12" t="inlineStr">
        <is>
          <t>Amazon UK, pharmacies</t>
        </is>
      </c>
      <c r="AF116" s="13" t="inlineStr">
        <is>
          <t>https://www.amazon.co.uk/Oral-B-CrossAction-Electric-Toothbrush-Rechargeable/dp/B072DTPBHF</t>
        </is>
      </c>
      <c r="AG116" s="13" t="inlineStr">
        <is>
          <t>https://www.electricteeth.com/uk/oral-b-pro-3-3000-review/</t>
        </is>
      </c>
      <c r="AH116" s="12" t="inlineStr">
        <is>
          <t>Rapprochement sur la technologie oscillo-rotative rechargeable multimodes. Nombre de modes variable selon le pays de commercialisation, à confirmer sur la fiche locale.</t>
        </is>
      </c>
      <c r="AI116" s="14" t="n"/>
      <c r="AJ116" s="14" t="n"/>
      <c r="AK116" s="15" t="n"/>
      <c r="AL116" s="16" t="n"/>
      <c r="AM116" s="15" t="n"/>
      <c r="AN116" s="17">
        <f>IF(OR(AJ116="",AI116=""),"",AJ116-AI116)</f>
        <v/>
      </c>
      <c r="AO116" s="18">
        <f>IF(OR(AJ116="",AI116="",AI116=0),"",(AJ116-AI116)/AI116)</f>
        <v/>
      </c>
      <c r="AP116" s="19">
        <f>IF(AO116="","",IF(AO116&lt;-0.05,"Moins cher",IF(AO116&gt;0.05,"Plus cher","Équivalent")))</f>
        <v/>
      </c>
    </row>
    <row r="117">
      <c r="A117" s="20" t="inlineStr">
        <is>
          <t>SG-913A</t>
        </is>
      </c>
      <c r="B117" s="20" t="inlineStr">
        <is>
          <t>Rotating Clean</t>
        </is>
      </c>
      <c r="C117" s="20" t="inlineStr">
        <is>
          <t>Rotative / oscillante</t>
        </is>
      </c>
      <c r="D117" s="20" t="inlineStr">
        <is>
          <t>Adulte</t>
        </is>
      </c>
      <c r="E117" s="21" t="n">
        <v>8800</v>
      </c>
      <c r="F117" s="21" t="n">
        <v>8800</v>
      </c>
      <c r="G117" s="22" t="n">
        <v>4</v>
      </c>
      <c r="H117" s="22" t="n">
        <v>21</v>
      </c>
      <c r="I117" s="22" t="n">
        <v>700</v>
      </c>
      <c r="J117" s="20" t="inlineStr">
        <is>
          <t>Batterie Li-ion rechargeable</t>
        </is>
      </c>
      <c r="K117" s="20" t="inlineStr">
        <is>
          <t>USB + sans fil</t>
        </is>
      </c>
      <c r="L117" s="26" t="inlineStr">
        <is>
          <t>N/D</t>
        </is>
      </c>
      <c r="M117" s="20" t="inlineStr">
        <is>
          <t>IPX6</t>
        </is>
      </c>
      <c r="N117" s="20" t="inlineStr">
        <is>
          <t>Non</t>
        </is>
      </c>
      <c r="O117" s="20" t="inlineStr">
        <is>
          <t>Aucun</t>
        </is>
      </c>
      <c r="P117" s="20" t="inlineStr">
        <is>
          <t>Oui</t>
        </is>
      </c>
      <c r="Q117" s="23" t="n">
        <v>105</v>
      </c>
      <c r="R117" s="20" t="inlineStr">
        <is>
          <t>28.1*26.3*225</t>
        </is>
      </c>
      <c r="S117" s="24" t="inlineStr">
        <is>
          <t>4 modes (clean, soft, pulse, massage), charge sans fil, compatible têtes Oral-B</t>
        </is>
      </c>
      <c r="T117" s="25" t="n">
        <v>67</v>
      </c>
      <c r="U117" s="12" t="inlineStr">
        <is>
          <t>Pro 3 3000</t>
        </is>
      </c>
      <c r="V117" s="12" t="inlineStr">
        <is>
          <t>Oral-B</t>
        </is>
      </c>
      <c r="W117" s="12" t="inlineStr">
        <is>
          <t>Oscillo-rotative</t>
        </is>
      </c>
      <c r="X117" s="12" t="inlineStr">
        <is>
          <t>8 800 oscillations/min</t>
        </is>
      </c>
      <c r="Y117" s="12" t="inlineStr">
        <is>
          <t>2 à 3 modes selon la version régionale</t>
        </is>
      </c>
      <c r="Z117" s="12" t="n">
        <v>14</v>
      </c>
      <c r="AA117" s="29" t="inlineStr">
        <is>
          <t>N/D</t>
        </is>
      </c>
      <c r="AB117" s="12" t="inlineStr">
        <is>
          <t>Oui (voyant lumineux, ralentissement automatique)</t>
        </is>
      </c>
      <c r="AC117" s="12" t="inlineStr">
        <is>
          <t>Socle</t>
        </is>
      </c>
      <c r="AD117" s="12" t="inlineStr">
        <is>
          <t>Non vérifié sur les marchés cibles</t>
        </is>
      </c>
      <c r="AE117" s="12" t="inlineStr">
        <is>
          <t>Amazon UK, pharmacies</t>
        </is>
      </c>
      <c r="AF117" s="13" t="inlineStr">
        <is>
          <t>https://www.amazon.co.uk/Oral-B-CrossAction-Electric-Toothbrush-Rechargeable/dp/B072DTPBHF</t>
        </is>
      </c>
      <c r="AG117" s="13" t="inlineStr">
        <is>
          <t>https://www.electricteeth.com/uk/oral-b-pro-3-3000-review/</t>
        </is>
      </c>
      <c r="AH117" s="12" t="inlineStr">
        <is>
          <t>Rapprochement sur la technologie oscillo-rotative rechargeable multimodes. Nombre de modes variable selon le pays de commercialisation, à confirmer sur la fiche locale.</t>
        </is>
      </c>
      <c r="AI117" s="14" t="n"/>
      <c r="AJ117" s="14" t="n"/>
      <c r="AK117" s="15" t="n"/>
      <c r="AL117" s="16" t="n"/>
      <c r="AM117" s="15" t="n"/>
      <c r="AN117" s="17">
        <f>IF(OR(AJ117="",AI117=""),"",AJ117-AI117)</f>
        <v/>
      </c>
      <c r="AO117" s="18">
        <f>IF(OR(AJ117="",AI117="",AI117=0),"",(AJ117-AI117)/AI117)</f>
        <v/>
      </c>
      <c r="AP117" s="19">
        <f>IF(AO117="","",IF(AO117&lt;-0.05,"Moins cher",IF(AO117&gt;0.05,"Plus cher","Équivalent")))</f>
        <v/>
      </c>
    </row>
    <row r="118">
      <c r="A118" s="33" t="n"/>
      <c r="B118" s="33" t="n"/>
      <c r="C118" s="33" t="n"/>
      <c r="D118" s="33" t="n"/>
      <c r="E118" s="33" t="n"/>
      <c r="F118" s="33" t="n"/>
      <c r="G118" s="33" t="n"/>
      <c r="H118" s="33" t="n"/>
      <c r="I118" s="33" t="n"/>
      <c r="J118" s="33" t="n"/>
      <c r="K118" s="33" t="n"/>
      <c r="L118" s="33" t="n"/>
      <c r="M118" s="33" t="n"/>
      <c r="N118" s="33" t="n"/>
      <c r="O118" s="33" t="n"/>
      <c r="P118" s="33" t="n"/>
      <c r="Q118" s="33" t="n"/>
      <c r="R118" s="33" t="n"/>
      <c r="S118" s="33" t="n"/>
      <c r="T118" s="33" t="n"/>
      <c r="U118" s="34" t="n"/>
      <c r="V118" s="34" t="n"/>
      <c r="W118" s="34" t="n"/>
      <c r="X118" s="34" t="n"/>
      <c r="Y118" s="34" t="n"/>
      <c r="Z118" s="34" t="n"/>
      <c r="AA118" s="34" t="n"/>
      <c r="AB118" s="34" t="n"/>
      <c r="AC118" s="34" t="n"/>
      <c r="AD118" s="34" t="n"/>
      <c r="AE118" s="34" t="n"/>
      <c r="AF118" s="34" t="n"/>
      <c r="AG118" s="34" t="n"/>
      <c r="AH118" s="34" t="n"/>
      <c r="AI118" s="14" t="n"/>
      <c r="AJ118" s="14" t="n"/>
      <c r="AK118" s="15" t="n"/>
      <c r="AL118" s="16" t="n"/>
      <c r="AM118" s="15" t="n"/>
      <c r="AN118" s="17">
        <f>IF(OR(AJ118="",AI118=""),"",AJ118-AI118)</f>
        <v/>
      </c>
      <c r="AO118" s="18">
        <f>IF(OR(AJ118="",AI118="",AI118=0),"",(AJ118-AI118)/AI118)</f>
        <v/>
      </c>
      <c r="AP118" s="19">
        <f>IF(AO118="","",IF(AO118&lt;-0.05,"Moins cher",IF(AO118&gt;0.05,"Plus cher","Équivalent")))</f>
        <v/>
      </c>
    </row>
    <row r="119">
      <c r="A119" s="33" t="n"/>
      <c r="B119" s="33" t="n"/>
      <c r="C119" s="33" t="n"/>
      <c r="D119" s="33" t="n"/>
      <c r="E119" s="33" t="n"/>
      <c r="F119" s="33" t="n"/>
      <c r="G119" s="33" t="n"/>
      <c r="H119" s="33" t="n"/>
      <c r="I119" s="33" t="n"/>
      <c r="J119" s="33" t="n"/>
      <c r="K119" s="33" t="n"/>
      <c r="L119" s="33" t="n"/>
      <c r="M119" s="33" t="n"/>
      <c r="N119" s="33" t="n"/>
      <c r="O119" s="33" t="n"/>
      <c r="P119" s="33" t="n"/>
      <c r="Q119" s="33" t="n"/>
      <c r="R119" s="33" t="n"/>
      <c r="S119" s="33" t="n"/>
      <c r="T119" s="33" t="n"/>
      <c r="U119" s="34" t="n"/>
      <c r="V119" s="34" t="n"/>
      <c r="W119" s="34" t="n"/>
      <c r="X119" s="34" t="n"/>
      <c r="Y119" s="34" t="n"/>
      <c r="Z119" s="34" t="n"/>
      <c r="AA119" s="34" t="n"/>
      <c r="AB119" s="34" t="n"/>
      <c r="AC119" s="34" t="n"/>
      <c r="AD119" s="34" t="n"/>
      <c r="AE119" s="34" t="n"/>
      <c r="AF119" s="34" t="n"/>
      <c r="AG119" s="34" t="n"/>
      <c r="AH119" s="34" t="n"/>
      <c r="AI119" s="14" t="n"/>
      <c r="AJ119" s="14" t="n"/>
      <c r="AK119" s="15" t="n"/>
      <c r="AL119" s="16" t="n"/>
      <c r="AM119" s="15" t="n"/>
      <c r="AN119" s="17">
        <f>IF(OR(AJ119="",AI119=""),"",AJ119-AI119)</f>
        <v/>
      </c>
      <c r="AO119" s="18">
        <f>IF(OR(AJ119="",AI119="",AI119=0),"",(AJ119-AI119)/AI119)</f>
        <v/>
      </c>
      <c r="AP119" s="19">
        <f>IF(AO119="","",IF(AO119&lt;-0.05,"Moins cher",IF(AO119&gt;0.05,"Plus cher","Équivalent")))</f>
        <v/>
      </c>
    </row>
    <row r="120">
      <c r="A120" s="33" t="n"/>
      <c r="B120" s="33" t="n"/>
      <c r="C120" s="33" t="n"/>
      <c r="D120" s="33" t="n"/>
      <c r="E120" s="33" t="n"/>
      <c r="F120" s="33" t="n"/>
      <c r="G120" s="33" t="n"/>
      <c r="H120" s="33" t="n"/>
      <c r="I120" s="33" t="n"/>
      <c r="J120" s="33" t="n"/>
      <c r="K120" s="33" t="n"/>
      <c r="L120" s="33" t="n"/>
      <c r="M120" s="33" t="n"/>
      <c r="N120" s="33" t="n"/>
      <c r="O120" s="33" t="n"/>
      <c r="P120" s="33" t="n"/>
      <c r="Q120" s="33" t="n"/>
      <c r="R120" s="33" t="n"/>
      <c r="S120" s="33" t="n"/>
      <c r="T120" s="33" t="n"/>
      <c r="U120" s="34" t="n"/>
      <c r="V120" s="34" t="n"/>
      <c r="W120" s="34" t="n"/>
      <c r="X120" s="34" t="n"/>
      <c r="Y120" s="34" t="n"/>
      <c r="Z120" s="34" t="n"/>
      <c r="AA120" s="34" t="n"/>
      <c r="AB120" s="34" t="n"/>
      <c r="AC120" s="34" t="n"/>
      <c r="AD120" s="34" t="n"/>
      <c r="AE120" s="34" t="n"/>
      <c r="AF120" s="34" t="n"/>
      <c r="AG120" s="34" t="n"/>
      <c r="AH120" s="34" t="n"/>
      <c r="AI120" s="14" t="n"/>
      <c r="AJ120" s="14" t="n"/>
      <c r="AK120" s="15" t="n"/>
      <c r="AL120" s="16" t="n"/>
      <c r="AM120" s="15" t="n"/>
      <c r="AN120" s="17">
        <f>IF(OR(AJ120="",AI120=""),"",AJ120-AI120)</f>
        <v/>
      </c>
      <c r="AO120" s="18">
        <f>IF(OR(AJ120="",AI120="",AI120=0),"",(AJ120-AI120)/AI120)</f>
        <v/>
      </c>
      <c r="AP120" s="19">
        <f>IF(AO120="","",IF(AO120&lt;-0.05,"Moins cher",IF(AO120&gt;0.05,"Plus cher","Équivalent")))</f>
        <v/>
      </c>
    </row>
    <row r="121">
      <c r="A121" s="33" t="n"/>
      <c r="B121" s="33" t="n"/>
      <c r="C121" s="33" t="n"/>
      <c r="D121" s="33" t="n"/>
      <c r="E121" s="33" t="n"/>
      <c r="F121" s="33" t="n"/>
      <c r="G121" s="33" t="n"/>
      <c r="H121" s="33" t="n"/>
      <c r="I121" s="33" t="n"/>
      <c r="J121" s="33" t="n"/>
      <c r="K121" s="33" t="n"/>
      <c r="L121" s="33" t="n"/>
      <c r="M121" s="33" t="n"/>
      <c r="N121" s="33" t="n"/>
      <c r="O121" s="33" t="n"/>
      <c r="P121" s="33" t="n"/>
      <c r="Q121" s="33" t="n"/>
      <c r="R121" s="33" t="n"/>
      <c r="S121" s="33" t="n"/>
      <c r="T121" s="33" t="n"/>
      <c r="U121" s="34" t="n"/>
      <c r="V121" s="34" t="n"/>
      <c r="W121" s="34" t="n"/>
      <c r="X121" s="34" t="n"/>
      <c r="Y121" s="34" t="n"/>
      <c r="Z121" s="34" t="n"/>
      <c r="AA121" s="34" t="n"/>
      <c r="AB121" s="34" t="n"/>
      <c r="AC121" s="34" t="n"/>
      <c r="AD121" s="34" t="n"/>
      <c r="AE121" s="34" t="n"/>
      <c r="AF121" s="34" t="n"/>
      <c r="AG121" s="34" t="n"/>
      <c r="AH121" s="34" t="n"/>
      <c r="AI121" s="14" t="n"/>
      <c r="AJ121" s="14" t="n"/>
      <c r="AK121" s="15" t="n"/>
      <c r="AL121" s="16" t="n"/>
      <c r="AM121" s="15" t="n"/>
      <c r="AN121" s="17">
        <f>IF(OR(AJ121="",AI121=""),"",AJ121-AI121)</f>
        <v/>
      </c>
      <c r="AO121" s="18">
        <f>IF(OR(AJ121="",AI121="",AI121=0),"",(AJ121-AI121)/AI121)</f>
        <v/>
      </c>
      <c r="AP121" s="19">
        <f>IF(AO121="","",IF(AO121&lt;-0.05,"Moins cher",IF(AO121&gt;0.05,"Plus cher","Équivalent")))</f>
        <v/>
      </c>
    </row>
    <row r="122">
      <c r="A122" s="33" t="n"/>
      <c r="B122" s="33" t="n"/>
      <c r="C122" s="33" t="n"/>
      <c r="D122" s="33" t="n"/>
      <c r="E122" s="33" t="n"/>
      <c r="F122" s="33" t="n"/>
      <c r="G122" s="33" t="n"/>
      <c r="H122" s="33" t="n"/>
      <c r="I122" s="33" t="n"/>
      <c r="J122" s="33" t="n"/>
      <c r="K122" s="33" t="n"/>
      <c r="L122" s="33" t="n"/>
      <c r="M122" s="33" t="n"/>
      <c r="N122" s="33" t="n"/>
      <c r="O122" s="33" t="n"/>
      <c r="P122" s="33" t="n"/>
      <c r="Q122" s="33" t="n"/>
      <c r="R122" s="33" t="n"/>
      <c r="S122" s="33" t="n"/>
      <c r="T122" s="33" t="n"/>
      <c r="U122" s="34" t="n"/>
      <c r="V122" s="34" t="n"/>
      <c r="W122" s="34" t="n"/>
      <c r="X122" s="34" t="n"/>
      <c r="Y122" s="34" t="n"/>
      <c r="Z122" s="34" t="n"/>
      <c r="AA122" s="34" t="n"/>
      <c r="AB122" s="34" t="n"/>
      <c r="AC122" s="34" t="n"/>
      <c r="AD122" s="34" t="n"/>
      <c r="AE122" s="34" t="n"/>
      <c r="AF122" s="34" t="n"/>
      <c r="AG122" s="34" t="n"/>
      <c r="AH122" s="34" t="n"/>
      <c r="AI122" s="14" t="n"/>
      <c r="AJ122" s="14" t="n"/>
      <c r="AK122" s="15" t="n"/>
      <c r="AL122" s="16" t="n"/>
      <c r="AM122" s="15" t="n"/>
      <c r="AN122" s="17">
        <f>IF(OR(AJ122="",AI122=""),"",AJ122-AI122)</f>
        <v/>
      </c>
      <c r="AO122" s="18">
        <f>IF(OR(AJ122="",AI122="",AI122=0),"",(AJ122-AI122)/AI122)</f>
        <v/>
      </c>
      <c r="AP122" s="19">
        <f>IF(AO122="","",IF(AO122&lt;-0.05,"Moins cher",IF(AO122&gt;0.05,"Plus cher","Équivalent")))</f>
        <v/>
      </c>
    </row>
    <row r="123">
      <c r="A123" s="33" t="n"/>
      <c r="B123" s="33" t="n"/>
      <c r="C123" s="33" t="n"/>
      <c r="D123" s="33" t="n"/>
      <c r="E123" s="33" t="n"/>
      <c r="F123" s="33" t="n"/>
      <c r="G123" s="33" t="n"/>
      <c r="H123" s="33" t="n"/>
      <c r="I123" s="33" t="n"/>
      <c r="J123" s="33" t="n"/>
      <c r="K123" s="33" t="n"/>
      <c r="L123" s="33" t="n"/>
      <c r="M123" s="33" t="n"/>
      <c r="N123" s="33" t="n"/>
      <c r="O123" s="33" t="n"/>
      <c r="P123" s="33" t="n"/>
      <c r="Q123" s="33" t="n"/>
      <c r="R123" s="33" t="n"/>
      <c r="S123" s="33" t="n"/>
      <c r="T123" s="33" t="n"/>
      <c r="U123" s="34" t="n"/>
      <c r="V123" s="34" t="n"/>
      <c r="W123" s="34" t="n"/>
      <c r="X123" s="34" t="n"/>
      <c r="Y123" s="34" t="n"/>
      <c r="Z123" s="34" t="n"/>
      <c r="AA123" s="34" t="n"/>
      <c r="AB123" s="34" t="n"/>
      <c r="AC123" s="34" t="n"/>
      <c r="AD123" s="34" t="n"/>
      <c r="AE123" s="34" t="n"/>
      <c r="AF123" s="34" t="n"/>
      <c r="AG123" s="34" t="n"/>
      <c r="AH123" s="34" t="n"/>
      <c r="AI123" s="14" t="n"/>
      <c r="AJ123" s="14" t="n"/>
      <c r="AK123" s="15" t="n"/>
      <c r="AL123" s="16" t="n"/>
      <c r="AM123" s="15" t="n"/>
      <c r="AN123" s="17">
        <f>IF(OR(AJ123="",AI123=""),"",AJ123-AI123)</f>
        <v/>
      </c>
      <c r="AO123" s="18">
        <f>IF(OR(AJ123="",AI123="",AI123=0),"",(AJ123-AI123)/AI123)</f>
        <v/>
      </c>
      <c r="AP123" s="19">
        <f>IF(AO123="","",IF(AO123&lt;-0.05,"Moins cher",IF(AO123&gt;0.05,"Plus cher","Équivalent")))</f>
        <v/>
      </c>
    </row>
    <row r="124">
      <c r="A124" s="33" t="n"/>
      <c r="B124" s="33" t="n"/>
      <c r="C124" s="33" t="n"/>
      <c r="D124" s="33" t="n"/>
      <c r="E124" s="33" t="n"/>
      <c r="F124" s="33" t="n"/>
      <c r="G124" s="33" t="n"/>
      <c r="H124" s="33" t="n"/>
      <c r="I124" s="33" t="n"/>
      <c r="J124" s="33" t="n"/>
      <c r="K124" s="33" t="n"/>
      <c r="L124" s="33" t="n"/>
      <c r="M124" s="33" t="n"/>
      <c r="N124" s="33" t="n"/>
      <c r="O124" s="33" t="n"/>
      <c r="P124" s="33" t="n"/>
      <c r="Q124" s="33" t="n"/>
      <c r="R124" s="33" t="n"/>
      <c r="S124" s="33" t="n"/>
      <c r="T124" s="33" t="n"/>
      <c r="U124" s="34" t="n"/>
      <c r="V124" s="34" t="n"/>
      <c r="W124" s="34" t="n"/>
      <c r="X124" s="34" t="n"/>
      <c r="Y124" s="34" t="n"/>
      <c r="Z124" s="34" t="n"/>
      <c r="AA124" s="34" t="n"/>
      <c r="AB124" s="34" t="n"/>
      <c r="AC124" s="34" t="n"/>
      <c r="AD124" s="34" t="n"/>
      <c r="AE124" s="34" t="n"/>
      <c r="AF124" s="34" t="n"/>
      <c r="AG124" s="34" t="n"/>
      <c r="AH124" s="34" t="n"/>
      <c r="AI124" s="14" t="n"/>
      <c r="AJ124" s="14" t="n"/>
      <c r="AK124" s="15" t="n"/>
      <c r="AL124" s="16" t="n"/>
      <c r="AM124" s="15" t="n"/>
      <c r="AN124" s="17">
        <f>IF(OR(AJ124="",AI124=""),"",AJ124-AI124)</f>
        <v/>
      </c>
      <c r="AO124" s="18">
        <f>IF(OR(AJ124="",AI124="",AI124=0),"",(AJ124-AI124)/AI124)</f>
        <v/>
      </c>
      <c r="AP124" s="19">
        <f>IF(AO124="","",IF(AO124&lt;-0.05,"Moins cher",IF(AO124&gt;0.05,"Plus cher","Équivalent")))</f>
        <v/>
      </c>
    </row>
    <row r="125">
      <c r="A125" s="33" t="n"/>
      <c r="B125" s="33" t="n"/>
      <c r="C125" s="33" t="n"/>
      <c r="D125" s="33" t="n"/>
      <c r="E125" s="33" t="n"/>
      <c r="F125" s="33" t="n"/>
      <c r="G125" s="33" t="n"/>
      <c r="H125" s="33" t="n"/>
      <c r="I125" s="33" t="n"/>
      <c r="J125" s="33" t="n"/>
      <c r="K125" s="33" t="n"/>
      <c r="L125" s="33" t="n"/>
      <c r="M125" s="33" t="n"/>
      <c r="N125" s="33" t="n"/>
      <c r="O125" s="33" t="n"/>
      <c r="P125" s="33" t="n"/>
      <c r="Q125" s="33" t="n"/>
      <c r="R125" s="33" t="n"/>
      <c r="S125" s="33" t="n"/>
      <c r="T125" s="33" t="n"/>
      <c r="U125" s="34" t="n"/>
      <c r="V125" s="34" t="n"/>
      <c r="W125" s="34" t="n"/>
      <c r="X125" s="34" t="n"/>
      <c r="Y125" s="34" t="n"/>
      <c r="Z125" s="34" t="n"/>
      <c r="AA125" s="34" t="n"/>
      <c r="AB125" s="34" t="n"/>
      <c r="AC125" s="34" t="n"/>
      <c r="AD125" s="34" t="n"/>
      <c r="AE125" s="34" t="n"/>
      <c r="AF125" s="34" t="n"/>
      <c r="AG125" s="34" t="n"/>
      <c r="AH125" s="34" t="n"/>
      <c r="AI125" s="14" t="n"/>
      <c r="AJ125" s="14" t="n"/>
      <c r="AK125" s="15" t="n"/>
      <c r="AL125" s="16" t="n"/>
      <c r="AM125" s="15" t="n"/>
      <c r="AN125" s="17">
        <f>IF(OR(AJ125="",AI125=""),"",AJ125-AI125)</f>
        <v/>
      </c>
      <c r="AO125" s="18">
        <f>IF(OR(AJ125="",AI125="",AI125=0),"",(AJ125-AI125)/AI125)</f>
        <v/>
      </c>
      <c r="AP125" s="19">
        <f>IF(AO125="","",IF(AO125&lt;-0.05,"Moins cher",IF(AO125&gt;0.05,"Plus cher","Équivalent")))</f>
        <v/>
      </c>
    </row>
    <row r="126">
      <c r="A126" s="33" t="n"/>
      <c r="B126" s="33" t="n"/>
      <c r="C126" s="33" t="n"/>
      <c r="D126" s="33" t="n"/>
      <c r="E126" s="33" t="n"/>
      <c r="F126" s="33" t="n"/>
      <c r="G126" s="33" t="n"/>
      <c r="H126" s="33" t="n"/>
      <c r="I126" s="33" t="n"/>
      <c r="J126" s="33" t="n"/>
      <c r="K126" s="33" t="n"/>
      <c r="L126" s="33" t="n"/>
      <c r="M126" s="33" t="n"/>
      <c r="N126" s="33" t="n"/>
      <c r="O126" s="33" t="n"/>
      <c r="P126" s="33" t="n"/>
      <c r="Q126" s="33" t="n"/>
      <c r="R126" s="33" t="n"/>
      <c r="S126" s="33" t="n"/>
      <c r="T126" s="33" t="n"/>
      <c r="U126" s="34" t="n"/>
      <c r="V126" s="34" t="n"/>
      <c r="W126" s="34" t="n"/>
      <c r="X126" s="34" t="n"/>
      <c r="Y126" s="34" t="n"/>
      <c r="Z126" s="34" t="n"/>
      <c r="AA126" s="34" t="n"/>
      <c r="AB126" s="34" t="n"/>
      <c r="AC126" s="34" t="n"/>
      <c r="AD126" s="34" t="n"/>
      <c r="AE126" s="34" t="n"/>
      <c r="AF126" s="34" t="n"/>
      <c r="AG126" s="34" t="n"/>
      <c r="AH126" s="34" t="n"/>
      <c r="AI126" s="14" t="n"/>
      <c r="AJ126" s="14" t="n"/>
      <c r="AK126" s="15" t="n"/>
      <c r="AL126" s="16" t="n"/>
      <c r="AM126" s="15" t="n"/>
      <c r="AN126" s="17">
        <f>IF(OR(AJ126="",AI126=""),"",AJ126-AI126)</f>
        <v/>
      </c>
      <c r="AO126" s="18">
        <f>IF(OR(AJ126="",AI126="",AI126=0),"",(AJ126-AI126)/AI126)</f>
        <v/>
      </c>
      <c r="AP126" s="19">
        <f>IF(AO126="","",IF(AO126&lt;-0.05,"Moins cher",IF(AO126&gt;0.05,"Plus cher","Équivalent")))</f>
        <v/>
      </c>
    </row>
    <row r="127">
      <c r="A127" s="33" t="n"/>
      <c r="B127" s="33" t="n"/>
      <c r="C127" s="33" t="n"/>
      <c r="D127" s="33" t="n"/>
      <c r="E127" s="33" t="n"/>
      <c r="F127" s="33" t="n"/>
      <c r="G127" s="33" t="n"/>
      <c r="H127" s="33" t="n"/>
      <c r="I127" s="33" t="n"/>
      <c r="J127" s="33" t="n"/>
      <c r="K127" s="33" t="n"/>
      <c r="L127" s="33" t="n"/>
      <c r="M127" s="33" t="n"/>
      <c r="N127" s="33" t="n"/>
      <c r="O127" s="33" t="n"/>
      <c r="P127" s="33" t="n"/>
      <c r="Q127" s="33" t="n"/>
      <c r="R127" s="33" t="n"/>
      <c r="S127" s="33" t="n"/>
      <c r="T127" s="33" t="n"/>
      <c r="U127" s="34" t="n"/>
      <c r="V127" s="34" t="n"/>
      <c r="W127" s="34" t="n"/>
      <c r="X127" s="34" t="n"/>
      <c r="Y127" s="34" t="n"/>
      <c r="Z127" s="34" t="n"/>
      <c r="AA127" s="34" t="n"/>
      <c r="AB127" s="34" t="n"/>
      <c r="AC127" s="34" t="n"/>
      <c r="AD127" s="34" t="n"/>
      <c r="AE127" s="34" t="n"/>
      <c r="AF127" s="34" t="n"/>
      <c r="AG127" s="34" t="n"/>
      <c r="AH127" s="34" t="n"/>
      <c r="AI127" s="14" t="n"/>
      <c r="AJ127" s="14" t="n"/>
      <c r="AK127" s="15" t="n"/>
      <c r="AL127" s="16" t="n"/>
      <c r="AM127" s="15" t="n"/>
      <c r="AN127" s="17">
        <f>IF(OR(AJ127="",AI127=""),"",AJ127-AI127)</f>
        <v/>
      </c>
      <c r="AO127" s="18">
        <f>IF(OR(AJ127="",AI127="",AI127=0),"",(AJ127-AI127)/AI127)</f>
        <v/>
      </c>
      <c r="AP127" s="19">
        <f>IF(AO127="","",IF(AO127&lt;-0.05,"Moins cher",IF(AO127&gt;0.05,"Plus cher","Équivalent")))</f>
        <v/>
      </c>
    </row>
    <row r="128">
      <c r="A128" s="33" t="n"/>
      <c r="B128" s="33" t="n"/>
      <c r="C128" s="33" t="n"/>
      <c r="D128" s="33" t="n"/>
      <c r="E128" s="33" t="n"/>
      <c r="F128" s="33" t="n"/>
      <c r="G128" s="33" t="n"/>
      <c r="H128" s="33" t="n"/>
      <c r="I128" s="33" t="n"/>
      <c r="J128" s="33" t="n"/>
      <c r="K128" s="33" t="n"/>
      <c r="L128" s="33" t="n"/>
      <c r="M128" s="33" t="n"/>
      <c r="N128" s="33" t="n"/>
      <c r="O128" s="33" t="n"/>
      <c r="P128" s="33" t="n"/>
      <c r="Q128" s="33" t="n"/>
      <c r="R128" s="33" t="n"/>
      <c r="S128" s="33" t="n"/>
      <c r="T128" s="33" t="n"/>
      <c r="U128" s="34" t="n"/>
      <c r="V128" s="34" t="n"/>
      <c r="W128" s="34" t="n"/>
      <c r="X128" s="34" t="n"/>
      <c r="Y128" s="34" t="n"/>
      <c r="Z128" s="34" t="n"/>
      <c r="AA128" s="34" t="n"/>
      <c r="AB128" s="34" t="n"/>
      <c r="AC128" s="34" t="n"/>
      <c r="AD128" s="34" t="n"/>
      <c r="AE128" s="34" t="n"/>
      <c r="AF128" s="34" t="n"/>
      <c r="AG128" s="34" t="n"/>
      <c r="AH128" s="34" t="n"/>
      <c r="AI128" s="14" t="n"/>
      <c r="AJ128" s="14" t="n"/>
      <c r="AK128" s="15" t="n"/>
      <c r="AL128" s="16" t="n"/>
      <c r="AM128" s="15" t="n"/>
      <c r="AN128" s="17">
        <f>IF(OR(AJ128="",AI128=""),"",AJ128-AI128)</f>
        <v/>
      </c>
      <c r="AO128" s="18">
        <f>IF(OR(AJ128="",AI128="",AI128=0),"",(AJ128-AI128)/AI128)</f>
        <v/>
      </c>
      <c r="AP128" s="19">
        <f>IF(AO128="","",IF(AO128&lt;-0.05,"Moins cher",IF(AO128&gt;0.05,"Plus cher","Équivalent")))</f>
        <v/>
      </c>
    </row>
    <row r="129">
      <c r="A129" s="33" t="n"/>
      <c r="B129" s="33" t="n"/>
      <c r="C129" s="33" t="n"/>
      <c r="D129" s="33" t="n"/>
      <c r="E129" s="33" t="n"/>
      <c r="F129" s="33" t="n"/>
      <c r="G129" s="33" t="n"/>
      <c r="H129" s="33" t="n"/>
      <c r="I129" s="33" t="n"/>
      <c r="J129" s="33" t="n"/>
      <c r="K129" s="33" t="n"/>
      <c r="L129" s="33" t="n"/>
      <c r="M129" s="33" t="n"/>
      <c r="N129" s="33" t="n"/>
      <c r="O129" s="33" t="n"/>
      <c r="P129" s="33" t="n"/>
      <c r="Q129" s="33" t="n"/>
      <c r="R129" s="33" t="n"/>
      <c r="S129" s="33" t="n"/>
      <c r="T129" s="33" t="n"/>
      <c r="U129" s="34" t="n"/>
      <c r="V129" s="34" t="n"/>
      <c r="W129" s="34" t="n"/>
      <c r="X129" s="34" t="n"/>
      <c r="Y129" s="34" t="n"/>
      <c r="Z129" s="34" t="n"/>
      <c r="AA129" s="34" t="n"/>
      <c r="AB129" s="34" t="n"/>
      <c r="AC129" s="34" t="n"/>
      <c r="AD129" s="34" t="n"/>
      <c r="AE129" s="34" t="n"/>
      <c r="AF129" s="34" t="n"/>
      <c r="AG129" s="34" t="n"/>
      <c r="AH129" s="34" t="n"/>
      <c r="AI129" s="14" t="n"/>
      <c r="AJ129" s="14" t="n"/>
      <c r="AK129" s="15" t="n"/>
      <c r="AL129" s="16" t="n"/>
      <c r="AM129" s="15" t="n"/>
      <c r="AN129" s="17">
        <f>IF(OR(AJ129="",AI129=""),"",AJ129-AI129)</f>
        <v/>
      </c>
      <c r="AO129" s="18">
        <f>IF(OR(AJ129="",AI129="",AI129=0),"",(AJ129-AI129)/AI129)</f>
        <v/>
      </c>
      <c r="AP129" s="19">
        <f>IF(AO129="","",IF(AO129&lt;-0.05,"Moins cher",IF(AO129&gt;0.05,"Plus cher","Équivalent")))</f>
        <v/>
      </c>
    </row>
    <row r="130">
      <c r="A130" s="33" t="n"/>
      <c r="B130" s="33" t="n"/>
      <c r="C130" s="33" t="n"/>
      <c r="D130" s="33" t="n"/>
      <c r="E130" s="33" t="n"/>
      <c r="F130" s="33" t="n"/>
      <c r="G130" s="33" t="n"/>
      <c r="H130" s="33" t="n"/>
      <c r="I130" s="33" t="n"/>
      <c r="J130" s="33" t="n"/>
      <c r="K130" s="33" t="n"/>
      <c r="L130" s="33" t="n"/>
      <c r="M130" s="33" t="n"/>
      <c r="N130" s="33" t="n"/>
      <c r="O130" s="33" t="n"/>
      <c r="P130" s="33" t="n"/>
      <c r="Q130" s="33" t="n"/>
      <c r="R130" s="33" t="n"/>
      <c r="S130" s="33" t="n"/>
      <c r="T130" s="33" t="n"/>
      <c r="U130" s="34" t="n"/>
      <c r="V130" s="34" t="n"/>
      <c r="W130" s="34" t="n"/>
      <c r="X130" s="34" t="n"/>
      <c r="Y130" s="34" t="n"/>
      <c r="Z130" s="34" t="n"/>
      <c r="AA130" s="34" t="n"/>
      <c r="AB130" s="34" t="n"/>
      <c r="AC130" s="34" t="n"/>
      <c r="AD130" s="34" t="n"/>
      <c r="AE130" s="34" t="n"/>
      <c r="AF130" s="34" t="n"/>
      <c r="AG130" s="34" t="n"/>
      <c r="AH130" s="34" t="n"/>
      <c r="AI130" s="14" t="n"/>
      <c r="AJ130" s="14" t="n"/>
      <c r="AK130" s="15" t="n"/>
      <c r="AL130" s="16" t="n"/>
      <c r="AM130" s="15" t="n"/>
      <c r="AN130" s="17">
        <f>IF(OR(AJ130="",AI130=""),"",AJ130-AI130)</f>
        <v/>
      </c>
      <c r="AO130" s="18">
        <f>IF(OR(AJ130="",AI130="",AI130=0),"",(AJ130-AI130)/AI130)</f>
        <v/>
      </c>
      <c r="AP130" s="19">
        <f>IF(AO130="","",IF(AO130&lt;-0.05,"Moins cher",IF(AO130&gt;0.05,"Plus cher","Équivalent")))</f>
        <v/>
      </c>
    </row>
    <row r="131">
      <c r="A131" s="33" t="n"/>
      <c r="B131" s="33" t="n"/>
      <c r="C131" s="33" t="n"/>
      <c r="D131" s="33" t="n"/>
      <c r="E131" s="33" t="n"/>
      <c r="F131" s="33" t="n"/>
      <c r="G131" s="33" t="n"/>
      <c r="H131" s="33" t="n"/>
      <c r="I131" s="33" t="n"/>
      <c r="J131" s="33" t="n"/>
      <c r="K131" s="33" t="n"/>
      <c r="L131" s="33" t="n"/>
      <c r="M131" s="33" t="n"/>
      <c r="N131" s="33" t="n"/>
      <c r="O131" s="33" t="n"/>
      <c r="P131" s="33" t="n"/>
      <c r="Q131" s="33" t="n"/>
      <c r="R131" s="33" t="n"/>
      <c r="S131" s="33" t="n"/>
      <c r="T131" s="33" t="n"/>
      <c r="U131" s="34" t="n"/>
      <c r="V131" s="34" t="n"/>
      <c r="W131" s="34" t="n"/>
      <c r="X131" s="34" t="n"/>
      <c r="Y131" s="34" t="n"/>
      <c r="Z131" s="34" t="n"/>
      <c r="AA131" s="34" t="n"/>
      <c r="AB131" s="34" t="n"/>
      <c r="AC131" s="34" t="n"/>
      <c r="AD131" s="34" t="n"/>
      <c r="AE131" s="34" t="n"/>
      <c r="AF131" s="34" t="n"/>
      <c r="AG131" s="34" t="n"/>
      <c r="AH131" s="34" t="n"/>
      <c r="AI131" s="14" t="n"/>
      <c r="AJ131" s="14" t="n"/>
      <c r="AK131" s="15" t="n"/>
      <c r="AL131" s="16" t="n"/>
      <c r="AM131" s="15" t="n"/>
      <c r="AN131" s="17">
        <f>IF(OR(AJ131="",AI131=""),"",AJ131-AI131)</f>
        <v/>
      </c>
      <c r="AO131" s="18">
        <f>IF(OR(AJ131="",AI131="",AI131=0),"",(AJ131-AI131)/AI131)</f>
        <v/>
      </c>
      <c r="AP131" s="19">
        <f>IF(AO131="","",IF(AO131&lt;-0.05,"Moins cher",IF(AO131&gt;0.05,"Plus cher","Équivalent")))</f>
        <v/>
      </c>
    </row>
    <row r="132">
      <c r="A132" s="33" t="n"/>
      <c r="B132" s="33" t="n"/>
      <c r="C132" s="33" t="n"/>
      <c r="D132" s="33" t="n"/>
      <c r="E132" s="33" t="n"/>
      <c r="F132" s="33" t="n"/>
      <c r="G132" s="33" t="n"/>
      <c r="H132" s="33" t="n"/>
      <c r="I132" s="33" t="n"/>
      <c r="J132" s="33" t="n"/>
      <c r="K132" s="33" t="n"/>
      <c r="L132" s="33" t="n"/>
      <c r="M132" s="33" t="n"/>
      <c r="N132" s="33" t="n"/>
      <c r="O132" s="33" t="n"/>
      <c r="P132" s="33" t="n"/>
      <c r="Q132" s="33" t="n"/>
      <c r="R132" s="33" t="n"/>
      <c r="S132" s="33" t="n"/>
      <c r="T132" s="33" t="n"/>
      <c r="U132" s="34" t="n"/>
      <c r="V132" s="34" t="n"/>
      <c r="W132" s="34" t="n"/>
      <c r="X132" s="34" t="n"/>
      <c r="Y132" s="34" t="n"/>
      <c r="Z132" s="34" t="n"/>
      <c r="AA132" s="34" t="n"/>
      <c r="AB132" s="34" t="n"/>
      <c r="AC132" s="34" t="n"/>
      <c r="AD132" s="34" t="n"/>
      <c r="AE132" s="34" t="n"/>
      <c r="AF132" s="34" t="n"/>
      <c r="AG132" s="34" t="n"/>
      <c r="AH132" s="34" t="n"/>
      <c r="AI132" s="14" t="n"/>
      <c r="AJ132" s="14" t="n"/>
      <c r="AK132" s="15" t="n"/>
      <c r="AL132" s="16" t="n"/>
      <c r="AM132" s="15" t="n"/>
      <c r="AN132" s="17">
        <f>IF(OR(AJ132="",AI132=""),"",AJ132-AI132)</f>
        <v/>
      </c>
      <c r="AO132" s="18">
        <f>IF(OR(AJ132="",AI132="",AI132=0),"",(AJ132-AI132)/AI132)</f>
        <v/>
      </c>
      <c r="AP132" s="19">
        <f>IF(AO132="","",IF(AO132&lt;-0.05,"Moins cher",IF(AO132&gt;0.05,"Plus cher","Équivalent")))</f>
        <v/>
      </c>
    </row>
    <row r="133">
      <c r="A133" s="33" t="n"/>
      <c r="B133" s="33" t="n"/>
      <c r="C133" s="33" t="n"/>
      <c r="D133" s="33" t="n"/>
      <c r="E133" s="33" t="n"/>
      <c r="F133" s="33" t="n"/>
      <c r="G133" s="33" t="n"/>
      <c r="H133" s="33" t="n"/>
      <c r="I133" s="33" t="n"/>
      <c r="J133" s="33" t="n"/>
      <c r="K133" s="33" t="n"/>
      <c r="L133" s="33" t="n"/>
      <c r="M133" s="33" t="n"/>
      <c r="N133" s="33" t="n"/>
      <c r="O133" s="33" t="n"/>
      <c r="P133" s="33" t="n"/>
      <c r="Q133" s="33" t="n"/>
      <c r="R133" s="33" t="n"/>
      <c r="S133" s="33" t="n"/>
      <c r="T133" s="33" t="n"/>
      <c r="U133" s="34" t="n"/>
      <c r="V133" s="34" t="n"/>
      <c r="W133" s="34" t="n"/>
      <c r="X133" s="34" t="n"/>
      <c r="Y133" s="34" t="n"/>
      <c r="Z133" s="34" t="n"/>
      <c r="AA133" s="34" t="n"/>
      <c r="AB133" s="34" t="n"/>
      <c r="AC133" s="34" t="n"/>
      <c r="AD133" s="34" t="n"/>
      <c r="AE133" s="34" t="n"/>
      <c r="AF133" s="34" t="n"/>
      <c r="AG133" s="34" t="n"/>
      <c r="AH133" s="34" t="n"/>
      <c r="AI133" s="14" t="n"/>
      <c r="AJ133" s="14" t="n"/>
      <c r="AK133" s="15" t="n"/>
      <c r="AL133" s="16" t="n"/>
      <c r="AM133" s="15" t="n"/>
      <c r="AN133" s="17">
        <f>IF(OR(AJ133="",AI133=""),"",AJ133-AI133)</f>
        <v/>
      </c>
      <c r="AO133" s="18">
        <f>IF(OR(AJ133="",AI133="",AI133=0),"",(AJ133-AI133)/AI133)</f>
        <v/>
      </c>
      <c r="AP133" s="19">
        <f>IF(AO133="","",IF(AO133&lt;-0.05,"Moins cher",IF(AO133&gt;0.05,"Plus cher","Équivalent")))</f>
        <v/>
      </c>
    </row>
    <row r="134">
      <c r="A134" s="33" t="n"/>
      <c r="B134" s="33" t="n"/>
      <c r="C134" s="33" t="n"/>
      <c r="D134" s="33" t="n"/>
      <c r="E134" s="33" t="n"/>
      <c r="F134" s="33" t="n"/>
      <c r="G134" s="33" t="n"/>
      <c r="H134" s="33" t="n"/>
      <c r="I134" s="33" t="n"/>
      <c r="J134" s="33" t="n"/>
      <c r="K134" s="33" t="n"/>
      <c r="L134" s="33" t="n"/>
      <c r="M134" s="33" t="n"/>
      <c r="N134" s="33" t="n"/>
      <c r="O134" s="33" t="n"/>
      <c r="P134" s="33" t="n"/>
      <c r="Q134" s="33" t="n"/>
      <c r="R134" s="33" t="n"/>
      <c r="S134" s="33" t="n"/>
      <c r="T134" s="33" t="n"/>
      <c r="U134" s="34" t="n"/>
      <c r="V134" s="34" t="n"/>
      <c r="W134" s="34" t="n"/>
      <c r="X134" s="34" t="n"/>
      <c r="Y134" s="34" t="n"/>
      <c r="Z134" s="34" t="n"/>
      <c r="AA134" s="34" t="n"/>
      <c r="AB134" s="34" t="n"/>
      <c r="AC134" s="34" t="n"/>
      <c r="AD134" s="34" t="n"/>
      <c r="AE134" s="34" t="n"/>
      <c r="AF134" s="34" t="n"/>
      <c r="AG134" s="34" t="n"/>
      <c r="AH134" s="34" t="n"/>
      <c r="AI134" s="14" t="n"/>
      <c r="AJ134" s="14" t="n"/>
      <c r="AK134" s="15" t="n"/>
      <c r="AL134" s="16" t="n"/>
      <c r="AM134" s="15" t="n"/>
      <c r="AN134" s="17">
        <f>IF(OR(AJ134="",AI134=""),"",AJ134-AI134)</f>
        <v/>
      </c>
      <c r="AO134" s="18">
        <f>IF(OR(AJ134="",AI134="",AI134=0),"",(AJ134-AI134)/AI134)</f>
        <v/>
      </c>
      <c r="AP134" s="19">
        <f>IF(AO134="","",IF(AO134&lt;-0.05,"Moins cher",IF(AO134&gt;0.05,"Plus cher","Équivalent")))</f>
        <v/>
      </c>
    </row>
    <row r="135">
      <c r="A135" s="33" t="n"/>
      <c r="B135" s="33" t="n"/>
      <c r="C135" s="33" t="n"/>
      <c r="D135" s="33" t="n"/>
      <c r="E135" s="33" t="n"/>
      <c r="F135" s="33" t="n"/>
      <c r="G135" s="33" t="n"/>
      <c r="H135" s="33" t="n"/>
      <c r="I135" s="33" t="n"/>
      <c r="J135" s="33" t="n"/>
      <c r="K135" s="33" t="n"/>
      <c r="L135" s="33" t="n"/>
      <c r="M135" s="33" t="n"/>
      <c r="N135" s="33" t="n"/>
      <c r="O135" s="33" t="n"/>
      <c r="P135" s="33" t="n"/>
      <c r="Q135" s="33" t="n"/>
      <c r="R135" s="33" t="n"/>
      <c r="S135" s="33" t="n"/>
      <c r="T135" s="33" t="n"/>
      <c r="U135" s="34" t="n"/>
      <c r="V135" s="34" t="n"/>
      <c r="W135" s="34" t="n"/>
      <c r="X135" s="34" t="n"/>
      <c r="Y135" s="34" t="n"/>
      <c r="Z135" s="34" t="n"/>
      <c r="AA135" s="34" t="n"/>
      <c r="AB135" s="34" t="n"/>
      <c r="AC135" s="34" t="n"/>
      <c r="AD135" s="34" t="n"/>
      <c r="AE135" s="34" t="n"/>
      <c r="AF135" s="34" t="n"/>
      <c r="AG135" s="34" t="n"/>
      <c r="AH135" s="34" t="n"/>
      <c r="AI135" s="14" t="n"/>
      <c r="AJ135" s="14" t="n"/>
      <c r="AK135" s="15" t="n"/>
      <c r="AL135" s="16" t="n"/>
      <c r="AM135" s="15" t="n"/>
      <c r="AN135" s="17">
        <f>IF(OR(AJ135="",AI135=""),"",AJ135-AI135)</f>
        <v/>
      </c>
      <c r="AO135" s="18">
        <f>IF(OR(AJ135="",AI135="",AI135=0),"",(AJ135-AI135)/AI135)</f>
        <v/>
      </c>
      <c r="AP135" s="19">
        <f>IF(AO135="","",IF(AO135&lt;-0.05,"Moins cher",IF(AO135&gt;0.05,"Plus cher","Équivalent")))</f>
        <v/>
      </c>
    </row>
    <row r="136">
      <c r="A136" s="33" t="n"/>
      <c r="B136" s="33" t="n"/>
      <c r="C136" s="33" t="n"/>
      <c r="D136" s="33" t="n"/>
      <c r="E136" s="33" t="n"/>
      <c r="F136" s="33" t="n"/>
      <c r="G136" s="33" t="n"/>
      <c r="H136" s="33" t="n"/>
      <c r="I136" s="33" t="n"/>
      <c r="J136" s="33" t="n"/>
      <c r="K136" s="33" t="n"/>
      <c r="L136" s="33" t="n"/>
      <c r="M136" s="33" t="n"/>
      <c r="N136" s="33" t="n"/>
      <c r="O136" s="33" t="n"/>
      <c r="P136" s="33" t="n"/>
      <c r="Q136" s="33" t="n"/>
      <c r="R136" s="33" t="n"/>
      <c r="S136" s="33" t="n"/>
      <c r="T136" s="33" t="n"/>
      <c r="U136" s="34" t="n"/>
      <c r="V136" s="34" t="n"/>
      <c r="W136" s="34" t="n"/>
      <c r="X136" s="34" t="n"/>
      <c r="Y136" s="34" t="n"/>
      <c r="Z136" s="34" t="n"/>
      <c r="AA136" s="34" t="n"/>
      <c r="AB136" s="34" t="n"/>
      <c r="AC136" s="34" t="n"/>
      <c r="AD136" s="34" t="n"/>
      <c r="AE136" s="34" t="n"/>
      <c r="AF136" s="34" t="n"/>
      <c r="AG136" s="34" t="n"/>
      <c r="AH136" s="34" t="n"/>
      <c r="AI136" s="14" t="n"/>
      <c r="AJ136" s="14" t="n"/>
      <c r="AK136" s="15" t="n"/>
      <c r="AL136" s="16" t="n"/>
      <c r="AM136" s="15" t="n"/>
      <c r="AN136" s="17">
        <f>IF(OR(AJ136="",AI136=""),"",AJ136-AI136)</f>
        <v/>
      </c>
      <c r="AO136" s="18">
        <f>IF(OR(AJ136="",AI136="",AI136=0),"",(AJ136-AI136)/AI136)</f>
        <v/>
      </c>
      <c r="AP136" s="19">
        <f>IF(AO136="","",IF(AO136&lt;-0.05,"Moins cher",IF(AO136&gt;0.05,"Plus cher","Équivalent")))</f>
        <v/>
      </c>
    </row>
    <row r="137">
      <c r="A137" s="33" t="n"/>
      <c r="B137" s="33" t="n"/>
      <c r="C137" s="33" t="n"/>
      <c r="D137" s="33" t="n"/>
      <c r="E137" s="33" t="n"/>
      <c r="F137" s="33" t="n"/>
      <c r="G137" s="33" t="n"/>
      <c r="H137" s="33" t="n"/>
      <c r="I137" s="33" t="n"/>
      <c r="J137" s="33" t="n"/>
      <c r="K137" s="33" t="n"/>
      <c r="L137" s="33" t="n"/>
      <c r="M137" s="33" t="n"/>
      <c r="N137" s="33" t="n"/>
      <c r="O137" s="33" t="n"/>
      <c r="P137" s="33" t="n"/>
      <c r="Q137" s="33" t="n"/>
      <c r="R137" s="33" t="n"/>
      <c r="S137" s="33" t="n"/>
      <c r="T137" s="33" t="n"/>
      <c r="U137" s="34" t="n"/>
      <c r="V137" s="34" t="n"/>
      <c r="W137" s="34" t="n"/>
      <c r="X137" s="34" t="n"/>
      <c r="Y137" s="34" t="n"/>
      <c r="Z137" s="34" t="n"/>
      <c r="AA137" s="34" t="n"/>
      <c r="AB137" s="34" t="n"/>
      <c r="AC137" s="34" t="n"/>
      <c r="AD137" s="34" t="n"/>
      <c r="AE137" s="34" t="n"/>
      <c r="AF137" s="34" t="n"/>
      <c r="AG137" s="34" t="n"/>
      <c r="AH137" s="34" t="n"/>
      <c r="AI137" s="14" t="n"/>
      <c r="AJ137" s="14" t="n"/>
      <c r="AK137" s="15" t="n"/>
      <c r="AL137" s="16" t="n"/>
      <c r="AM137" s="15" t="n"/>
      <c r="AN137" s="17">
        <f>IF(OR(AJ137="",AI137=""),"",AJ137-AI137)</f>
        <v/>
      </c>
      <c r="AO137" s="18">
        <f>IF(OR(AJ137="",AI137="",AI137=0),"",(AJ137-AI137)/AI137)</f>
        <v/>
      </c>
      <c r="AP137" s="19">
        <f>IF(AO137="","",IF(AO137&lt;-0.05,"Moins cher",IF(AO137&gt;0.05,"Plus cher","Équivalent")))</f>
        <v/>
      </c>
    </row>
    <row r="138">
      <c r="A138" s="33" t="n"/>
      <c r="B138" s="33" t="n"/>
      <c r="C138" s="33" t="n"/>
      <c r="D138" s="33" t="n"/>
      <c r="E138" s="33" t="n"/>
      <c r="F138" s="33" t="n"/>
      <c r="G138" s="33" t="n"/>
      <c r="H138" s="33" t="n"/>
      <c r="I138" s="33" t="n"/>
      <c r="J138" s="33" t="n"/>
      <c r="K138" s="33" t="n"/>
      <c r="L138" s="33" t="n"/>
      <c r="M138" s="33" t="n"/>
      <c r="N138" s="33" t="n"/>
      <c r="O138" s="33" t="n"/>
      <c r="P138" s="33" t="n"/>
      <c r="Q138" s="33" t="n"/>
      <c r="R138" s="33" t="n"/>
      <c r="S138" s="33" t="n"/>
      <c r="T138" s="33" t="n"/>
      <c r="U138" s="34" t="n"/>
      <c r="V138" s="34" t="n"/>
      <c r="W138" s="34" t="n"/>
      <c r="X138" s="34" t="n"/>
      <c r="Y138" s="34" t="n"/>
      <c r="Z138" s="34" t="n"/>
      <c r="AA138" s="34" t="n"/>
      <c r="AB138" s="34" t="n"/>
      <c r="AC138" s="34" t="n"/>
      <c r="AD138" s="34" t="n"/>
      <c r="AE138" s="34" t="n"/>
      <c r="AF138" s="34" t="n"/>
      <c r="AG138" s="34" t="n"/>
      <c r="AH138" s="34" t="n"/>
      <c r="AI138" s="14" t="n"/>
      <c r="AJ138" s="14" t="n"/>
      <c r="AK138" s="15" t="n"/>
      <c r="AL138" s="16" t="n"/>
      <c r="AM138" s="15" t="n"/>
      <c r="AN138" s="17">
        <f>IF(OR(AJ138="",AI138=""),"",AJ138-AI138)</f>
        <v/>
      </c>
      <c r="AO138" s="18">
        <f>IF(OR(AJ138="",AI138="",AI138=0),"",(AJ138-AI138)/AI138)</f>
        <v/>
      </c>
      <c r="AP138" s="19">
        <f>IF(AO138="","",IF(AO138&lt;-0.05,"Moins cher",IF(AO138&gt;0.05,"Plus cher","Équivalent")))</f>
        <v/>
      </c>
    </row>
    <row r="139">
      <c r="A139" s="33" t="n"/>
      <c r="B139" s="33" t="n"/>
      <c r="C139" s="33" t="n"/>
      <c r="D139" s="33" t="n"/>
      <c r="E139" s="33" t="n"/>
      <c r="F139" s="33" t="n"/>
      <c r="G139" s="33" t="n"/>
      <c r="H139" s="33" t="n"/>
      <c r="I139" s="33" t="n"/>
      <c r="J139" s="33" t="n"/>
      <c r="K139" s="33" t="n"/>
      <c r="L139" s="33" t="n"/>
      <c r="M139" s="33" t="n"/>
      <c r="N139" s="33" t="n"/>
      <c r="O139" s="33" t="n"/>
      <c r="P139" s="33" t="n"/>
      <c r="Q139" s="33" t="n"/>
      <c r="R139" s="33" t="n"/>
      <c r="S139" s="33" t="n"/>
      <c r="T139" s="33" t="n"/>
      <c r="U139" s="34" t="n"/>
      <c r="V139" s="34" t="n"/>
      <c r="W139" s="34" t="n"/>
      <c r="X139" s="34" t="n"/>
      <c r="Y139" s="34" t="n"/>
      <c r="Z139" s="34" t="n"/>
      <c r="AA139" s="34" t="n"/>
      <c r="AB139" s="34" t="n"/>
      <c r="AC139" s="34" t="n"/>
      <c r="AD139" s="34" t="n"/>
      <c r="AE139" s="34" t="n"/>
      <c r="AF139" s="34" t="n"/>
      <c r="AG139" s="34" t="n"/>
      <c r="AH139" s="34" t="n"/>
      <c r="AI139" s="14" t="n"/>
      <c r="AJ139" s="14" t="n"/>
      <c r="AK139" s="15" t="n"/>
      <c r="AL139" s="16" t="n"/>
      <c r="AM139" s="15" t="n"/>
      <c r="AN139" s="17">
        <f>IF(OR(AJ139="",AI139=""),"",AJ139-AI139)</f>
        <v/>
      </c>
      <c r="AO139" s="18">
        <f>IF(OR(AJ139="",AI139="",AI139=0),"",(AJ139-AI139)/AI139)</f>
        <v/>
      </c>
      <c r="AP139" s="19">
        <f>IF(AO139="","",IF(AO139&lt;-0.05,"Moins cher",IF(AO139&gt;0.05,"Plus cher","Équivalent")))</f>
        <v/>
      </c>
    </row>
    <row r="140">
      <c r="A140" s="33" t="n"/>
      <c r="B140" s="33" t="n"/>
      <c r="C140" s="33" t="n"/>
      <c r="D140" s="33" t="n"/>
      <c r="E140" s="33" t="n"/>
      <c r="F140" s="33" t="n"/>
      <c r="G140" s="33" t="n"/>
      <c r="H140" s="33" t="n"/>
      <c r="I140" s="33" t="n"/>
      <c r="J140" s="33" t="n"/>
      <c r="K140" s="33" t="n"/>
      <c r="L140" s="33" t="n"/>
      <c r="M140" s="33" t="n"/>
      <c r="N140" s="33" t="n"/>
      <c r="O140" s="33" t="n"/>
      <c r="P140" s="33" t="n"/>
      <c r="Q140" s="33" t="n"/>
      <c r="R140" s="33" t="n"/>
      <c r="S140" s="33" t="n"/>
      <c r="T140" s="33" t="n"/>
      <c r="U140" s="34" t="n"/>
      <c r="V140" s="34" t="n"/>
      <c r="W140" s="34" t="n"/>
      <c r="X140" s="34" t="n"/>
      <c r="Y140" s="34" t="n"/>
      <c r="Z140" s="34" t="n"/>
      <c r="AA140" s="34" t="n"/>
      <c r="AB140" s="34" t="n"/>
      <c r="AC140" s="34" t="n"/>
      <c r="AD140" s="34" t="n"/>
      <c r="AE140" s="34" t="n"/>
      <c r="AF140" s="34" t="n"/>
      <c r="AG140" s="34" t="n"/>
      <c r="AH140" s="34" t="n"/>
      <c r="AI140" s="14" t="n"/>
      <c r="AJ140" s="14" t="n"/>
      <c r="AK140" s="15" t="n"/>
      <c r="AL140" s="16" t="n"/>
      <c r="AM140" s="15" t="n"/>
      <c r="AN140" s="17">
        <f>IF(OR(AJ140="",AI140=""),"",AJ140-AI140)</f>
        <v/>
      </c>
      <c r="AO140" s="18">
        <f>IF(OR(AJ140="",AI140="",AI140=0),"",(AJ140-AI140)/AI140)</f>
        <v/>
      </c>
      <c r="AP140" s="19">
        <f>IF(AO140="","",IF(AO140&lt;-0.05,"Moins cher",IF(AO140&gt;0.05,"Plus cher","Équivalent")))</f>
        <v/>
      </c>
    </row>
    <row r="141">
      <c r="A141" s="33" t="n"/>
      <c r="B141" s="33" t="n"/>
      <c r="C141" s="33" t="n"/>
      <c r="D141" s="33" t="n"/>
      <c r="E141" s="33" t="n"/>
      <c r="F141" s="33" t="n"/>
      <c r="G141" s="33" t="n"/>
      <c r="H141" s="33" t="n"/>
      <c r="I141" s="33" t="n"/>
      <c r="J141" s="33" t="n"/>
      <c r="K141" s="33" t="n"/>
      <c r="L141" s="33" t="n"/>
      <c r="M141" s="33" t="n"/>
      <c r="N141" s="33" t="n"/>
      <c r="O141" s="33" t="n"/>
      <c r="P141" s="33" t="n"/>
      <c r="Q141" s="33" t="n"/>
      <c r="R141" s="33" t="n"/>
      <c r="S141" s="33" t="n"/>
      <c r="T141" s="33" t="n"/>
      <c r="U141" s="34" t="n"/>
      <c r="V141" s="34" t="n"/>
      <c r="W141" s="34" t="n"/>
      <c r="X141" s="34" t="n"/>
      <c r="Y141" s="34" t="n"/>
      <c r="Z141" s="34" t="n"/>
      <c r="AA141" s="34" t="n"/>
      <c r="AB141" s="34" t="n"/>
      <c r="AC141" s="34" t="n"/>
      <c r="AD141" s="34" t="n"/>
      <c r="AE141" s="34" t="n"/>
      <c r="AF141" s="34" t="n"/>
      <c r="AG141" s="34" t="n"/>
      <c r="AH141" s="34" t="n"/>
      <c r="AI141" s="14" t="n"/>
      <c r="AJ141" s="14" t="n"/>
      <c r="AK141" s="15" t="n"/>
      <c r="AL141" s="16" t="n"/>
      <c r="AM141" s="15" t="n"/>
      <c r="AN141" s="17">
        <f>IF(OR(AJ141="",AI141=""),"",AJ141-AI141)</f>
        <v/>
      </c>
      <c r="AO141" s="18">
        <f>IF(OR(AJ141="",AI141="",AI141=0),"",(AJ141-AI141)/AI141)</f>
        <v/>
      </c>
      <c r="AP141" s="19">
        <f>IF(AO141="","",IF(AO141&lt;-0.05,"Moins cher",IF(AO141&gt;0.05,"Plus cher","Équivalent")))</f>
        <v/>
      </c>
    </row>
    <row r="142">
      <c r="A142" s="33" t="n"/>
      <c r="B142" s="33" t="n"/>
      <c r="C142" s="33" t="n"/>
      <c r="D142" s="33" t="n"/>
      <c r="E142" s="33" t="n"/>
      <c r="F142" s="33" t="n"/>
      <c r="G142" s="33" t="n"/>
      <c r="H142" s="33" t="n"/>
      <c r="I142" s="33" t="n"/>
      <c r="J142" s="33" t="n"/>
      <c r="K142" s="33" t="n"/>
      <c r="L142" s="33" t="n"/>
      <c r="M142" s="33" t="n"/>
      <c r="N142" s="33" t="n"/>
      <c r="O142" s="33" t="n"/>
      <c r="P142" s="33" t="n"/>
      <c r="Q142" s="33" t="n"/>
      <c r="R142" s="33" t="n"/>
      <c r="S142" s="33" t="n"/>
      <c r="T142" s="33" t="n"/>
      <c r="U142" s="34" t="n"/>
      <c r="V142" s="34" t="n"/>
      <c r="W142" s="34" t="n"/>
      <c r="X142" s="34" t="n"/>
      <c r="Y142" s="34" t="n"/>
      <c r="Z142" s="34" t="n"/>
      <c r="AA142" s="34" t="n"/>
      <c r="AB142" s="34" t="n"/>
      <c r="AC142" s="34" t="n"/>
      <c r="AD142" s="34" t="n"/>
      <c r="AE142" s="34" t="n"/>
      <c r="AF142" s="34" t="n"/>
      <c r="AG142" s="34" t="n"/>
      <c r="AH142" s="34" t="n"/>
      <c r="AI142" s="14" t="n"/>
      <c r="AJ142" s="14" t="n"/>
      <c r="AK142" s="15" t="n"/>
      <c r="AL142" s="16" t="n"/>
      <c r="AM142" s="15" t="n"/>
      <c r="AN142" s="17">
        <f>IF(OR(AJ142="",AI142=""),"",AJ142-AI142)</f>
        <v/>
      </c>
      <c r="AO142" s="18">
        <f>IF(OR(AJ142="",AI142="",AI142=0),"",(AJ142-AI142)/AI142)</f>
        <v/>
      </c>
      <c r="AP142" s="19">
        <f>IF(AO142="","",IF(AO142&lt;-0.05,"Moins cher",IF(AO142&gt;0.05,"Plus cher","Équivalent")))</f>
        <v/>
      </c>
    </row>
    <row r="143">
      <c r="A143" s="33" t="n"/>
      <c r="B143" s="33" t="n"/>
      <c r="C143" s="33" t="n"/>
      <c r="D143" s="33" t="n"/>
      <c r="E143" s="33" t="n"/>
      <c r="F143" s="33" t="n"/>
      <c r="G143" s="33" t="n"/>
      <c r="H143" s="33" t="n"/>
      <c r="I143" s="33" t="n"/>
      <c r="J143" s="33" t="n"/>
      <c r="K143" s="33" t="n"/>
      <c r="L143" s="33" t="n"/>
      <c r="M143" s="33" t="n"/>
      <c r="N143" s="33" t="n"/>
      <c r="O143" s="33" t="n"/>
      <c r="P143" s="33" t="n"/>
      <c r="Q143" s="33" t="n"/>
      <c r="R143" s="33" t="n"/>
      <c r="S143" s="33" t="n"/>
      <c r="T143" s="33" t="n"/>
      <c r="U143" s="34" t="n"/>
      <c r="V143" s="34" t="n"/>
      <c r="W143" s="34" t="n"/>
      <c r="X143" s="34" t="n"/>
      <c r="Y143" s="34" t="n"/>
      <c r="Z143" s="34" t="n"/>
      <c r="AA143" s="34" t="n"/>
      <c r="AB143" s="34" t="n"/>
      <c r="AC143" s="34" t="n"/>
      <c r="AD143" s="34" t="n"/>
      <c r="AE143" s="34" t="n"/>
      <c r="AF143" s="34" t="n"/>
      <c r="AG143" s="34" t="n"/>
      <c r="AH143" s="34" t="n"/>
      <c r="AI143" s="14" t="n"/>
      <c r="AJ143" s="14" t="n"/>
      <c r="AK143" s="15" t="n"/>
      <c r="AL143" s="16" t="n"/>
      <c r="AM143" s="15" t="n"/>
      <c r="AN143" s="17">
        <f>IF(OR(AJ143="",AI143=""),"",AJ143-AI143)</f>
        <v/>
      </c>
      <c r="AO143" s="18">
        <f>IF(OR(AJ143="",AI143="",AI143=0),"",(AJ143-AI143)/AI143)</f>
        <v/>
      </c>
      <c r="AP143" s="19">
        <f>IF(AO143="","",IF(AO143&lt;-0.05,"Moins cher",IF(AO143&gt;0.05,"Plus cher","Équivalent")))</f>
        <v/>
      </c>
    </row>
    <row r="144">
      <c r="A144" s="33" t="n"/>
      <c r="B144" s="33" t="n"/>
      <c r="C144" s="33" t="n"/>
      <c r="D144" s="33" t="n"/>
      <c r="E144" s="33" t="n"/>
      <c r="F144" s="33" t="n"/>
      <c r="G144" s="33" t="n"/>
      <c r="H144" s="33" t="n"/>
      <c r="I144" s="33" t="n"/>
      <c r="J144" s="33" t="n"/>
      <c r="K144" s="33" t="n"/>
      <c r="L144" s="33" t="n"/>
      <c r="M144" s="33" t="n"/>
      <c r="N144" s="33" t="n"/>
      <c r="O144" s="33" t="n"/>
      <c r="P144" s="33" t="n"/>
      <c r="Q144" s="33" t="n"/>
      <c r="R144" s="33" t="n"/>
      <c r="S144" s="33" t="n"/>
      <c r="T144" s="33" t="n"/>
      <c r="U144" s="34" t="n"/>
      <c r="V144" s="34" t="n"/>
      <c r="W144" s="34" t="n"/>
      <c r="X144" s="34" t="n"/>
      <c r="Y144" s="34" t="n"/>
      <c r="Z144" s="34" t="n"/>
      <c r="AA144" s="34" t="n"/>
      <c r="AB144" s="34" t="n"/>
      <c r="AC144" s="34" t="n"/>
      <c r="AD144" s="34" t="n"/>
      <c r="AE144" s="34" t="n"/>
      <c r="AF144" s="34" t="n"/>
      <c r="AG144" s="34" t="n"/>
      <c r="AH144" s="34" t="n"/>
      <c r="AI144" s="14" t="n"/>
      <c r="AJ144" s="14" t="n"/>
      <c r="AK144" s="15" t="n"/>
      <c r="AL144" s="16" t="n"/>
      <c r="AM144" s="15" t="n"/>
      <c r="AN144" s="17">
        <f>IF(OR(AJ144="",AI144=""),"",AJ144-AI144)</f>
        <v/>
      </c>
      <c r="AO144" s="18">
        <f>IF(OR(AJ144="",AI144="",AI144=0),"",(AJ144-AI144)/AI144)</f>
        <v/>
      </c>
      <c r="AP144" s="19">
        <f>IF(AO144="","",IF(AO144&lt;-0.05,"Moins cher",IF(AO144&gt;0.05,"Plus cher","Équivalent")))</f>
        <v/>
      </c>
    </row>
    <row r="145">
      <c r="A145" s="33" t="n"/>
      <c r="B145" s="33" t="n"/>
      <c r="C145" s="33" t="n"/>
      <c r="D145" s="33" t="n"/>
      <c r="E145" s="33" t="n"/>
      <c r="F145" s="33" t="n"/>
      <c r="G145" s="33" t="n"/>
      <c r="H145" s="33" t="n"/>
      <c r="I145" s="33" t="n"/>
      <c r="J145" s="33" t="n"/>
      <c r="K145" s="33" t="n"/>
      <c r="L145" s="33" t="n"/>
      <c r="M145" s="33" t="n"/>
      <c r="N145" s="33" t="n"/>
      <c r="O145" s="33" t="n"/>
      <c r="P145" s="33" t="n"/>
      <c r="Q145" s="33" t="n"/>
      <c r="R145" s="33" t="n"/>
      <c r="S145" s="33" t="n"/>
      <c r="T145" s="33" t="n"/>
      <c r="U145" s="34" t="n"/>
      <c r="V145" s="34" t="n"/>
      <c r="W145" s="34" t="n"/>
      <c r="X145" s="34" t="n"/>
      <c r="Y145" s="34" t="n"/>
      <c r="Z145" s="34" t="n"/>
      <c r="AA145" s="34" t="n"/>
      <c r="AB145" s="34" t="n"/>
      <c r="AC145" s="34" t="n"/>
      <c r="AD145" s="34" t="n"/>
      <c r="AE145" s="34" t="n"/>
      <c r="AF145" s="34" t="n"/>
      <c r="AG145" s="34" t="n"/>
      <c r="AH145" s="34" t="n"/>
      <c r="AI145" s="14" t="n"/>
      <c r="AJ145" s="14" t="n"/>
      <c r="AK145" s="15" t="n"/>
      <c r="AL145" s="16" t="n"/>
      <c r="AM145" s="15" t="n"/>
      <c r="AN145" s="17">
        <f>IF(OR(AJ145="",AI145=""),"",AJ145-AI145)</f>
        <v/>
      </c>
      <c r="AO145" s="18">
        <f>IF(OR(AJ145="",AI145="",AI145=0),"",(AJ145-AI145)/AI145)</f>
        <v/>
      </c>
      <c r="AP145" s="19">
        <f>IF(AO145="","",IF(AO145&lt;-0.05,"Moins cher",IF(AO145&gt;0.05,"Plus cher","Équivalent")))</f>
        <v/>
      </c>
    </row>
    <row r="146">
      <c r="A146" s="33" t="n"/>
      <c r="B146" s="33" t="n"/>
      <c r="C146" s="33" t="n"/>
      <c r="D146" s="33" t="n"/>
      <c r="E146" s="33" t="n"/>
      <c r="F146" s="33" t="n"/>
      <c r="G146" s="33" t="n"/>
      <c r="H146" s="33" t="n"/>
      <c r="I146" s="33" t="n"/>
      <c r="J146" s="33" t="n"/>
      <c r="K146" s="33" t="n"/>
      <c r="L146" s="33" t="n"/>
      <c r="M146" s="33" t="n"/>
      <c r="N146" s="33" t="n"/>
      <c r="O146" s="33" t="n"/>
      <c r="P146" s="33" t="n"/>
      <c r="Q146" s="33" t="n"/>
      <c r="R146" s="33" t="n"/>
      <c r="S146" s="33" t="n"/>
      <c r="T146" s="33" t="n"/>
      <c r="U146" s="34" t="n"/>
      <c r="V146" s="34" t="n"/>
      <c r="W146" s="34" t="n"/>
      <c r="X146" s="34" t="n"/>
      <c r="Y146" s="34" t="n"/>
      <c r="Z146" s="34" t="n"/>
      <c r="AA146" s="34" t="n"/>
      <c r="AB146" s="34" t="n"/>
      <c r="AC146" s="34" t="n"/>
      <c r="AD146" s="34" t="n"/>
      <c r="AE146" s="34" t="n"/>
      <c r="AF146" s="34" t="n"/>
      <c r="AG146" s="34" t="n"/>
      <c r="AH146" s="34" t="n"/>
      <c r="AI146" s="14" t="n"/>
      <c r="AJ146" s="14" t="n"/>
      <c r="AK146" s="15" t="n"/>
      <c r="AL146" s="16" t="n"/>
      <c r="AM146" s="15" t="n"/>
      <c r="AN146" s="17">
        <f>IF(OR(AJ146="",AI146=""),"",AJ146-AI146)</f>
        <v/>
      </c>
      <c r="AO146" s="18">
        <f>IF(OR(AJ146="",AI146="",AI146=0),"",(AJ146-AI146)/AI146)</f>
        <v/>
      </c>
      <c r="AP146" s="19">
        <f>IF(AO146="","",IF(AO146&lt;-0.05,"Moins cher",IF(AO146&gt;0.05,"Plus cher","Équivalent")))</f>
        <v/>
      </c>
    </row>
    <row r="147">
      <c r="A147" s="33" t="n"/>
      <c r="B147" s="33" t="n"/>
      <c r="C147" s="33" t="n"/>
      <c r="D147" s="33" t="n"/>
      <c r="E147" s="33" t="n"/>
      <c r="F147" s="33" t="n"/>
      <c r="G147" s="33" t="n"/>
      <c r="H147" s="33" t="n"/>
      <c r="I147" s="33" t="n"/>
      <c r="J147" s="33" t="n"/>
      <c r="K147" s="33" t="n"/>
      <c r="L147" s="33" t="n"/>
      <c r="M147" s="33" t="n"/>
      <c r="N147" s="33" t="n"/>
      <c r="O147" s="33" t="n"/>
      <c r="P147" s="33" t="n"/>
      <c r="Q147" s="33" t="n"/>
      <c r="R147" s="33" t="n"/>
      <c r="S147" s="33" t="n"/>
      <c r="T147" s="33" t="n"/>
      <c r="U147" s="34" t="n"/>
      <c r="V147" s="34" t="n"/>
      <c r="W147" s="34" t="n"/>
      <c r="X147" s="34" t="n"/>
      <c r="Y147" s="34" t="n"/>
      <c r="Z147" s="34" t="n"/>
      <c r="AA147" s="34" t="n"/>
      <c r="AB147" s="34" t="n"/>
      <c r="AC147" s="34" t="n"/>
      <c r="AD147" s="34" t="n"/>
      <c r="AE147" s="34" t="n"/>
      <c r="AF147" s="34" t="n"/>
      <c r="AG147" s="34" t="n"/>
      <c r="AH147" s="34" t="n"/>
      <c r="AI147" s="14" t="n"/>
      <c r="AJ147" s="14" t="n"/>
      <c r="AK147" s="15" t="n"/>
      <c r="AL147" s="16" t="n"/>
      <c r="AM147" s="15" t="n"/>
      <c r="AN147" s="17">
        <f>IF(OR(AJ147="",AI147=""),"",AJ147-AI147)</f>
        <v/>
      </c>
      <c r="AO147" s="18">
        <f>IF(OR(AJ147="",AI147="",AI147=0),"",(AJ147-AI147)/AI147)</f>
        <v/>
      </c>
      <c r="AP147" s="19">
        <f>IF(AO147="","",IF(AO147&lt;-0.05,"Moins cher",IF(AO147&gt;0.05,"Plus cher","Équivalent")))</f>
        <v/>
      </c>
    </row>
  </sheetData>
  <sheetProtection selectLockedCells="0" selectUnlockedCells="0" sheet="1" objects="0" insertRows="0" insertHyperlinks="1" autoFilter="0" scenarios="0" formatColumns="0" deleteColumns="1" insertColumns="1" pivotTables="1" deleteRows="0" formatCells="0" formatRows="0" sort="0"/>
  <autoFilter ref="A1:AP147"/>
  <conditionalFormatting sqref="AO2:AO147">
    <cfRule type="cellIs" priority="1" operator="greaterThan" dxfId="0">
      <formula>0.05</formula>
    </cfRule>
    <cfRule type="cellIs" priority="2" operator="lessThan" dxfId="1">
      <formula>-0.05</formula>
    </cfRule>
    <cfRule type="cellIs" priority="3" operator="between" dxfId="2">
      <formula>-0.05</formula>
      <formula>0.05</formula>
    </cfRule>
  </conditionalFormatting>
  <hyperlinks>
    <hyperlink xmlns:r="http://schemas.openxmlformats.org/officeDocument/2006/relationships" ref="AF2" r:id="rId1"/>
    <hyperlink xmlns:r="http://schemas.openxmlformats.org/officeDocument/2006/relationships" ref="AG2" r:id="rId2"/>
    <hyperlink xmlns:r="http://schemas.openxmlformats.org/officeDocument/2006/relationships" ref="AF3" r:id="rId3"/>
    <hyperlink xmlns:r="http://schemas.openxmlformats.org/officeDocument/2006/relationships" ref="AG3" r:id="rId4"/>
    <hyperlink xmlns:r="http://schemas.openxmlformats.org/officeDocument/2006/relationships" ref="AF4" r:id="rId5"/>
    <hyperlink xmlns:r="http://schemas.openxmlformats.org/officeDocument/2006/relationships" ref="AG4" r:id="rId6"/>
    <hyperlink xmlns:r="http://schemas.openxmlformats.org/officeDocument/2006/relationships" ref="AF5" r:id="rId7"/>
    <hyperlink xmlns:r="http://schemas.openxmlformats.org/officeDocument/2006/relationships" ref="AG5" r:id="rId8"/>
    <hyperlink xmlns:r="http://schemas.openxmlformats.org/officeDocument/2006/relationships" ref="AF6" r:id="rId9"/>
    <hyperlink xmlns:r="http://schemas.openxmlformats.org/officeDocument/2006/relationships" ref="AG6" r:id="rId10"/>
    <hyperlink xmlns:r="http://schemas.openxmlformats.org/officeDocument/2006/relationships" ref="AF7" r:id="rId11"/>
    <hyperlink xmlns:r="http://schemas.openxmlformats.org/officeDocument/2006/relationships" ref="AG7" r:id="rId12"/>
    <hyperlink xmlns:r="http://schemas.openxmlformats.org/officeDocument/2006/relationships" ref="AF8" r:id="rId13"/>
    <hyperlink xmlns:r="http://schemas.openxmlformats.org/officeDocument/2006/relationships" ref="AG8" r:id="rId14"/>
    <hyperlink xmlns:r="http://schemas.openxmlformats.org/officeDocument/2006/relationships" ref="AF9" r:id="rId15"/>
    <hyperlink xmlns:r="http://schemas.openxmlformats.org/officeDocument/2006/relationships" ref="AG9" r:id="rId16"/>
    <hyperlink xmlns:r="http://schemas.openxmlformats.org/officeDocument/2006/relationships" ref="AF10" r:id="rId17"/>
    <hyperlink xmlns:r="http://schemas.openxmlformats.org/officeDocument/2006/relationships" ref="AG10" r:id="rId18"/>
    <hyperlink xmlns:r="http://schemas.openxmlformats.org/officeDocument/2006/relationships" ref="AF11" r:id="rId19"/>
    <hyperlink xmlns:r="http://schemas.openxmlformats.org/officeDocument/2006/relationships" ref="AG11" r:id="rId20"/>
    <hyperlink xmlns:r="http://schemas.openxmlformats.org/officeDocument/2006/relationships" ref="AF12" r:id="rId21"/>
    <hyperlink xmlns:r="http://schemas.openxmlformats.org/officeDocument/2006/relationships" ref="AG12" r:id="rId22"/>
    <hyperlink xmlns:r="http://schemas.openxmlformats.org/officeDocument/2006/relationships" ref="AF13" r:id="rId23"/>
    <hyperlink xmlns:r="http://schemas.openxmlformats.org/officeDocument/2006/relationships" ref="AG13" r:id="rId24"/>
    <hyperlink xmlns:r="http://schemas.openxmlformats.org/officeDocument/2006/relationships" ref="AF14" r:id="rId25"/>
    <hyperlink xmlns:r="http://schemas.openxmlformats.org/officeDocument/2006/relationships" ref="AG14" r:id="rId26"/>
    <hyperlink xmlns:r="http://schemas.openxmlformats.org/officeDocument/2006/relationships" ref="AF15" r:id="rId27"/>
    <hyperlink xmlns:r="http://schemas.openxmlformats.org/officeDocument/2006/relationships" ref="AG15" r:id="rId28"/>
    <hyperlink xmlns:r="http://schemas.openxmlformats.org/officeDocument/2006/relationships" ref="AF16" r:id="rId29"/>
    <hyperlink xmlns:r="http://schemas.openxmlformats.org/officeDocument/2006/relationships" ref="AG16" r:id="rId30"/>
    <hyperlink xmlns:r="http://schemas.openxmlformats.org/officeDocument/2006/relationships" ref="AF17" r:id="rId31"/>
    <hyperlink xmlns:r="http://schemas.openxmlformats.org/officeDocument/2006/relationships" ref="AG17" r:id="rId32"/>
    <hyperlink xmlns:r="http://schemas.openxmlformats.org/officeDocument/2006/relationships" ref="AF18" r:id="rId33"/>
    <hyperlink xmlns:r="http://schemas.openxmlformats.org/officeDocument/2006/relationships" ref="AG18" r:id="rId34"/>
    <hyperlink xmlns:r="http://schemas.openxmlformats.org/officeDocument/2006/relationships" ref="AF19" r:id="rId35"/>
    <hyperlink xmlns:r="http://schemas.openxmlformats.org/officeDocument/2006/relationships" ref="AG19" r:id="rId36"/>
    <hyperlink xmlns:r="http://schemas.openxmlformats.org/officeDocument/2006/relationships" ref="AF20" r:id="rId37"/>
    <hyperlink xmlns:r="http://schemas.openxmlformats.org/officeDocument/2006/relationships" ref="AG20" r:id="rId38"/>
    <hyperlink xmlns:r="http://schemas.openxmlformats.org/officeDocument/2006/relationships" ref="AF21" r:id="rId39"/>
    <hyperlink xmlns:r="http://schemas.openxmlformats.org/officeDocument/2006/relationships" ref="AG21" r:id="rId40"/>
    <hyperlink xmlns:r="http://schemas.openxmlformats.org/officeDocument/2006/relationships" ref="AF22" r:id="rId41"/>
    <hyperlink xmlns:r="http://schemas.openxmlformats.org/officeDocument/2006/relationships" ref="AG22" r:id="rId42"/>
    <hyperlink xmlns:r="http://schemas.openxmlformats.org/officeDocument/2006/relationships" ref="AF23" r:id="rId43"/>
    <hyperlink xmlns:r="http://schemas.openxmlformats.org/officeDocument/2006/relationships" ref="AG23" r:id="rId44"/>
    <hyperlink xmlns:r="http://schemas.openxmlformats.org/officeDocument/2006/relationships" ref="AF24" r:id="rId45"/>
    <hyperlink xmlns:r="http://schemas.openxmlformats.org/officeDocument/2006/relationships" ref="AG24" r:id="rId46"/>
    <hyperlink xmlns:r="http://schemas.openxmlformats.org/officeDocument/2006/relationships" ref="AF25" r:id="rId47"/>
    <hyperlink xmlns:r="http://schemas.openxmlformats.org/officeDocument/2006/relationships" ref="AG25" r:id="rId48"/>
    <hyperlink xmlns:r="http://schemas.openxmlformats.org/officeDocument/2006/relationships" ref="AF26" r:id="rId49"/>
    <hyperlink xmlns:r="http://schemas.openxmlformats.org/officeDocument/2006/relationships" ref="AG26" r:id="rId50"/>
    <hyperlink xmlns:r="http://schemas.openxmlformats.org/officeDocument/2006/relationships" ref="AF27" r:id="rId51"/>
    <hyperlink xmlns:r="http://schemas.openxmlformats.org/officeDocument/2006/relationships" ref="AG27" r:id="rId52"/>
    <hyperlink xmlns:r="http://schemas.openxmlformats.org/officeDocument/2006/relationships" ref="AF28" r:id="rId53"/>
    <hyperlink xmlns:r="http://schemas.openxmlformats.org/officeDocument/2006/relationships" ref="AG28" r:id="rId54"/>
    <hyperlink xmlns:r="http://schemas.openxmlformats.org/officeDocument/2006/relationships" ref="AF29" r:id="rId55"/>
    <hyperlink xmlns:r="http://schemas.openxmlformats.org/officeDocument/2006/relationships" ref="AG29" r:id="rId56"/>
    <hyperlink xmlns:r="http://schemas.openxmlformats.org/officeDocument/2006/relationships" ref="AF30" r:id="rId57"/>
    <hyperlink xmlns:r="http://schemas.openxmlformats.org/officeDocument/2006/relationships" ref="AG30" r:id="rId58"/>
    <hyperlink xmlns:r="http://schemas.openxmlformats.org/officeDocument/2006/relationships" ref="AF31" r:id="rId59"/>
    <hyperlink xmlns:r="http://schemas.openxmlformats.org/officeDocument/2006/relationships" ref="AG31" r:id="rId60"/>
    <hyperlink xmlns:r="http://schemas.openxmlformats.org/officeDocument/2006/relationships" ref="AF32" r:id="rId61"/>
    <hyperlink xmlns:r="http://schemas.openxmlformats.org/officeDocument/2006/relationships" ref="AG32" r:id="rId62"/>
    <hyperlink xmlns:r="http://schemas.openxmlformats.org/officeDocument/2006/relationships" ref="AF33" r:id="rId63"/>
    <hyperlink xmlns:r="http://schemas.openxmlformats.org/officeDocument/2006/relationships" ref="AG33" r:id="rId64"/>
    <hyperlink xmlns:r="http://schemas.openxmlformats.org/officeDocument/2006/relationships" ref="AF34" r:id="rId65"/>
    <hyperlink xmlns:r="http://schemas.openxmlformats.org/officeDocument/2006/relationships" ref="AG34" r:id="rId66"/>
    <hyperlink xmlns:r="http://schemas.openxmlformats.org/officeDocument/2006/relationships" ref="AF35" r:id="rId67"/>
    <hyperlink xmlns:r="http://schemas.openxmlformats.org/officeDocument/2006/relationships" ref="AG35" r:id="rId68"/>
    <hyperlink xmlns:r="http://schemas.openxmlformats.org/officeDocument/2006/relationships" ref="AF36" r:id="rId69"/>
    <hyperlink xmlns:r="http://schemas.openxmlformats.org/officeDocument/2006/relationships" ref="AG36" r:id="rId70"/>
    <hyperlink xmlns:r="http://schemas.openxmlformats.org/officeDocument/2006/relationships" ref="AF37" r:id="rId71"/>
    <hyperlink xmlns:r="http://schemas.openxmlformats.org/officeDocument/2006/relationships" ref="AG37" r:id="rId72"/>
    <hyperlink xmlns:r="http://schemas.openxmlformats.org/officeDocument/2006/relationships" ref="AF38" r:id="rId73"/>
    <hyperlink xmlns:r="http://schemas.openxmlformats.org/officeDocument/2006/relationships" ref="AG38" r:id="rId74"/>
    <hyperlink xmlns:r="http://schemas.openxmlformats.org/officeDocument/2006/relationships" ref="AF39" r:id="rId75"/>
    <hyperlink xmlns:r="http://schemas.openxmlformats.org/officeDocument/2006/relationships" ref="AG39" r:id="rId76"/>
    <hyperlink xmlns:r="http://schemas.openxmlformats.org/officeDocument/2006/relationships" ref="AF40" r:id="rId77"/>
    <hyperlink xmlns:r="http://schemas.openxmlformats.org/officeDocument/2006/relationships" ref="AG40" r:id="rId78"/>
    <hyperlink xmlns:r="http://schemas.openxmlformats.org/officeDocument/2006/relationships" ref="AF41" r:id="rId79"/>
    <hyperlink xmlns:r="http://schemas.openxmlformats.org/officeDocument/2006/relationships" ref="AG41" r:id="rId80"/>
    <hyperlink xmlns:r="http://schemas.openxmlformats.org/officeDocument/2006/relationships" ref="AF42" r:id="rId81"/>
    <hyperlink xmlns:r="http://schemas.openxmlformats.org/officeDocument/2006/relationships" ref="AG42" r:id="rId82"/>
    <hyperlink xmlns:r="http://schemas.openxmlformats.org/officeDocument/2006/relationships" ref="AF43" r:id="rId83"/>
    <hyperlink xmlns:r="http://schemas.openxmlformats.org/officeDocument/2006/relationships" ref="AG43" r:id="rId84"/>
    <hyperlink xmlns:r="http://schemas.openxmlformats.org/officeDocument/2006/relationships" ref="AF44" r:id="rId85"/>
    <hyperlink xmlns:r="http://schemas.openxmlformats.org/officeDocument/2006/relationships" ref="AG44" r:id="rId86"/>
    <hyperlink xmlns:r="http://schemas.openxmlformats.org/officeDocument/2006/relationships" ref="AF45" r:id="rId87"/>
    <hyperlink xmlns:r="http://schemas.openxmlformats.org/officeDocument/2006/relationships" ref="AG45" r:id="rId88"/>
    <hyperlink xmlns:r="http://schemas.openxmlformats.org/officeDocument/2006/relationships" ref="AF46" r:id="rId89"/>
    <hyperlink xmlns:r="http://schemas.openxmlformats.org/officeDocument/2006/relationships" ref="AG46" r:id="rId90"/>
    <hyperlink xmlns:r="http://schemas.openxmlformats.org/officeDocument/2006/relationships" ref="AF47" r:id="rId91"/>
    <hyperlink xmlns:r="http://schemas.openxmlformats.org/officeDocument/2006/relationships" ref="AG47" r:id="rId92"/>
    <hyperlink xmlns:r="http://schemas.openxmlformats.org/officeDocument/2006/relationships" ref="AF48" r:id="rId93"/>
    <hyperlink xmlns:r="http://schemas.openxmlformats.org/officeDocument/2006/relationships" ref="AG48" r:id="rId94"/>
    <hyperlink xmlns:r="http://schemas.openxmlformats.org/officeDocument/2006/relationships" ref="AF49" r:id="rId95"/>
    <hyperlink xmlns:r="http://schemas.openxmlformats.org/officeDocument/2006/relationships" ref="AG49" r:id="rId96"/>
    <hyperlink xmlns:r="http://schemas.openxmlformats.org/officeDocument/2006/relationships" ref="AF50" r:id="rId97"/>
    <hyperlink xmlns:r="http://schemas.openxmlformats.org/officeDocument/2006/relationships" ref="AG50" r:id="rId98"/>
    <hyperlink xmlns:r="http://schemas.openxmlformats.org/officeDocument/2006/relationships" ref="AF51" r:id="rId99"/>
    <hyperlink xmlns:r="http://schemas.openxmlformats.org/officeDocument/2006/relationships" ref="AG51" r:id="rId100"/>
    <hyperlink xmlns:r="http://schemas.openxmlformats.org/officeDocument/2006/relationships" ref="AF52" r:id="rId101"/>
    <hyperlink xmlns:r="http://schemas.openxmlformats.org/officeDocument/2006/relationships" ref="AG52" r:id="rId102"/>
    <hyperlink xmlns:r="http://schemas.openxmlformats.org/officeDocument/2006/relationships" ref="AF53" r:id="rId103"/>
    <hyperlink xmlns:r="http://schemas.openxmlformats.org/officeDocument/2006/relationships" ref="AG53" r:id="rId104"/>
    <hyperlink xmlns:r="http://schemas.openxmlformats.org/officeDocument/2006/relationships" ref="AF54" r:id="rId105"/>
    <hyperlink xmlns:r="http://schemas.openxmlformats.org/officeDocument/2006/relationships" ref="AG54" r:id="rId106"/>
    <hyperlink xmlns:r="http://schemas.openxmlformats.org/officeDocument/2006/relationships" ref="AF55" r:id="rId107"/>
    <hyperlink xmlns:r="http://schemas.openxmlformats.org/officeDocument/2006/relationships" ref="AG55" r:id="rId108"/>
    <hyperlink xmlns:r="http://schemas.openxmlformats.org/officeDocument/2006/relationships" ref="AF56" r:id="rId109"/>
    <hyperlink xmlns:r="http://schemas.openxmlformats.org/officeDocument/2006/relationships" ref="AG56" r:id="rId110"/>
    <hyperlink xmlns:r="http://schemas.openxmlformats.org/officeDocument/2006/relationships" ref="AF57" r:id="rId111"/>
    <hyperlink xmlns:r="http://schemas.openxmlformats.org/officeDocument/2006/relationships" ref="AG57" r:id="rId112"/>
    <hyperlink xmlns:r="http://schemas.openxmlformats.org/officeDocument/2006/relationships" ref="AF58" r:id="rId113"/>
    <hyperlink xmlns:r="http://schemas.openxmlformats.org/officeDocument/2006/relationships" ref="AG58" r:id="rId114"/>
    <hyperlink xmlns:r="http://schemas.openxmlformats.org/officeDocument/2006/relationships" ref="AF59" r:id="rId115"/>
    <hyperlink xmlns:r="http://schemas.openxmlformats.org/officeDocument/2006/relationships" ref="AG59" r:id="rId116"/>
    <hyperlink xmlns:r="http://schemas.openxmlformats.org/officeDocument/2006/relationships" ref="AF60" r:id="rId117"/>
    <hyperlink xmlns:r="http://schemas.openxmlformats.org/officeDocument/2006/relationships" ref="AG60" r:id="rId118"/>
    <hyperlink xmlns:r="http://schemas.openxmlformats.org/officeDocument/2006/relationships" ref="AF61" r:id="rId119"/>
    <hyperlink xmlns:r="http://schemas.openxmlformats.org/officeDocument/2006/relationships" ref="AG61" r:id="rId120"/>
    <hyperlink xmlns:r="http://schemas.openxmlformats.org/officeDocument/2006/relationships" ref="AF62" r:id="rId121"/>
    <hyperlink xmlns:r="http://schemas.openxmlformats.org/officeDocument/2006/relationships" ref="AG62" r:id="rId122"/>
    <hyperlink xmlns:r="http://schemas.openxmlformats.org/officeDocument/2006/relationships" ref="AF63" r:id="rId123"/>
    <hyperlink xmlns:r="http://schemas.openxmlformats.org/officeDocument/2006/relationships" ref="AG63" r:id="rId124"/>
    <hyperlink xmlns:r="http://schemas.openxmlformats.org/officeDocument/2006/relationships" ref="AF64" r:id="rId125"/>
    <hyperlink xmlns:r="http://schemas.openxmlformats.org/officeDocument/2006/relationships" ref="AG64" r:id="rId126"/>
    <hyperlink xmlns:r="http://schemas.openxmlformats.org/officeDocument/2006/relationships" ref="AF65" r:id="rId127"/>
    <hyperlink xmlns:r="http://schemas.openxmlformats.org/officeDocument/2006/relationships" ref="AG65" r:id="rId128"/>
    <hyperlink xmlns:r="http://schemas.openxmlformats.org/officeDocument/2006/relationships" ref="AF66" r:id="rId129"/>
    <hyperlink xmlns:r="http://schemas.openxmlformats.org/officeDocument/2006/relationships" ref="AG66" r:id="rId130"/>
    <hyperlink xmlns:r="http://schemas.openxmlformats.org/officeDocument/2006/relationships" ref="AF67" r:id="rId131"/>
    <hyperlink xmlns:r="http://schemas.openxmlformats.org/officeDocument/2006/relationships" ref="AG67" r:id="rId132"/>
    <hyperlink xmlns:r="http://schemas.openxmlformats.org/officeDocument/2006/relationships" ref="AF68" r:id="rId133"/>
    <hyperlink xmlns:r="http://schemas.openxmlformats.org/officeDocument/2006/relationships" ref="AG68" r:id="rId134"/>
    <hyperlink xmlns:r="http://schemas.openxmlformats.org/officeDocument/2006/relationships" ref="AF69" r:id="rId135"/>
    <hyperlink xmlns:r="http://schemas.openxmlformats.org/officeDocument/2006/relationships" ref="AG69" r:id="rId136"/>
    <hyperlink xmlns:r="http://schemas.openxmlformats.org/officeDocument/2006/relationships" ref="AF70" r:id="rId137"/>
    <hyperlink xmlns:r="http://schemas.openxmlformats.org/officeDocument/2006/relationships" ref="AG70" r:id="rId138"/>
    <hyperlink xmlns:r="http://schemas.openxmlformats.org/officeDocument/2006/relationships" ref="AF71" r:id="rId139"/>
    <hyperlink xmlns:r="http://schemas.openxmlformats.org/officeDocument/2006/relationships" ref="AG71" r:id="rId140"/>
    <hyperlink xmlns:r="http://schemas.openxmlformats.org/officeDocument/2006/relationships" ref="AF72" r:id="rId141"/>
    <hyperlink xmlns:r="http://schemas.openxmlformats.org/officeDocument/2006/relationships" ref="AG72" r:id="rId142"/>
    <hyperlink xmlns:r="http://schemas.openxmlformats.org/officeDocument/2006/relationships" ref="AF73" r:id="rId143"/>
    <hyperlink xmlns:r="http://schemas.openxmlformats.org/officeDocument/2006/relationships" ref="AG73" r:id="rId144"/>
    <hyperlink xmlns:r="http://schemas.openxmlformats.org/officeDocument/2006/relationships" ref="AF74" r:id="rId145"/>
    <hyperlink xmlns:r="http://schemas.openxmlformats.org/officeDocument/2006/relationships" ref="AG74" r:id="rId146"/>
    <hyperlink xmlns:r="http://schemas.openxmlformats.org/officeDocument/2006/relationships" ref="AF75" r:id="rId147"/>
    <hyperlink xmlns:r="http://schemas.openxmlformats.org/officeDocument/2006/relationships" ref="AG75" r:id="rId148"/>
    <hyperlink xmlns:r="http://schemas.openxmlformats.org/officeDocument/2006/relationships" ref="AF76" r:id="rId149"/>
    <hyperlink xmlns:r="http://schemas.openxmlformats.org/officeDocument/2006/relationships" ref="AG76" r:id="rId150"/>
    <hyperlink xmlns:r="http://schemas.openxmlformats.org/officeDocument/2006/relationships" ref="AF77" r:id="rId151"/>
    <hyperlink xmlns:r="http://schemas.openxmlformats.org/officeDocument/2006/relationships" ref="AG77" r:id="rId152"/>
    <hyperlink xmlns:r="http://schemas.openxmlformats.org/officeDocument/2006/relationships" ref="AF78" r:id="rId153"/>
    <hyperlink xmlns:r="http://schemas.openxmlformats.org/officeDocument/2006/relationships" ref="AG78" r:id="rId154"/>
    <hyperlink xmlns:r="http://schemas.openxmlformats.org/officeDocument/2006/relationships" ref="AF79" r:id="rId155"/>
    <hyperlink xmlns:r="http://schemas.openxmlformats.org/officeDocument/2006/relationships" ref="AG79" r:id="rId156"/>
    <hyperlink xmlns:r="http://schemas.openxmlformats.org/officeDocument/2006/relationships" ref="AF80" r:id="rId157"/>
    <hyperlink xmlns:r="http://schemas.openxmlformats.org/officeDocument/2006/relationships" ref="AG80" r:id="rId158"/>
    <hyperlink xmlns:r="http://schemas.openxmlformats.org/officeDocument/2006/relationships" ref="AF81" r:id="rId159"/>
    <hyperlink xmlns:r="http://schemas.openxmlformats.org/officeDocument/2006/relationships" ref="AG81" r:id="rId160"/>
    <hyperlink xmlns:r="http://schemas.openxmlformats.org/officeDocument/2006/relationships" ref="AF82" r:id="rId161"/>
    <hyperlink xmlns:r="http://schemas.openxmlformats.org/officeDocument/2006/relationships" ref="AG82" r:id="rId162"/>
    <hyperlink xmlns:r="http://schemas.openxmlformats.org/officeDocument/2006/relationships" ref="AF83" r:id="rId163"/>
    <hyperlink xmlns:r="http://schemas.openxmlformats.org/officeDocument/2006/relationships" ref="AG83" r:id="rId164"/>
    <hyperlink xmlns:r="http://schemas.openxmlformats.org/officeDocument/2006/relationships" ref="AF84" r:id="rId165"/>
    <hyperlink xmlns:r="http://schemas.openxmlformats.org/officeDocument/2006/relationships" ref="AG84" r:id="rId166"/>
    <hyperlink xmlns:r="http://schemas.openxmlformats.org/officeDocument/2006/relationships" ref="AF85" r:id="rId167"/>
    <hyperlink xmlns:r="http://schemas.openxmlformats.org/officeDocument/2006/relationships" ref="AG85" r:id="rId168"/>
    <hyperlink xmlns:r="http://schemas.openxmlformats.org/officeDocument/2006/relationships" ref="AF86" r:id="rId169"/>
    <hyperlink xmlns:r="http://schemas.openxmlformats.org/officeDocument/2006/relationships" ref="AG86" r:id="rId170"/>
    <hyperlink xmlns:r="http://schemas.openxmlformats.org/officeDocument/2006/relationships" ref="AF87" r:id="rId171"/>
    <hyperlink xmlns:r="http://schemas.openxmlformats.org/officeDocument/2006/relationships" ref="AG87" r:id="rId172"/>
    <hyperlink xmlns:r="http://schemas.openxmlformats.org/officeDocument/2006/relationships" ref="AF88" r:id="rId173"/>
    <hyperlink xmlns:r="http://schemas.openxmlformats.org/officeDocument/2006/relationships" ref="AG88" r:id="rId174"/>
    <hyperlink xmlns:r="http://schemas.openxmlformats.org/officeDocument/2006/relationships" ref="AF89" r:id="rId175"/>
    <hyperlink xmlns:r="http://schemas.openxmlformats.org/officeDocument/2006/relationships" ref="AG89" r:id="rId176"/>
    <hyperlink xmlns:r="http://schemas.openxmlformats.org/officeDocument/2006/relationships" ref="AF90" r:id="rId177"/>
    <hyperlink xmlns:r="http://schemas.openxmlformats.org/officeDocument/2006/relationships" ref="AG90" r:id="rId178"/>
    <hyperlink xmlns:r="http://schemas.openxmlformats.org/officeDocument/2006/relationships" ref="AF91" r:id="rId179"/>
    <hyperlink xmlns:r="http://schemas.openxmlformats.org/officeDocument/2006/relationships" ref="AG91" r:id="rId180"/>
    <hyperlink xmlns:r="http://schemas.openxmlformats.org/officeDocument/2006/relationships" ref="AF92" r:id="rId181"/>
    <hyperlink xmlns:r="http://schemas.openxmlformats.org/officeDocument/2006/relationships" ref="AG92" r:id="rId182"/>
    <hyperlink xmlns:r="http://schemas.openxmlformats.org/officeDocument/2006/relationships" ref="AF93" r:id="rId183"/>
    <hyperlink xmlns:r="http://schemas.openxmlformats.org/officeDocument/2006/relationships" ref="AG93" r:id="rId184"/>
    <hyperlink xmlns:r="http://schemas.openxmlformats.org/officeDocument/2006/relationships" ref="AF94" r:id="rId185"/>
    <hyperlink xmlns:r="http://schemas.openxmlformats.org/officeDocument/2006/relationships" ref="AG94" r:id="rId186"/>
    <hyperlink xmlns:r="http://schemas.openxmlformats.org/officeDocument/2006/relationships" ref="AF95" r:id="rId187"/>
    <hyperlink xmlns:r="http://schemas.openxmlformats.org/officeDocument/2006/relationships" ref="AG95" r:id="rId188"/>
    <hyperlink xmlns:r="http://schemas.openxmlformats.org/officeDocument/2006/relationships" ref="AF96" r:id="rId189"/>
    <hyperlink xmlns:r="http://schemas.openxmlformats.org/officeDocument/2006/relationships" ref="AG96" r:id="rId190"/>
    <hyperlink xmlns:r="http://schemas.openxmlformats.org/officeDocument/2006/relationships" ref="AF97" r:id="rId191"/>
    <hyperlink xmlns:r="http://schemas.openxmlformats.org/officeDocument/2006/relationships" ref="AG97" r:id="rId192"/>
    <hyperlink xmlns:r="http://schemas.openxmlformats.org/officeDocument/2006/relationships" ref="AF98" r:id="rId193"/>
    <hyperlink xmlns:r="http://schemas.openxmlformats.org/officeDocument/2006/relationships" ref="AG98" r:id="rId194"/>
    <hyperlink xmlns:r="http://schemas.openxmlformats.org/officeDocument/2006/relationships" ref="AF99" r:id="rId195"/>
    <hyperlink xmlns:r="http://schemas.openxmlformats.org/officeDocument/2006/relationships" ref="AG99" r:id="rId196"/>
    <hyperlink xmlns:r="http://schemas.openxmlformats.org/officeDocument/2006/relationships" ref="AF100" r:id="rId197"/>
    <hyperlink xmlns:r="http://schemas.openxmlformats.org/officeDocument/2006/relationships" ref="AG100" r:id="rId198"/>
    <hyperlink xmlns:r="http://schemas.openxmlformats.org/officeDocument/2006/relationships" ref="AF101" r:id="rId199"/>
    <hyperlink xmlns:r="http://schemas.openxmlformats.org/officeDocument/2006/relationships" ref="AG101" r:id="rId200"/>
    <hyperlink xmlns:r="http://schemas.openxmlformats.org/officeDocument/2006/relationships" ref="AF102" r:id="rId201"/>
    <hyperlink xmlns:r="http://schemas.openxmlformats.org/officeDocument/2006/relationships" ref="AG102" r:id="rId202"/>
    <hyperlink xmlns:r="http://schemas.openxmlformats.org/officeDocument/2006/relationships" ref="AF103" r:id="rId203"/>
    <hyperlink xmlns:r="http://schemas.openxmlformats.org/officeDocument/2006/relationships" ref="AG103" r:id="rId204"/>
    <hyperlink xmlns:r="http://schemas.openxmlformats.org/officeDocument/2006/relationships" ref="AF104" r:id="rId205"/>
    <hyperlink xmlns:r="http://schemas.openxmlformats.org/officeDocument/2006/relationships" ref="AG104" r:id="rId206"/>
    <hyperlink xmlns:r="http://schemas.openxmlformats.org/officeDocument/2006/relationships" ref="AF105" r:id="rId207"/>
    <hyperlink xmlns:r="http://schemas.openxmlformats.org/officeDocument/2006/relationships" ref="AG105" r:id="rId208"/>
    <hyperlink xmlns:r="http://schemas.openxmlformats.org/officeDocument/2006/relationships" ref="AF106" r:id="rId209"/>
    <hyperlink xmlns:r="http://schemas.openxmlformats.org/officeDocument/2006/relationships" ref="AG106" r:id="rId210"/>
    <hyperlink xmlns:r="http://schemas.openxmlformats.org/officeDocument/2006/relationships" ref="AF107" r:id="rId211"/>
    <hyperlink xmlns:r="http://schemas.openxmlformats.org/officeDocument/2006/relationships" ref="AG107" r:id="rId212"/>
    <hyperlink xmlns:r="http://schemas.openxmlformats.org/officeDocument/2006/relationships" ref="AF108" r:id="rId213"/>
    <hyperlink xmlns:r="http://schemas.openxmlformats.org/officeDocument/2006/relationships" ref="AG108" r:id="rId214"/>
    <hyperlink xmlns:r="http://schemas.openxmlformats.org/officeDocument/2006/relationships" ref="AF109" r:id="rId215"/>
    <hyperlink xmlns:r="http://schemas.openxmlformats.org/officeDocument/2006/relationships" ref="AG109" r:id="rId216"/>
    <hyperlink xmlns:r="http://schemas.openxmlformats.org/officeDocument/2006/relationships" ref="AF110" r:id="rId217"/>
    <hyperlink xmlns:r="http://schemas.openxmlformats.org/officeDocument/2006/relationships" ref="AG110" r:id="rId218"/>
    <hyperlink xmlns:r="http://schemas.openxmlformats.org/officeDocument/2006/relationships" ref="AF111" r:id="rId219"/>
    <hyperlink xmlns:r="http://schemas.openxmlformats.org/officeDocument/2006/relationships" ref="AG111" r:id="rId220"/>
    <hyperlink xmlns:r="http://schemas.openxmlformats.org/officeDocument/2006/relationships" ref="AF112" r:id="rId221"/>
    <hyperlink xmlns:r="http://schemas.openxmlformats.org/officeDocument/2006/relationships" ref="AG112" r:id="rId222"/>
    <hyperlink xmlns:r="http://schemas.openxmlformats.org/officeDocument/2006/relationships" ref="AF113" r:id="rId223"/>
    <hyperlink xmlns:r="http://schemas.openxmlformats.org/officeDocument/2006/relationships" ref="AG113" r:id="rId224"/>
    <hyperlink xmlns:r="http://schemas.openxmlformats.org/officeDocument/2006/relationships" ref="AF114" r:id="rId225"/>
    <hyperlink xmlns:r="http://schemas.openxmlformats.org/officeDocument/2006/relationships" ref="AG114" r:id="rId226"/>
    <hyperlink xmlns:r="http://schemas.openxmlformats.org/officeDocument/2006/relationships" ref="AF115" r:id="rId227"/>
    <hyperlink xmlns:r="http://schemas.openxmlformats.org/officeDocument/2006/relationships" ref="AG115" r:id="rId228"/>
    <hyperlink xmlns:r="http://schemas.openxmlformats.org/officeDocument/2006/relationships" ref="AF116" r:id="rId229"/>
    <hyperlink xmlns:r="http://schemas.openxmlformats.org/officeDocument/2006/relationships" ref="AG116" r:id="rId230"/>
    <hyperlink xmlns:r="http://schemas.openxmlformats.org/officeDocument/2006/relationships" ref="AF117" r:id="rId231"/>
    <hyperlink xmlns:r="http://schemas.openxmlformats.org/officeDocument/2006/relationships" ref="AG117" r:id="rId232"/>
  </hyperlink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AL42"/>
  <sheetViews>
    <sheetView showGridLines="0" workbookViewId="0">
      <pane xSplit="1" ySplit="1" topLeftCell="B2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6" customWidth="1" min="1" max="1"/>
    <col width="26" customWidth="1" min="2" max="2"/>
    <col width="16" customWidth="1" min="3" max="3"/>
    <col width="12" customWidth="1" min="4" max="4"/>
    <col width="12" customWidth="1" min="5" max="5"/>
    <col width="12" customWidth="1" min="6" max="6"/>
    <col width="12" customWidth="1" min="7" max="7"/>
    <col width="13" customWidth="1" min="8" max="8"/>
    <col width="20" customWidth="1" min="9" max="9"/>
    <col width="12" customWidth="1" min="10" max="10"/>
    <col width="10" customWidth="1" min="11" max="11"/>
    <col width="44" customWidth="1" min="12" max="12"/>
    <col width="14" customWidth="1" min="13" max="13"/>
    <col width="10" customWidth="1" min="14" max="14"/>
    <col width="60" customWidth="1" min="15" max="15"/>
    <col width="10" customWidth="1" min="16" max="16"/>
    <col width="34" customWidth="1" min="17" max="17"/>
    <col width="18" customWidth="1" min="18" max="18"/>
    <col width="26" customWidth="1" min="19" max="19"/>
    <col width="26" customWidth="1" min="20" max="20"/>
    <col width="26" customWidth="1" min="21" max="21"/>
    <col width="14" customWidth="1" min="22" max="22"/>
    <col width="18" customWidth="1" min="23" max="23"/>
    <col width="18" customWidth="1" min="24" max="24"/>
    <col width="24" customWidth="1" min="25" max="25"/>
    <col width="34" customWidth="1" min="26" max="26"/>
    <col width="26" customWidth="1" min="27" max="27"/>
    <col width="52" customWidth="1" min="28" max="28"/>
    <col width="52" customWidth="1" min="29" max="29"/>
    <col width="64" customWidth="1" min="30" max="30"/>
    <col width="15" customWidth="1" min="31" max="31"/>
    <col width="14" customWidth="1" min="32" max="32"/>
    <col width="10" customWidth="1" min="33" max="33"/>
    <col width="14" customWidth="1" min="34" max="34"/>
    <col width="32" customWidth="1" min="35" max="35"/>
    <col width="18" customWidth="1" min="36" max="36"/>
    <col width="16" customWidth="1" min="37" max="37"/>
    <col width="20" customWidth="1" min="38" max="38"/>
  </cols>
  <sheetData>
    <row r="1" ht="46" customHeight="1">
      <c r="A1" s="1" t="inlineStr">
        <is>
          <t>Référence SEAGO</t>
        </is>
      </c>
      <c r="B1" s="1" t="inlineStr">
        <is>
          <t>Type</t>
        </is>
      </c>
      <c r="C1" s="1" t="inlineStr">
        <is>
          <t>Capacité réservoir (mL)</t>
        </is>
      </c>
      <c r="D1" s="1" t="inlineStr">
        <is>
          <t>Nombre de modes</t>
        </is>
      </c>
      <c r="E1" s="1" t="inlineStr">
        <is>
          <t>Pression min (PSI)</t>
        </is>
      </c>
      <c r="F1" s="1" t="inlineStr">
        <is>
          <t>Pression max (PSI)</t>
        </is>
      </c>
      <c r="G1" s="1" t="inlineStr">
        <is>
          <t>Batterie (mAh)</t>
        </is>
      </c>
      <c r="H1" s="1" t="inlineStr">
        <is>
          <t>Tension batterie (V)</t>
        </is>
      </c>
      <c r="I1" s="1" t="inlineStr">
        <is>
          <t>Mode de charge</t>
        </is>
      </c>
      <c r="J1" s="1" t="inlineStr">
        <is>
          <t>Étanchéité (IPX)</t>
        </is>
      </c>
      <c r="K1" s="1" t="inlineStr">
        <is>
          <t>Poids (g)</t>
        </is>
      </c>
      <c r="L1" s="1" t="inlineStr">
        <is>
          <t>Dimensions L*l*H (mm)</t>
        </is>
      </c>
      <c r="M1" s="1" t="inlineStr">
        <is>
          <t>Buse rotative 360°</t>
        </is>
      </c>
      <c r="N1" s="1" t="inlineStr">
        <is>
          <t>Minuteur</t>
        </is>
      </c>
      <c r="O1" s="1" t="inlineStr">
        <is>
          <t>Fonctions différenciantes</t>
        </is>
      </c>
      <c r="P1" s="1" t="inlineStr">
        <is>
          <t>Page catalogue</t>
        </is>
      </c>
      <c r="Q1" s="2" t="inlineStr">
        <is>
          <t>Produit concurrent</t>
        </is>
      </c>
      <c r="R1" s="2" t="inlineStr">
        <is>
          <t>Marque concurrente</t>
        </is>
      </c>
      <c r="S1" s="2" t="inlineStr">
        <is>
          <t>Technologie concurrent</t>
        </is>
      </c>
      <c r="T1" s="2" t="inlineStr">
        <is>
          <t>Fréquence / débit concurrent</t>
        </is>
      </c>
      <c r="U1" s="2" t="inlineStr">
        <is>
          <t>Modes concurrent</t>
        </is>
      </c>
      <c r="V1" s="2" t="inlineStr">
        <is>
          <t>Autonomie concurrent (jours)</t>
        </is>
      </c>
      <c r="W1" s="2" t="inlineStr">
        <is>
          <t>Étanchéité concurrent</t>
        </is>
      </c>
      <c r="X1" s="2" t="inlineStr">
        <is>
          <t>Capteur de pression concurrent</t>
        </is>
      </c>
      <c r="Y1" s="2" t="inlineStr">
        <is>
          <t>Alimentation / charge concurrent</t>
        </is>
      </c>
      <c r="Z1" s="2" t="inlineStr">
        <is>
          <t>Marchés où le produit est distribué</t>
        </is>
      </c>
      <c r="AA1" s="2" t="inlineStr">
        <is>
          <t>Canal de distribution</t>
        </is>
      </c>
      <c r="AB1" s="2" t="inlineStr">
        <is>
          <t>Lien produit concurrent</t>
        </is>
      </c>
      <c r="AC1" s="2" t="inlineStr">
        <is>
          <t>Lien source secondaire</t>
        </is>
      </c>
      <c r="AD1" s="2" t="inlineStr">
        <is>
          <t>Base du rapprochement et écart technique</t>
        </is>
      </c>
      <c r="AE1" s="3" t="inlineStr">
        <is>
          <t>Prix concurrent</t>
        </is>
      </c>
      <c r="AF1" s="3" t="inlineStr">
        <is>
          <t>Prix SEAGO</t>
        </is>
      </c>
      <c r="AG1" s="3" t="inlineStr">
        <is>
          <t>Devise</t>
        </is>
      </c>
      <c r="AH1" s="3" t="inlineStr">
        <is>
          <t>Date du relevé</t>
        </is>
      </c>
      <c r="AI1" s="3" t="inlineStr">
        <is>
          <t>Commentaire</t>
        </is>
      </c>
      <c r="AJ1" s="4" t="inlineStr">
        <is>
          <t>Écart de prix (valeur)</t>
        </is>
      </c>
      <c r="AK1" s="4" t="inlineStr">
        <is>
          <t>Écart de prix (%)</t>
        </is>
      </c>
      <c r="AL1" s="4" t="inlineStr">
        <is>
          <t>Positionnement prix</t>
        </is>
      </c>
    </row>
    <row r="2">
      <c r="A2" s="5" t="inlineStr">
        <is>
          <t>SG-8026</t>
        </is>
      </c>
      <c r="B2" s="5" t="inlineStr">
        <is>
          <t>Portable (sans fil)</t>
        </is>
      </c>
      <c r="C2" s="7" t="n">
        <v>350</v>
      </c>
      <c r="D2" s="7" t="n">
        <v>4</v>
      </c>
      <c r="E2" s="7" t="n">
        <v>80</v>
      </c>
      <c r="F2" s="7" t="n">
        <v>160</v>
      </c>
      <c r="G2" s="7" t="n">
        <v>1500</v>
      </c>
      <c r="H2" s="9" t="n">
        <v>3.7</v>
      </c>
      <c r="I2" s="5" t="inlineStr">
        <is>
          <t>Type-C</t>
        </is>
      </c>
      <c r="J2" s="5" t="inlineStr">
        <is>
          <t>IPX7</t>
        </is>
      </c>
      <c r="K2" s="9" t="n">
        <v>305</v>
      </c>
      <c r="L2" s="5" t="inlineStr">
        <is>
          <t>84*61*303</t>
        </is>
      </c>
      <c r="M2" s="5" t="inlineStr">
        <is>
          <t>Oui</t>
        </is>
      </c>
      <c r="N2" s="5" t="inlineStr">
        <is>
          <t>Non</t>
        </is>
      </c>
      <c r="O2" s="10" t="inlineStr">
        <is>
          <t>Modes DIY, fonction shoot avec pause à tout moment, réservoir 350 mL détachable pour un nettoyage facile</t>
        </is>
      </c>
      <c r="P2" s="11" t="n">
        <v>6</v>
      </c>
      <c r="Q2" s="12" t="inlineStr">
        <is>
          <t>Cordless Advanced WP-560</t>
        </is>
      </c>
      <c r="R2" s="12" t="inlineStr">
        <is>
          <t>Waterpik</t>
        </is>
      </c>
      <c r="S2" s="12" t="inlineStr">
        <is>
          <t>Hydropulseur portable sans fil</t>
        </is>
      </c>
      <c r="T2" s="29" t="inlineStr">
        <is>
          <t>N/D</t>
        </is>
      </c>
      <c r="U2" s="12" t="inlineStr">
        <is>
          <t>3 réglages de pression</t>
        </is>
      </c>
      <c r="V2" s="29" t="inlineStr">
        <is>
          <t>N/D</t>
        </is>
      </c>
      <c r="W2" s="29" t="inlineStr">
        <is>
          <t>N/D</t>
        </is>
      </c>
      <c r="X2" s="29" t="inlineStr">
        <is>
          <t>N/D</t>
        </is>
      </c>
      <c r="Y2" s="12" t="inlineStr">
        <is>
          <t>Charge magnétique, 4 h</t>
        </is>
      </c>
      <c r="Z2" s="12" t="inlineStr">
        <is>
          <t>Non vérifié sur les marchés cibles</t>
        </is>
      </c>
      <c r="AA2" s="12" t="inlineStr">
        <is>
          <t>Retail spécialisé, pharmacies</t>
        </is>
      </c>
      <c r="AB2" s="13" t="inlineStr">
        <is>
          <t>https://www.waterpik.ch/en/oral-health/products/dental-water-flosser/WP-560/</t>
        </is>
      </c>
      <c r="AC2" s="13" t="inlineStr">
        <is>
          <t>https://www.electricteeth.com/waterpik-cordless-advanced-wp560-review/</t>
        </is>
      </c>
      <c r="AD2" s="12" t="inlineStr">
        <is>
          <t>Rapprochement sur le format portable sans fil et un réservoir de grande capacité. Pression 45-75 PSI, réservoir 207 mL (7 oz), 4 buses, rotation 360 degrés. Référence du segment.</t>
        </is>
      </c>
      <c r="AE2" s="14" t="n"/>
      <c r="AF2" s="14" t="n"/>
      <c r="AG2" s="15" t="n"/>
      <c r="AH2" s="16" t="n"/>
      <c r="AI2" s="15" t="n"/>
      <c r="AJ2" s="17">
        <f>IF(OR(AF2="",AE2=""),"",AF2-AE2)</f>
        <v/>
      </c>
      <c r="AK2" s="18">
        <f>IF(OR(AF2="",AE2="",AE2=0),"",(AF2-AE2)/AE2)</f>
        <v/>
      </c>
      <c r="AL2" s="19">
        <f>IF(AK2="","",IF(AK2&lt;-0.05,"Moins cher",IF(AK2&gt;0.05,"Plus cher","Équivalent")))</f>
        <v/>
      </c>
    </row>
    <row r="3">
      <c r="A3" s="20" t="inlineStr">
        <is>
          <t>SG-8020</t>
        </is>
      </c>
      <c r="B3" s="20" t="inlineStr">
        <is>
          <t>Sur socle (plan de travail)</t>
        </is>
      </c>
      <c r="C3" s="22" t="n">
        <v>500</v>
      </c>
      <c r="D3" s="22" t="n">
        <v>4</v>
      </c>
      <c r="E3" s="27" t="inlineStr">
        <is>
          <t>N/D</t>
        </is>
      </c>
      <c r="F3" s="27" t="inlineStr">
        <is>
          <t>N/D</t>
        </is>
      </c>
      <c r="G3" s="22" t="n">
        <v>1500</v>
      </c>
      <c r="H3" s="23" t="n">
        <v>7.4</v>
      </c>
      <c r="I3" s="20" t="inlineStr">
        <is>
          <t>USB</t>
        </is>
      </c>
      <c r="J3" s="20" t="inlineStr">
        <is>
          <t>IPX7</t>
        </is>
      </c>
      <c r="K3" s="26" t="inlineStr">
        <is>
          <t>N/D</t>
        </is>
      </c>
      <c r="L3" s="20" t="inlineStr">
        <is>
          <t>191.8*96.3*196.3</t>
        </is>
      </c>
      <c r="M3" s="28" t="inlineStr">
        <is>
          <t>N/D</t>
        </is>
      </c>
      <c r="N3" s="20" t="inlineStr">
        <is>
          <t>Oui</t>
        </is>
      </c>
      <c r="O3" s="24" t="inlineStr">
        <is>
          <t>Changement de mode visible sur le réservoir, modes 1, 2 et 4 avec 9 intensités, manche fin à bouton poussoir, mémoire intelligente, protection surcharge et décharge profonde</t>
        </is>
      </c>
      <c r="P3" s="25" t="n">
        <v>95</v>
      </c>
      <c r="Q3" s="12" t="inlineStr">
        <is>
          <t>Cordless Advanced WP-560</t>
        </is>
      </c>
      <c r="R3" s="12" t="inlineStr">
        <is>
          <t>Waterpik</t>
        </is>
      </c>
      <c r="S3" s="12" t="inlineStr">
        <is>
          <t>Hydropulseur portable sans fil</t>
        </is>
      </c>
      <c r="T3" s="29" t="inlineStr">
        <is>
          <t>N/D</t>
        </is>
      </c>
      <c r="U3" s="12" t="inlineStr">
        <is>
          <t>3 réglages de pression</t>
        </is>
      </c>
      <c r="V3" s="29" t="inlineStr">
        <is>
          <t>N/D</t>
        </is>
      </c>
      <c r="W3" s="29" t="inlineStr">
        <is>
          <t>N/D</t>
        </is>
      </c>
      <c r="X3" s="29" t="inlineStr">
        <is>
          <t>N/D</t>
        </is>
      </c>
      <c r="Y3" s="12" t="inlineStr">
        <is>
          <t>Charge magnétique, 4 h</t>
        </is>
      </c>
      <c r="Z3" s="12" t="inlineStr">
        <is>
          <t>Non vérifié sur les marchés cibles</t>
        </is>
      </c>
      <c r="AA3" s="12" t="inlineStr">
        <is>
          <t>Retail spécialisé, pharmacies</t>
        </is>
      </c>
      <c r="AB3" s="13" t="inlineStr">
        <is>
          <t>https://www.waterpik.ch/en/oral-health/products/dental-water-flosser/WP-560/</t>
        </is>
      </c>
      <c r="AC3" s="13" t="inlineStr">
        <is>
          <t>https://www.electricteeth.com/waterpik-cordless-advanced-wp560-review/</t>
        </is>
      </c>
      <c r="AD3" s="12" t="inlineStr">
        <is>
          <t>Rapprochement sur la catégorie hydropulseur haut de gamme. Écart : le SEAGO est un modèle de comptoir, le concurrent est portable. Aucun modèle de comptoir n'a pu être sourcé avec un lien vérifié. Pression 45-75 PSI, réservoir 207 mL (7 oz), 4 buses, rotation 360 degrés. Référence du segment.</t>
        </is>
      </c>
      <c r="AE3" s="14" t="n"/>
      <c r="AF3" s="14" t="n"/>
      <c r="AG3" s="15" t="n"/>
      <c r="AH3" s="16" t="n"/>
      <c r="AI3" s="15" t="n"/>
      <c r="AJ3" s="17">
        <f>IF(OR(AF3="",AE3=""),"",AF3-AE3)</f>
        <v/>
      </c>
      <c r="AK3" s="18">
        <f>IF(OR(AF3="",AE3="",AE3=0),"",(AF3-AE3)/AE3)</f>
        <v/>
      </c>
      <c r="AL3" s="19">
        <f>IF(AK3="","",IF(AK3&lt;-0.05,"Moins cher",IF(AK3&gt;0.05,"Plus cher","Équivalent")))</f>
        <v/>
      </c>
    </row>
    <row r="4">
      <c r="A4" s="5" t="inlineStr">
        <is>
          <t>SG-8023</t>
        </is>
      </c>
      <c r="B4" s="5" t="inlineStr">
        <is>
          <t>Portable (sans fil)</t>
        </is>
      </c>
      <c r="C4" s="7" t="n">
        <v>350</v>
      </c>
      <c r="D4" s="7" t="n">
        <v>4</v>
      </c>
      <c r="E4" s="7" t="n">
        <v>80</v>
      </c>
      <c r="F4" s="7" t="n">
        <v>160</v>
      </c>
      <c r="G4" s="7" t="n">
        <v>1500</v>
      </c>
      <c r="H4" s="9" t="n">
        <v>3.7</v>
      </c>
      <c r="I4" s="5" t="inlineStr">
        <is>
          <t>Type-C</t>
        </is>
      </c>
      <c r="J4" s="5" t="inlineStr">
        <is>
          <t>IPX7</t>
        </is>
      </c>
      <c r="K4" s="9" t="n">
        <v>305</v>
      </c>
      <c r="L4" s="5" t="inlineStr">
        <is>
          <t>81*86*230</t>
        </is>
      </c>
      <c r="M4" s="5" t="inlineStr">
        <is>
          <t>Oui</t>
        </is>
      </c>
      <c r="N4" s="5" t="inlineStr">
        <is>
          <t>Non</t>
        </is>
      </c>
      <c r="O4" s="10" t="inlineStr">
        <is>
          <t>4 modes (Strong, Soft, Pulse, DIY), fonction shoot avec arrêt à tout moment</t>
        </is>
      </c>
      <c r="P4" s="11" t="n">
        <v>95</v>
      </c>
      <c r="Q4" s="12" t="inlineStr">
        <is>
          <t>Cordless Advanced WP-560</t>
        </is>
      </c>
      <c r="R4" s="12" t="inlineStr">
        <is>
          <t>Waterpik</t>
        </is>
      </c>
      <c r="S4" s="12" t="inlineStr">
        <is>
          <t>Hydropulseur portable sans fil</t>
        </is>
      </c>
      <c r="T4" s="29" t="inlineStr">
        <is>
          <t>N/D</t>
        </is>
      </c>
      <c r="U4" s="12" t="inlineStr">
        <is>
          <t>3 réglages de pression</t>
        </is>
      </c>
      <c r="V4" s="29" t="inlineStr">
        <is>
          <t>N/D</t>
        </is>
      </c>
      <c r="W4" s="29" t="inlineStr">
        <is>
          <t>N/D</t>
        </is>
      </c>
      <c r="X4" s="29" t="inlineStr">
        <is>
          <t>N/D</t>
        </is>
      </c>
      <c r="Y4" s="12" t="inlineStr">
        <is>
          <t>Charge magnétique, 4 h</t>
        </is>
      </c>
      <c r="Z4" s="12" t="inlineStr">
        <is>
          <t>Non vérifié sur les marchés cibles</t>
        </is>
      </c>
      <c r="AA4" s="12" t="inlineStr">
        <is>
          <t>Retail spécialisé, pharmacies</t>
        </is>
      </c>
      <c r="AB4" s="13" t="inlineStr">
        <is>
          <t>https://www.waterpik.ch/en/oral-health/products/dental-water-flosser/WP-560/</t>
        </is>
      </c>
      <c r="AC4" s="13" t="inlineStr">
        <is>
          <t>https://www.electricteeth.com/waterpik-cordless-advanced-wp560-review/</t>
        </is>
      </c>
      <c r="AD4" s="12" t="inlineStr">
        <is>
          <t>Rapprochement sur le format portable sans fil et un réservoir de grande capacité. Pression 45-75 PSI, réservoir 207 mL (7 oz), 4 buses, rotation 360 degrés. Référence du segment.</t>
        </is>
      </c>
      <c r="AE4" s="14" t="n"/>
      <c r="AF4" s="14" t="n"/>
      <c r="AG4" s="15" t="n"/>
      <c r="AH4" s="16" t="n"/>
      <c r="AI4" s="15" t="n"/>
      <c r="AJ4" s="17">
        <f>IF(OR(AF4="",AE4=""),"",AF4-AE4)</f>
        <v/>
      </c>
      <c r="AK4" s="18">
        <f>IF(OR(AF4="",AE4="",AE4=0),"",(AF4-AE4)/AE4)</f>
        <v/>
      </c>
      <c r="AL4" s="19">
        <f>IF(AK4="","",IF(AK4&lt;-0.05,"Moins cher",IF(AK4&gt;0.05,"Plus cher","Équivalent")))</f>
        <v/>
      </c>
    </row>
    <row r="5">
      <c r="A5" s="20" t="inlineStr">
        <is>
          <t>SG-8003</t>
        </is>
      </c>
      <c r="B5" s="20" t="inlineStr">
        <is>
          <t>Portable pliable (voyage)</t>
        </is>
      </c>
      <c r="C5" s="22" t="n">
        <v>175</v>
      </c>
      <c r="D5" s="22" t="n">
        <v>3</v>
      </c>
      <c r="E5" s="22" t="n">
        <v>90</v>
      </c>
      <c r="F5" s="22" t="n">
        <v>130</v>
      </c>
      <c r="G5" s="22" t="n">
        <v>1000</v>
      </c>
      <c r="H5" s="23" t="n">
        <v>3.7</v>
      </c>
      <c r="I5" s="20" t="inlineStr">
        <is>
          <t>Magnétique</t>
        </is>
      </c>
      <c r="J5" s="20" t="inlineStr">
        <is>
          <t>IPX7</t>
        </is>
      </c>
      <c r="K5" s="23" t="n">
        <v>233</v>
      </c>
      <c r="L5" s="20" t="inlineStr">
        <is>
          <t>63.3*47.1*227 (buse déployée) / 63.3*47.1*151 (buse rangée)</t>
        </is>
      </c>
      <c r="M5" s="20" t="inlineStr">
        <is>
          <t>Oui</t>
        </is>
      </c>
      <c r="N5" s="20" t="inlineStr">
        <is>
          <t>Non</t>
        </is>
      </c>
      <c r="O5" s="24" t="inlineStr">
        <is>
          <t>Plus de 1500 pulsations/min, format mini pliable en forme de diamant, versions 8003A et 8003B</t>
        </is>
      </c>
      <c r="P5" s="25" t="n">
        <v>96</v>
      </c>
      <c r="Q5" s="12" t="inlineStr">
        <is>
          <t>EW-DJ10 Dentacare</t>
        </is>
      </c>
      <c r="R5" s="12" t="inlineStr">
        <is>
          <t>Panasonic</t>
        </is>
      </c>
      <c r="S5" s="12" t="inlineStr">
        <is>
          <t>Hydropulseur portable pliable</t>
        </is>
      </c>
      <c r="T5" s="12" t="inlineStr">
        <is>
          <t>1 400 pulsations/min</t>
        </is>
      </c>
      <c r="U5" s="12" t="inlineStr">
        <is>
          <t>2 vitesses</t>
        </is>
      </c>
      <c r="V5" s="29" t="inlineStr">
        <is>
          <t>N/D</t>
        </is>
      </c>
      <c r="W5" s="12" t="inlineStr">
        <is>
          <t>100 % lavable</t>
        </is>
      </c>
      <c r="X5" s="29" t="inlineStr">
        <is>
          <t>N/D</t>
        </is>
      </c>
      <c r="Y5" s="12" t="inlineStr">
        <is>
          <t>2 piles AA</t>
        </is>
      </c>
      <c r="Z5" s="12" t="inlineStr">
        <is>
          <t>Non vérifié sur les marchés cibles</t>
        </is>
      </c>
      <c r="AA5" s="12" t="inlineStr">
        <is>
          <t>Retail spécialisé</t>
        </is>
      </c>
      <c r="AB5" s="13" t="inlineStr">
        <is>
          <t>https://www.panasonic.com/uk/support/discontinued-products/personal-care/ew-dj10.specs.html</t>
        </is>
      </c>
      <c r="AC5" s="13" t="inlineStr">
        <is>
          <t>https://www.amazon.com/Panasonic-EW-DJ10-A-Portable-Oral-Irrigator/dp/B00H2H9J4C</t>
        </is>
      </c>
      <c r="AD5" s="12" t="inlineStr">
        <is>
          <t>Rapprochement sur le format pliable de voyage et la petite capacité de réservoir. Réservoir 165 mL, environ 40 s d'autonomie d'eau, design pliable. Équivalent des SEAGO mini pliables.</t>
        </is>
      </c>
      <c r="AE5" s="14" t="n"/>
      <c r="AF5" s="14" t="n"/>
      <c r="AG5" s="15" t="n"/>
      <c r="AH5" s="16" t="n"/>
      <c r="AI5" s="15" t="n"/>
      <c r="AJ5" s="17">
        <f>IF(OR(AF5="",AE5=""),"",AF5-AE5)</f>
        <v/>
      </c>
      <c r="AK5" s="18">
        <f>IF(OR(AF5="",AE5="",AE5=0),"",(AF5-AE5)/AE5)</f>
        <v/>
      </c>
      <c r="AL5" s="19">
        <f>IF(AK5="","",IF(AK5&lt;-0.05,"Moins cher",IF(AK5&gt;0.05,"Plus cher","Équivalent")))</f>
        <v/>
      </c>
    </row>
    <row r="6">
      <c r="A6" s="5" t="inlineStr">
        <is>
          <t>SG-8019</t>
        </is>
      </c>
      <c r="B6" s="5" t="inlineStr">
        <is>
          <t>Portable (sans fil)</t>
        </is>
      </c>
      <c r="C6" s="7" t="n">
        <v>290</v>
      </c>
      <c r="D6" s="7" t="n">
        <v>5</v>
      </c>
      <c r="E6" s="7" t="n">
        <v>90</v>
      </c>
      <c r="F6" s="7" t="n">
        <v>130</v>
      </c>
      <c r="G6" s="7" t="n">
        <v>1600</v>
      </c>
      <c r="H6" s="9" t="n">
        <v>3.7</v>
      </c>
      <c r="I6" s="5" t="inlineStr">
        <is>
          <t>USB (port DC)</t>
        </is>
      </c>
      <c r="J6" s="5" t="inlineStr">
        <is>
          <t>IPX7</t>
        </is>
      </c>
      <c r="K6" s="9" t="n">
        <v>276</v>
      </c>
      <c r="L6" s="5" t="inlineStr">
        <is>
          <t>85.7*71.7*225.2</t>
        </is>
      </c>
      <c r="M6" s="5" t="inlineStr">
        <is>
          <t>Oui</t>
        </is>
      </c>
      <c r="N6" s="5" t="inlineStr">
        <is>
          <t>Oui</t>
        </is>
      </c>
      <c r="O6" s="10" t="inlineStr">
        <is>
          <t>Plus de 1500 pulsations/min, 5 modes (Strong, Normal, Massage, Shoot, DIY), grand réservoir 290 mL</t>
        </is>
      </c>
      <c r="P6" s="11" t="n">
        <v>96</v>
      </c>
      <c r="Q6" s="12" t="inlineStr">
        <is>
          <t>Cordless Advanced WP-560</t>
        </is>
      </c>
      <c r="R6" s="12" t="inlineStr">
        <is>
          <t>Waterpik</t>
        </is>
      </c>
      <c r="S6" s="12" t="inlineStr">
        <is>
          <t>Hydropulseur portable sans fil</t>
        </is>
      </c>
      <c r="T6" s="29" t="inlineStr">
        <is>
          <t>N/D</t>
        </is>
      </c>
      <c r="U6" s="12" t="inlineStr">
        <is>
          <t>3 réglages de pression</t>
        </is>
      </c>
      <c r="V6" s="29" t="inlineStr">
        <is>
          <t>N/D</t>
        </is>
      </c>
      <c r="W6" s="29" t="inlineStr">
        <is>
          <t>N/D</t>
        </is>
      </c>
      <c r="X6" s="29" t="inlineStr">
        <is>
          <t>N/D</t>
        </is>
      </c>
      <c r="Y6" s="12" t="inlineStr">
        <is>
          <t>Charge magnétique, 4 h</t>
        </is>
      </c>
      <c r="Z6" s="12" t="inlineStr">
        <is>
          <t>Non vérifié sur les marchés cibles</t>
        </is>
      </c>
      <c r="AA6" s="12" t="inlineStr">
        <is>
          <t>Retail spécialisé, pharmacies</t>
        </is>
      </c>
      <c r="AB6" s="13" t="inlineStr">
        <is>
          <t>https://www.waterpik.ch/en/oral-health/products/dental-water-flosser/WP-560/</t>
        </is>
      </c>
      <c r="AC6" s="13" t="inlineStr">
        <is>
          <t>https://www.electricteeth.com/waterpik-cordless-advanced-wp560-review/</t>
        </is>
      </c>
      <c r="AD6" s="12" t="inlineStr">
        <is>
          <t>Rapprochement sur le format portable sans fil et un réservoir de grande capacité. Pression 45-75 PSI, réservoir 207 mL (7 oz), 4 buses, rotation 360 degrés. Référence du segment.</t>
        </is>
      </c>
      <c r="AE6" s="14" t="n"/>
      <c r="AF6" s="14" t="n"/>
      <c r="AG6" s="15" t="n"/>
      <c r="AH6" s="16" t="n"/>
      <c r="AI6" s="15" t="n"/>
      <c r="AJ6" s="17">
        <f>IF(OR(AF6="",AE6=""),"",AF6-AE6)</f>
        <v/>
      </c>
      <c r="AK6" s="18">
        <f>IF(OR(AF6="",AE6="",AE6=0),"",(AF6-AE6)/AE6)</f>
        <v/>
      </c>
      <c r="AL6" s="19">
        <f>IF(AK6="","",IF(AK6&lt;-0.05,"Moins cher",IF(AK6&gt;0.05,"Plus cher","Équivalent")))</f>
        <v/>
      </c>
    </row>
    <row r="7">
      <c r="A7" s="20" t="inlineStr">
        <is>
          <t>SG-833</t>
        </is>
      </c>
      <c r="B7" s="20" t="inlineStr">
        <is>
          <t>Portable (sans fil)</t>
        </is>
      </c>
      <c r="C7" s="22" t="n">
        <v>260</v>
      </c>
      <c r="D7" s="22" t="n">
        <v>3</v>
      </c>
      <c r="E7" s="22" t="n">
        <v>80</v>
      </c>
      <c r="F7" s="22" t="n">
        <v>160</v>
      </c>
      <c r="G7" s="22" t="n">
        <v>1500</v>
      </c>
      <c r="H7" s="23" t="n">
        <v>3.7</v>
      </c>
      <c r="I7" s="20" t="inlineStr">
        <is>
          <t>USB (port DC)</t>
        </is>
      </c>
      <c r="J7" s="20" t="inlineStr">
        <is>
          <t>IPX7</t>
        </is>
      </c>
      <c r="K7" s="23" t="n">
        <v>321</v>
      </c>
      <c r="L7" s="20" t="inlineStr">
        <is>
          <t>73*84*226 (manche sans buse)</t>
        </is>
      </c>
      <c r="M7" s="20" t="inlineStr">
        <is>
          <t>Oui</t>
        </is>
      </c>
      <c r="N7" s="20" t="inlineStr">
        <is>
          <t>Oui</t>
        </is>
      </c>
      <c r="O7" s="24" t="inlineStr">
        <is>
          <t>Plus de 1500 pulsations/min, réservoir disponible en 200 mL et 260 mL</t>
        </is>
      </c>
      <c r="P7" s="25" t="n">
        <v>97</v>
      </c>
      <c r="Q7" s="12" t="inlineStr">
        <is>
          <t>Cordless Advanced WP-560</t>
        </is>
      </c>
      <c r="R7" s="12" t="inlineStr">
        <is>
          <t>Waterpik</t>
        </is>
      </c>
      <c r="S7" s="12" t="inlineStr">
        <is>
          <t>Hydropulseur portable sans fil</t>
        </is>
      </c>
      <c r="T7" s="29" t="inlineStr">
        <is>
          <t>N/D</t>
        </is>
      </c>
      <c r="U7" s="12" t="inlineStr">
        <is>
          <t>3 réglages de pression</t>
        </is>
      </c>
      <c r="V7" s="29" t="inlineStr">
        <is>
          <t>N/D</t>
        </is>
      </c>
      <c r="W7" s="29" t="inlineStr">
        <is>
          <t>N/D</t>
        </is>
      </c>
      <c r="X7" s="29" t="inlineStr">
        <is>
          <t>N/D</t>
        </is>
      </c>
      <c r="Y7" s="12" t="inlineStr">
        <is>
          <t>Charge magnétique, 4 h</t>
        </is>
      </c>
      <c r="Z7" s="12" t="inlineStr">
        <is>
          <t>Non vérifié sur les marchés cibles</t>
        </is>
      </c>
      <c r="AA7" s="12" t="inlineStr">
        <is>
          <t>Retail spécialisé, pharmacies</t>
        </is>
      </c>
      <c r="AB7" s="13" t="inlineStr">
        <is>
          <t>https://www.waterpik.ch/en/oral-health/products/dental-water-flosser/WP-560/</t>
        </is>
      </c>
      <c r="AC7" s="13" t="inlineStr">
        <is>
          <t>https://www.electricteeth.com/waterpik-cordless-advanced-wp560-review/</t>
        </is>
      </c>
      <c r="AD7" s="12" t="inlineStr">
        <is>
          <t>Rapprochement sur le format portable sans fil et un réservoir de grande capacité. Pression 45-75 PSI, réservoir 207 mL (7 oz), 4 buses, rotation 360 degrés. Référence du segment.</t>
        </is>
      </c>
      <c r="AE7" s="14" t="n"/>
      <c r="AF7" s="14" t="n"/>
      <c r="AG7" s="15" t="n"/>
      <c r="AH7" s="16" t="n"/>
      <c r="AI7" s="15" t="n"/>
      <c r="AJ7" s="17">
        <f>IF(OR(AF7="",AE7=""),"",AF7-AE7)</f>
        <v/>
      </c>
      <c r="AK7" s="18">
        <f>IF(OR(AF7="",AE7="",AE7=0),"",(AF7-AE7)/AE7)</f>
        <v/>
      </c>
      <c r="AL7" s="19">
        <f>IF(AK7="","",IF(AK7&lt;-0.05,"Moins cher",IF(AK7&gt;0.05,"Plus cher","Équivalent")))</f>
        <v/>
      </c>
    </row>
    <row r="8">
      <c r="A8" s="5" t="inlineStr">
        <is>
          <t>SG-8001</t>
        </is>
      </c>
      <c r="B8" s="5" t="inlineStr">
        <is>
          <t>Portable (sans fil)</t>
        </is>
      </c>
      <c r="C8" s="7" t="n">
        <v>180</v>
      </c>
      <c r="D8" s="7" t="n">
        <v>3</v>
      </c>
      <c r="E8" s="7" t="n">
        <v>80</v>
      </c>
      <c r="F8" s="7" t="n">
        <v>160</v>
      </c>
      <c r="G8" s="7" t="n">
        <v>1500</v>
      </c>
      <c r="H8" s="9" t="n">
        <v>3.7</v>
      </c>
      <c r="I8" s="5" t="inlineStr">
        <is>
          <t>USB (port DC)</t>
        </is>
      </c>
      <c r="J8" s="5" t="inlineStr">
        <is>
          <t>IPX7</t>
        </is>
      </c>
      <c r="K8" s="9" t="n">
        <v>312</v>
      </c>
      <c r="L8" s="5" t="inlineStr">
        <is>
          <t>63*84*226 (manche sans buse)</t>
        </is>
      </c>
      <c r="M8" s="5" t="inlineStr">
        <is>
          <t>Oui</t>
        </is>
      </c>
      <c r="N8" s="5" t="inlineStr">
        <is>
          <t>Oui</t>
        </is>
      </c>
      <c r="O8" s="10" t="inlineStr">
        <is>
          <t>Plus de 1500 pulsations/min, réservoir lavable, capacité annoncée 150-180 mL</t>
        </is>
      </c>
      <c r="P8" s="11" t="n">
        <v>97</v>
      </c>
      <c r="Q8" s="12" t="inlineStr">
        <is>
          <t>Cordless Plus WP-450</t>
        </is>
      </c>
      <c r="R8" s="12" t="inlineStr">
        <is>
          <t>Waterpik</t>
        </is>
      </c>
      <c r="S8" s="12" t="inlineStr">
        <is>
          <t>Hydropulseur portable sans fil</t>
        </is>
      </c>
      <c r="T8" s="12" t="inlineStr">
        <is>
          <t>1 200 pulsations/min (20 Hz)</t>
        </is>
      </c>
      <c r="U8" s="12" t="inlineStr">
        <is>
          <t>2 réglages de pression</t>
        </is>
      </c>
      <c r="V8" s="12" t="n">
        <v>7</v>
      </c>
      <c r="W8" s="29" t="inlineStr">
        <is>
          <t>N/D</t>
        </is>
      </c>
      <c r="X8" s="29" t="inlineStr">
        <is>
          <t>N/D</t>
        </is>
      </c>
      <c r="Y8" s="12" t="inlineStr">
        <is>
          <t>Batterie Ni-MH rechargeable</t>
        </is>
      </c>
      <c r="Z8" s="12" t="inlineStr">
        <is>
          <t>Non vérifié sur les marchés cibles</t>
        </is>
      </c>
      <c r="AA8" s="12" t="inlineStr">
        <is>
          <t>Retail spécialisé, pharmacies</t>
        </is>
      </c>
      <c r="AB8" s="13" t="inlineStr">
        <is>
          <t>https://www.amazon.com/Waterpik-Ultra-Cordless-Water-Flosser/dp/B000UWAWQU</t>
        </is>
      </c>
      <c r="AC8" s="13" t="inlineStr">
        <is>
          <t>https://www.bestbuy.com/site/waterpik-cordless-plus-water-flosser-white/9984479.p?skuId=9984479</t>
        </is>
      </c>
      <c r="AD8" s="12" t="inlineStr">
        <is>
          <t>Rapprochement sur le format portable sans fil et un réservoir de capacité intermédiaire. Pression 2,8 à 5,8 bar (environ 40 à 84 PSI), réservoir 207 mL, 4 buses. Autonomie une semaine.</t>
        </is>
      </c>
      <c r="AE8" s="14" t="n"/>
      <c r="AF8" s="14" t="n"/>
      <c r="AG8" s="15" t="n"/>
      <c r="AH8" s="16" t="n"/>
      <c r="AI8" s="15" t="n"/>
      <c r="AJ8" s="17">
        <f>IF(OR(AF8="",AE8=""),"",AF8-AE8)</f>
        <v/>
      </c>
      <c r="AK8" s="18">
        <f>IF(OR(AF8="",AE8="",AE8=0),"",(AF8-AE8)/AE8)</f>
        <v/>
      </c>
      <c r="AL8" s="19">
        <f>IF(AK8="","",IF(AK8&lt;-0.05,"Moins cher",IF(AK8&gt;0.05,"Plus cher","Équivalent")))</f>
        <v/>
      </c>
    </row>
    <row r="9">
      <c r="A9" s="20" t="inlineStr">
        <is>
          <t>SG-8009</t>
        </is>
      </c>
      <c r="B9" s="20" t="inlineStr">
        <is>
          <t>Portable (sans fil)</t>
        </is>
      </c>
      <c r="C9" s="22" t="n">
        <v>230</v>
      </c>
      <c r="D9" s="22" t="n">
        <v>3</v>
      </c>
      <c r="E9" s="22" t="n">
        <v>90</v>
      </c>
      <c r="F9" s="22" t="n">
        <v>130</v>
      </c>
      <c r="G9" s="22" t="n">
        <v>1500</v>
      </c>
      <c r="H9" s="23" t="n">
        <v>3.7</v>
      </c>
      <c r="I9" s="20" t="inlineStr">
        <is>
          <t>USB</t>
        </is>
      </c>
      <c r="J9" s="20" t="inlineStr">
        <is>
          <t>IPX7</t>
        </is>
      </c>
      <c r="K9" s="23" t="n">
        <v>315</v>
      </c>
      <c r="L9" s="20" t="inlineStr">
        <is>
          <t>64*87*230 (manche sans buse)</t>
        </is>
      </c>
      <c r="M9" s="20" t="inlineStr">
        <is>
          <t>Oui</t>
        </is>
      </c>
      <c r="N9" s="20" t="inlineStr">
        <is>
          <t>Oui</t>
        </is>
      </c>
      <c r="O9" s="24" t="inlineStr">
        <is>
          <t>Plus de 1500 pulsations/min, réservoir 230 mL détachable et lavable</t>
        </is>
      </c>
      <c r="P9" s="25" t="n">
        <v>98</v>
      </c>
      <c r="Q9" s="12" t="inlineStr">
        <is>
          <t>Cordless Plus WP-450</t>
        </is>
      </c>
      <c r="R9" s="12" t="inlineStr">
        <is>
          <t>Waterpik</t>
        </is>
      </c>
      <c r="S9" s="12" t="inlineStr">
        <is>
          <t>Hydropulseur portable sans fil</t>
        </is>
      </c>
      <c r="T9" s="12" t="inlineStr">
        <is>
          <t>1 200 pulsations/min (20 Hz)</t>
        </is>
      </c>
      <c r="U9" s="12" t="inlineStr">
        <is>
          <t>2 réglages de pression</t>
        </is>
      </c>
      <c r="V9" s="12" t="n">
        <v>7</v>
      </c>
      <c r="W9" s="29" t="inlineStr">
        <is>
          <t>N/D</t>
        </is>
      </c>
      <c r="X9" s="29" t="inlineStr">
        <is>
          <t>N/D</t>
        </is>
      </c>
      <c r="Y9" s="12" t="inlineStr">
        <is>
          <t>Batterie Ni-MH rechargeable</t>
        </is>
      </c>
      <c r="Z9" s="12" t="inlineStr">
        <is>
          <t>Non vérifié sur les marchés cibles</t>
        </is>
      </c>
      <c r="AA9" s="12" t="inlineStr">
        <is>
          <t>Retail spécialisé, pharmacies</t>
        </is>
      </c>
      <c r="AB9" s="13" t="inlineStr">
        <is>
          <t>https://www.amazon.com/Waterpik-Ultra-Cordless-Water-Flosser/dp/B000UWAWQU</t>
        </is>
      </c>
      <c r="AC9" s="13" t="inlineStr">
        <is>
          <t>https://www.bestbuy.com/site/waterpik-cordless-plus-water-flosser-white/9984479.p?skuId=9984479</t>
        </is>
      </c>
      <c r="AD9" s="12" t="inlineStr">
        <is>
          <t>Rapprochement sur le format portable sans fil et un réservoir de capacité intermédiaire. Pression 2,8 à 5,8 bar (environ 40 à 84 PSI), réservoir 207 mL, 4 buses. Autonomie une semaine.</t>
        </is>
      </c>
      <c r="AE9" s="14" t="n"/>
      <c r="AF9" s="14" t="n"/>
      <c r="AG9" s="15" t="n"/>
      <c r="AH9" s="16" t="n"/>
      <c r="AI9" s="15" t="n"/>
      <c r="AJ9" s="17">
        <f>IF(OR(AF9="",AE9=""),"",AF9-AE9)</f>
        <v/>
      </c>
      <c r="AK9" s="18">
        <f>IF(OR(AF9="",AE9="",AE9=0),"",(AF9-AE9)/AE9)</f>
        <v/>
      </c>
      <c r="AL9" s="19">
        <f>IF(AK9="","",IF(AK9&lt;-0.05,"Moins cher",IF(AK9&gt;0.05,"Plus cher","Équivalent")))</f>
        <v/>
      </c>
    </row>
    <row r="10">
      <c r="A10" s="5" t="inlineStr">
        <is>
          <t>SG-8002</t>
        </is>
      </c>
      <c r="B10" s="5" t="inlineStr">
        <is>
          <t>Portable pliable (voyage)</t>
        </is>
      </c>
      <c r="C10" s="7" t="n">
        <v>170</v>
      </c>
      <c r="D10" s="7" t="n">
        <v>3</v>
      </c>
      <c r="E10" s="7" t="n">
        <v>90</v>
      </c>
      <c r="F10" s="7" t="n">
        <v>130</v>
      </c>
      <c r="G10" s="7" t="n">
        <v>1500</v>
      </c>
      <c r="H10" s="9" t="n">
        <v>3.7</v>
      </c>
      <c r="I10" s="5" t="inlineStr">
        <is>
          <t>Magnétique</t>
        </is>
      </c>
      <c r="J10" s="5" t="inlineStr">
        <is>
          <t>IPX7</t>
        </is>
      </c>
      <c r="K10" s="9" t="n">
        <v>236</v>
      </c>
      <c r="L10" s="5" t="inlineStr">
        <is>
          <t>64*43*224 (buse déployée) / 64*43*148 (buse rangée)</t>
        </is>
      </c>
      <c r="M10" s="5" t="inlineStr">
        <is>
          <t>Oui</t>
        </is>
      </c>
      <c r="N10" s="5" t="inlineStr">
        <is>
          <t>Non</t>
        </is>
      </c>
      <c r="O10" s="10" t="inlineStr">
        <is>
          <t>Plus de 1500 pulsations/min, format mini pliable pour le voyage</t>
        </is>
      </c>
      <c r="P10" s="11" t="n">
        <v>98</v>
      </c>
      <c r="Q10" s="12" t="inlineStr">
        <is>
          <t>EW-DJ10 Dentacare</t>
        </is>
      </c>
      <c r="R10" s="12" t="inlineStr">
        <is>
          <t>Panasonic</t>
        </is>
      </c>
      <c r="S10" s="12" t="inlineStr">
        <is>
          <t>Hydropulseur portable pliable</t>
        </is>
      </c>
      <c r="T10" s="12" t="inlineStr">
        <is>
          <t>1 400 pulsations/min</t>
        </is>
      </c>
      <c r="U10" s="12" t="inlineStr">
        <is>
          <t>2 vitesses</t>
        </is>
      </c>
      <c r="V10" s="29" t="inlineStr">
        <is>
          <t>N/D</t>
        </is>
      </c>
      <c r="W10" s="12" t="inlineStr">
        <is>
          <t>100 % lavable</t>
        </is>
      </c>
      <c r="X10" s="29" t="inlineStr">
        <is>
          <t>N/D</t>
        </is>
      </c>
      <c r="Y10" s="12" t="inlineStr">
        <is>
          <t>2 piles AA</t>
        </is>
      </c>
      <c r="Z10" s="12" t="inlineStr">
        <is>
          <t>Non vérifié sur les marchés cibles</t>
        </is>
      </c>
      <c r="AA10" s="12" t="inlineStr">
        <is>
          <t>Retail spécialisé</t>
        </is>
      </c>
      <c r="AB10" s="13" t="inlineStr">
        <is>
          <t>https://www.panasonic.com/uk/support/discontinued-products/personal-care/ew-dj10.specs.html</t>
        </is>
      </c>
      <c r="AC10" s="13" t="inlineStr">
        <is>
          <t>https://www.amazon.com/Panasonic-EW-DJ10-A-Portable-Oral-Irrigator/dp/B00H2H9J4C</t>
        </is>
      </c>
      <c r="AD10" s="12" t="inlineStr">
        <is>
          <t>Rapprochement sur le format pliable de voyage et la petite capacité de réservoir. Réservoir 165 mL, environ 40 s d'autonomie d'eau, design pliable. Équivalent des SEAGO mini pliables.</t>
        </is>
      </c>
      <c r="AE10" s="14" t="n"/>
      <c r="AF10" s="14" t="n"/>
      <c r="AG10" s="15" t="n"/>
      <c r="AH10" s="16" t="n"/>
      <c r="AI10" s="15" t="n"/>
      <c r="AJ10" s="17">
        <f>IF(OR(AF10="",AE10=""),"",AF10-AE10)</f>
        <v/>
      </c>
      <c r="AK10" s="18">
        <f>IF(OR(AF10="",AE10="",AE10=0),"",(AF10-AE10)/AE10)</f>
        <v/>
      </c>
      <c r="AL10" s="19">
        <f>IF(AK10="","",IF(AK10&lt;-0.05,"Moins cher",IF(AK10&gt;0.05,"Plus cher","Équivalent")))</f>
        <v/>
      </c>
    </row>
    <row r="11">
      <c r="A11" s="20" t="inlineStr">
        <is>
          <t>SG-831</t>
        </is>
      </c>
      <c r="B11" s="20" t="inlineStr">
        <is>
          <t>Portable pliable (voyage)</t>
        </is>
      </c>
      <c r="C11" s="22" t="n">
        <v>190</v>
      </c>
      <c r="D11" s="22" t="n">
        <v>3</v>
      </c>
      <c r="E11" s="22" t="n">
        <v>80</v>
      </c>
      <c r="F11" s="22" t="n">
        <v>160</v>
      </c>
      <c r="G11" s="22" t="n">
        <v>1500</v>
      </c>
      <c r="H11" s="23" t="n">
        <v>3.7</v>
      </c>
      <c r="I11" s="20" t="inlineStr">
        <is>
          <t>USB</t>
        </is>
      </c>
      <c r="J11" s="20" t="inlineStr">
        <is>
          <t>IPX7</t>
        </is>
      </c>
      <c r="K11" s="23" t="n">
        <v>250</v>
      </c>
      <c r="L11" s="20" t="inlineStr">
        <is>
          <t>64*51*230 (buse déployée) / 64*51*158 (buse rangée)</t>
        </is>
      </c>
      <c r="M11" s="20" t="inlineStr">
        <is>
          <t>Oui</t>
        </is>
      </c>
      <c r="N11" s="20" t="inlineStr">
        <is>
          <t>Non</t>
        </is>
      </c>
      <c r="O11" s="24" t="inlineStr">
        <is>
          <t>Plus de 1500 pulsations/min, format mini pliable pour le voyage</t>
        </is>
      </c>
      <c r="P11" s="25" t="n">
        <v>99</v>
      </c>
      <c r="Q11" s="12" t="inlineStr">
        <is>
          <t>EW-DJ10 Dentacare</t>
        </is>
      </c>
      <c r="R11" s="12" t="inlineStr">
        <is>
          <t>Panasonic</t>
        </is>
      </c>
      <c r="S11" s="12" t="inlineStr">
        <is>
          <t>Hydropulseur portable pliable</t>
        </is>
      </c>
      <c r="T11" s="12" t="inlineStr">
        <is>
          <t>1 400 pulsations/min</t>
        </is>
      </c>
      <c r="U11" s="12" t="inlineStr">
        <is>
          <t>2 vitesses</t>
        </is>
      </c>
      <c r="V11" s="29" t="inlineStr">
        <is>
          <t>N/D</t>
        </is>
      </c>
      <c r="W11" s="12" t="inlineStr">
        <is>
          <t>100 % lavable</t>
        </is>
      </c>
      <c r="X11" s="29" t="inlineStr">
        <is>
          <t>N/D</t>
        </is>
      </c>
      <c r="Y11" s="12" t="inlineStr">
        <is>
          <t>2 piles AA</t>
        </is>
      </c>
      <c r="Z11" s="12" t="inlineStr">
        <is>
          <t>Non vérifié sur les marchés cibles</t>
        </is>
      </c>
      <c r="AA11" s="12" t="inlineStr">
        <is>
          <t>Retail spécialisé</t>
        </is>
      </c>
      <c r="AB11" s="13" t="inlineStr">
        <is>
          <t>https://www.panasonic.com/uk/support/discontinued-products/personal-care/ew-dj10.specs.html</t>
        </is>
      </c>
      <c r="AC11" s="13" t="inlineStr">
        <is>
          <t>https://www.amazon.com/Panasonic-EW-DJ10-A-Portable-Oral-Irrigator/dp/B00H2H9J4C</t>
        </is>
      </c>
      <c r="AD11" s="12" t="inlineStr">
        <is>
          <t>Rapprochement sur le format pliable de voyage et la petite capacité de réservoir. Réservoir 165 mL, environ 40 s d'autonomie d'eau, design pliable. Équivalent des SEAGO mini pliables.</t>
        </is>
      </c>
      <c r="AE11" s="14" t="n"/>
      <c r="AF11" s="14" t="n"/>
      <c r="AG11" s="15" t="n"/>
      <c r="AH11" s="16" t="n"/>
      <c r="AI11" s="15" t="n"/>
      <c r="AJ11" s="17">
        <f>IF(OR(AF11="",AE11=""),"",AF11-AE11)</f>
        <v/>
      </c>
      <c r="AK11" s="18">
        <f>IF(OR(AF11="",AE11="",AE11=0),"",(AF11-AE11)/AE11)</f>
        <v/>
      </c>
      <c r="AL11" s="19">
        <f>IF(AK11="","",IF(AK11&lt;-0.05,"Moins cher",IF(AK11&gt;0.05,"Plus cher","Équivalent")))</f>
        <v/>
      </c>
    </row>
    <row r="12">
      <c r="A12" s="5" t="inlineStr">
        <is>
          <t>SG-8010</t>
        </is>
      </c>
      <c r="B12" s="5" t="inlineStr">
        <is>
          <t>Sur socle (plan de travail)</t>
        </is>
      </c>
      <c r="C12" s="7" t="n">
        <v>400</v>
      </c>
      <c r="D12" s="7" t="n">
        <v>5</v>
      </c>
      <c r="E12" s="7" t="n">
        <v>90</v>
      </c>
      <c r="F12" s="7" t="n">
        <v>130</v>
      </c>
      <c r="G12" s="7" t="n">
        <v>1500</v>
      </c>
      <c r="H12" s="9" t="n">
        <v>3.7</v>
      </c>
      <c r="I12" s="5" t="inlineStr">
        <is>
          <t>USB</t>
        </is>
      </c>
      <c r="J12" s="5" t="inlineStr">
        <is>
          <t>IPX7</t>
        </is>
      </c>
      <c r="K12" s="9" t="n">
        <v>510</v>
      </c>
      <c r="L12" s="5" t="inlineStr">
        <is>
          <t>185*118*128</t>
        </is>
      </c>
      <c r="M12" s="5" t="inlineStr">
        <is>
          <t>Oui</t>
        </is>
      </c>
      <c r="N12" s="5" t="inlineStr">
        <is>
          <t>Oui</t>
        </is>
      </c>
      <c r="O12" s="10" t="inlineStr">
        <is>
          <t>Grand réservoir 400 mL, 5 réglages de pression, manche fin à bouton poussoir</t>
        </is>
      </c>
      <c r="P12" s="11" t="n">
        <v>99</v>
      </c>
      <c r="Q12" s="12" t="inlineStr">
        <is>
          <t>Cordless Advanced WP-560</t>
        </is>
      </c>
      <c r="R12" s="12" t="inlineStr">
        <is>
          <t>Waterpik</t>
        </is>
      </c>
      <c r="S12" s="12" t="inlineStr">
        <is>
          <t>Hydropulseur portable sans fil</t>
        </is>
      </c>
      <c r="T12" s="29" t="inlineStr">
        <is>
          <t>N/D</t>
        </is>
      </c>
      <c r="U12" s="12" t="inlineStr">
        <is>
          <t>3 réglages de pression</t>
        </is>
      </c>
      <c r="V12" s="29" t="inlineStr">
        <is>
          <t>N/D</t>
        </is>
      </c>
      <c r="W12" s="29" t="inlineStr">
        <is>
          <t>N/D</t>
        </is>
      </c>
      <c r="X12" s="29" t="inlineStr">
        <is>
          <t>N/D</t>
        </is>
      </c>
      <c r="Y12" s="12" t="inlineStr">
        <is>
          <t>Charge magnétique, 4 h</t>
        </is>
      </c>
      <c r="Z12" s="12" t="inlineStr">
        <is>
          <t>Non vérifié sur les marchés cibles</t>
        </is>
      </c>
      <c r="AA12" s="12" t="inlineStr">
        <is>
          <t>Retail spécialisé, pharmacies</t>
        </is>
      </c>
      <c r="AB12" s="13" t="inlineStr">
        <is>
          <t>https://www.waterpik.ch/en/oral-health/products/dental-water-flosser/WP-560/</t>
        </is>
      </c>
      <c r="AC12" s="13" t="inlineStr">
        <is>
          <t>https://www.electricteeth.com/waterpik-cordless-advanced-wp560-review/</t>
        </is>
      </c>
      <c r="AD12" s="12" t="inlineStr">
        <is>
          <t>Rapprochement sur la catégorie hydropulseur haut de gamme. Écart : le SEAGO est un modèle de comptoir, le concurrent est portable. Aucun modèle de comptoir n'a pu être sourcé avec un lien vérifié. Pression 45-75 PSI, réservoir 207 mL (7 oz), 4 buses, rotation 360 degrés. Référence du segment.</t>
        </is>
      </c>
      <c r="AE12" s="14" t="n"/>
      <c r="AF12" s="14" t="n"/>
      <c r="AG12" s="15" t="n"/>
      <c r="AH12" s="16" t="n"/>
      <c r="AI12" s="15" t="n"/>
      <c r="AJ12" s="17">
        <f>IF(OR(AF12="",AE12=""),"",AF12-AE12)</f>
        <v/>
      </c>
      <c r="AK12" s="18">
        <f>IF(OR(AF12="",AE12="",AE12=0),"",(AF12-AE12)/AE12)</f>
        <v/>
      </c>
      <c r="AL12" s="19">
        <f>IF(AK12="","",IF(AK12&lt;-0.05,"Moins cher",IF(AK12&gt;0.05,"Plus cher","Équivalent")))</f>
        <v/>
      </c>
    </row>
    <row r="13">
      <c r="A13" s="33" t="n"/>
      <c r="B13" s="33" t="n"/>
      <c r="C13" s="33" t="n"/>
      <c r="D13" s="33" t="n"/>
      <c r="E13" s="33" t="n"/>
      <c r="F13" s="33" t="n"/>
      <c r="G13" s="33" t="n"/>
      <c r="H13" s="33" t="n"/>
      <c r="I13" s="33" t="n"/>
      <c r="J13" s="33" t="n"/>
      <c r="K13" s="33" t="n"/>
      <c r="L13" s="33" t="n"/>
      <c r="M13" s="33" t="n"/>
      <c r="N13" s="33" t="n"/>
      <c r="O13" s="33" t="n"/>
      <c r="P13" s="33" t="n"/>
      <c r="Q13" s="34" t="n"/>
      <c r="R13" s="34" t="n"/>
      <c r="S13" s="34" t="n"/>
      <c r="T13" s="34" t="n"/>
      <c r="U13" s="34" t="n"/>
      <c r="V13" s="34" t="n"/>
      <c r="W13" s="34" t="n"/>
      <c r="X13" s="34" t="n"/>
      <c r="Y13" s="34" t="n"/>
      <c r="Z13" s="34" t="n"/>
      <c r="AA13" s="34" t="n"/>
      <c r="AB13" s="34" t="n"/>
      <c r="AC13" s="34" t="n"/>
      <c r="AD13" s="34" t="n"/>
      <c r="AE13" s="14" t="n"/>
      <c r="AF13" s="14" t="n"/>
      <c r="AG13" s="15" t="n"/>
      <c r="AH13" s="16" t="n"/>
      <c r="AI13" s="15" t="n"/>
      <c r="AJ13" s="17">
        <f>IF(OR(AF13="",AE13=""),"",AF13-AE13)</f>
        <v/>
      </c>
      <c r="AK13" s="18">
        <f>IF(OR(AF13="",AE13="",AE13=0),"",(AF13-AE13)/AE13)</f>
        <v/>
      </c>
      <c r="AL13" s="19">
        <f>IF(AK13="","",IF(AK13&lt;-0.05,"Moins cher",IF(AK13&gt;0.05,"Plus cher","Équivalent")))</f>
        <v/>
      </c>
    </row>
    <row r="14">
      <c r="A14" s="33" t="n"/>
      <c r="B14" s="33" t="n"/>
      <c r="C14" s="33" t="n"/>
      <c r="D14" s="33" t="n"/>
      <c r="E14" s="33" t="n"/>
      <c r="F14" s="33" t="n"/>
      <c r="G14" s="33" t="n"/>
      <c r="H14" s="33" t="n"/>
      <c r="I14" s="33" t="n"/>
      <c r="J14" s="33" t="n"/>
      <c r="K14" s="33" t="n"/>
      <c r="L14" s="33" t="n"/>
      <c r="M14" s="33" t="n"/>
      <c r="N14" s="33" t="n"/>
      <c r="O14" s="33" t="n"/>
      <c r="P14" s="33" t="n"/>
      <c r="Q14" s="34" t="n"/>
      <c r="R14" s="34" t="n"/>
      <c r="S14" s="34" t="n"/>
      <c r="T14" s="34" t="n"/>
      <c r="U14" s="34" t="n"/>
      <c r="V14" s="34" t="n"/>
      <c r="W14" s="34" t="n"/>
      <c r="X14" s="34" t="n"/>
      <c r="Y14" s="34" t="n"/>
      <c r="Z14" s="34" t="n"/>
      <c r="AA14" s="34" t="n"/>
      <c r="AB14" s="34" t="n"/>
      <c r="AC14" s="34" t="n"/>
      <c r="AD14" s="34" t="n"/>
      <c r="AE14" s="14" t="n"/>
      <c r="AF14" s="14" t="n"/>
      <c r="AG14" s="15" t="n"/>
      <c r="AH14" s="16" t="n"/>
      <c r="AI14" s="15" t="n"/>
      <c r="AJ14" s="17">
        <f>IF(OR(AF14="",AE14=""),"",AF14-AE14)</f>
        <v/>
      </c>
      <c r="AK14" s="18">
        <f>IF(OR(AF14="",AE14="",AE14=0),"",(AF14-AE14)/AE14)</f>
        <v/>
      </c>
      <c r="AL14" s="19">
        <f>IF(AK14="","",IF(AK14&lt;-0.05,"Moins cher",IF(AK14&gt;0.05,"Plus cher","Équivalent")))</f>
        <v/>
      </c>
    </row>
    <row r="15">
      <c r="A15" s="33" t="n"/>
      <c r="B15" s="33" t="n"/>
      <c r="C15" s="33" t="n"/>
      <c r="D15" s="33" t="n"/>
      <c r="E15" s="33" t="n"/>
      <c r="F15" s="33" t="n"/>
      <c r="G15" s="33" t="n"/>
      <c r="H15" s="33" t="n"/>
      <c r="I15" s="33" t="n"/>
      <c r="J15" s="33" t="n"/>
      <c r="K15" s="33" t="n"/>
      <c r="L15" s="33" t="n"/>
      <c r="M15" s="33" t="n"/>
      <c r="N15" s="33" t="n"/>
      <c r="O15" s="33" t="n"/>
      <c r="P15" s="33" t="n"/>
      <c r="Q15" s="34" t="n"/>
      <c r="R15" s="34" t="n"/>
      <c r="S15" s="34" t="n"/>
      <c r="T15" s="34" t="n"/>
      <c r="U15" s="34" t="n"/>
      <c r="V15" s="34" t="n"/>
      <c r="W15" s="34" t="n"/>
      <c r="X15" s="34" t="n"/>
      <c r="Y15" s="34" t="n"/>
      <c r="Z15" s="34" t="n"/>
      <c r="AA15" s="34" t="n"/>
      <c r="AB15" s="34" t="n"/>
      <c r="AC15" s="34" t="n"/>
      <c r="AD15" s="34" t="n"/>
      <c r="AE15" s="14" t="n"/>
      <c r="AF15" s="14" t="n"/>
      <c r="AG15" s="15" t="n"/>
      <c r="AH15" s="16" t="n"/>
      <c r="AI15" s="15" t="n"/>
      <c r="AJ15" s="17">
        <f>IF(OR(AF15="",AE15=""),"",AF15-AE15)</f>
        <v/>
      </c>
      <c r="AK15" s="18">
        <f>IF(OR(AF15="",AE15="",AE15=0),"",(AF15-AE15)/AE15)</f>
        <v/>
      </c>
      <c r="AL15" s="19">
        <f>IF(AK15="","",IF(AK15&lt;-0.05,"Moins cher",IF(AK15&gt;0.05,"Plus cher","Équivalent")))</f>
        <v/>
      </c>
    </row>
    <row r="16">
      <c r="A16" s="33" t="n"/>
      <c r="B16" s="33" t="n"/>
      <c r="C16" s="33" t="n"/>
      <c r="D16" s="33" t="n"/>
      <c r="E16" s="33" t="n"/>
      <c r="F16" s="33" t="n"/>
      <c r="G16" s="33" t="n"/>
      <c r="H16" s="33" t="n"/>
      <c r="I16" s="33" t="n"/>
      <c r="J16" s="33" t="n"/>
      <c r="K16" s="33" t="n"/>
      <c r="L16" s="33" t="n"/>
      <c r="M16" s="33" t="n"/>
      <c r="N16" s="33" t="n"/>
      <c r="O16" s="33" t="n"/>
      <c r="P16" s="33" t="n"/>
      <c r="Q16" s="34" t="n"/>
      <c r="R16" s="34" t="n"/>
      <c r="S16" s="34" t="n"/>
      <c r="T16" s="34" t="n"/>
      <c r="U16" s="34" t="n"/>
      <c r="V16" s="34" t="n"/>
      <c r="W16" s="34" t="n"/>
      <c r="X16" s="34" t="n"/>
      <c r="Y16" s="34" t="n"/>
      <c r="Z16" s="34" t="n"/>
      <c r="AA16" s="34" t="n"/>
      <c r="AB16" s="34" t="n"/>
      <c r="AC16" s="34" t="n"/>
      <c r="AD16" s="34" t="n"/>
      <c r="AE16" s="14" t="n"/>
      <c r="AF16" s="14" t="n"/>
      <c r="AG16" s="15" t="n"/>
      <c r="AH16" s="16" t="n"/>
      <c r="AI16" s="15" t="n"/>
      <c r="AJ16" s="17">
        <f>IF(OR(AF16="",AE16=""),"",AF16-AE16)</f>
        <v/>
      </c>
      <c r="AK16" s="18">
        <f>IF(OR(AF16="",AE16="",AE16=0),"",(AF16-AE16)/AE16)</f>
        <v/>
      </c>
      <c r="AL16" s="19">
        <f>IF(AK16="","",IF(AK16&lt;-0.05,"Moins cher",IF(AK16&gt;0.05,"Plus cher","Équivalent")))</f>
        <v/>
      </c>
    </row>
    <row r="17">
      <c r="A17" s="33" t="n"/>
      <c r="B17" s="33" t="n"/>
      <c r="C17" s="33" t="n"/>
      <c r="D17" s="33" t="n"/>
      <c r="E17" s="33" t="n"/>
      <c r="F17" s="33" t="n"/>
      <c r="G17" s="33" t="n"/>
      <c r="H17" s="33" t="n"/>
      <c r="I17" s="33" t="n"/>
      <c r="J17" s="33" t="n"/>
      <c r="K17" s="33" t="n"/>
      <c r="L17" s="33" t="n"/>
      <c r="M17" s="33" t="n"/>
      <c r="N17" s="33" t="n"/>
      <c r="O17" s="33" t="n"/>
      <c r="P17" s="33" t="n"/>
      <c r="Q17" s="34" t="n"/>
      <c r="R17" s="34" t="n"/>
      <c r="S17" s="34" t="n"/>
      <c r="T17" s="34" t="n"/>
      <c r="U17" s="34" t="n"/>
      <c r="V17" s="34" t="n"/>
      <c r="W17" s="34" t="n"/>
      <c r="X17" s="34" t="n"/>
      <c r="Y17" s="34" t="n"/>
      <c r="Z17" s="34" t="n"/>
      <c r="AA17" s="34" t="n"/>
      <c r="AB17" s="34" t="n"/>
      <c r="AC17" s="34" t="n"/>
      <c r="AD17" s="34" t="n"/>
      <c r="AE17" s="14" t="n"/>
      <c r="AF17" s="14" t="n"/>
      <c r="AG17" s="15" t="n"/>
      <c r="AH17" s="16" t="n"/>
      <c r="AI17" s="15" t="n"/>
      <c r="AJ17" s="17">
        <f>IF(OR(AF17="",AE17=""),"",AF17-AE17)</f>
        <v/>
      </c>
      <c r="AK17" s="18">
        <f>IF(OR(AF17="",AE17="",AE17=0),"",(AF17-AE17)/AE17)</f>
        <v/>
      </c>
      <c r="AL17" s="19">
        <f>IF(AK17="","",IF(AK17&lt;-0.05,"Moins cher",IF(AK17&gt;0.05,"Plus cher","Équivalent")))</f>
        <v/>
      </c>
    </row>
    <row r="18">
      <c r="A18" s="33" t="n"/>
      <c r="B18" s="33" t="n"/>
      <c r="C18" s="33" t="n"/>
      <c r="D18" s="33" t="n"/>
      <c r="E18" s="33" t="n"/>
      <c r="F18" s="33" t="n"/>
      <c r="G18" s="33" t="n"/>
      <c r="H18" s="33" t="n"/>
      <c r="I18" s="33" t="n"/>
      <c r="J18" s="33" t="n"/>
      <c r="K18" s="33" t="n"/>
      <c r="L18" s="33" t="n"/>
      <c r="M18" s="33" t="n"/>
      <c r="N18" s="33" t="n"/>
      <c r="O18" s="33" t="n"/>
      <c r="P18" s="33" t="n"/>
      <c r="Q18" s="34" t="n"/>
      <c r="R18" s="34" t="n"/>
      <c r="S18" s="34" t="n"/>
      <c r="T18" s="34" t="n"/>
      <c r="U18" s="34" t="n"/>
      <c r="V18" s="34" t="n"/>
      <c r="W18" s="34" t="n"/>
      <c r="X18" s="34" t="n"/>
      <c r="Y18" s="34" t="n"/>
      <c r="Z18" s="34" t="n"/>
      <c r="AA18" s="34" t="n"/>
      <c r="AB18" s="34" t="n"/>
      <c r="AC18" s="34" t="n"/>
      <c r="AD18" s="34" t="n"/>
      <c r="AE18" s="14" t="n"/>
      <c r="AF18" s="14" t="n"/>
      <c r="AG18" s="15" t="n"/>
      <c r="AH18" s="16" t="n"/>
      <c r="AI18" s="15" t="n"/>
      <c r="AJ18" s="17">
        <f>IF(OR(AF18="",AE18=""),"",AF18-AE18)</f>
        <v/>
      </c>
      <c r="AK18" s="18">
        <f>IF(OR(AF18="",AE18="",AE18=0),"",(AF18-AE18)/AE18)</f>
        <v/>
      </c>
      <c r="AL18" s="19">
        <f>IF(AK18="","",IF(AK18&lt;-0.05,"Moins cher",IF(AK18&gt;0.05,"Plus cher","Équivalent")))</f>
        <v/>
      </c>
    </row>
    <row r="19">
      <c r="A19" s="33" t="n"/>
      <c r="B19" s="33" t="n"/>
      <c r="C19" s="33" t="n"/>
      <c r="D19" s="33" t="n"/>
      <c r="E19" s="33" t="n"/>
      <c r="F19" s="33" t="n"/>
      <c r="G19" s="33" t="n"/>
      <c r="H19" s="33" t="n"/>
      <c r="I19" s="33" t="n"/>
      <c r="J19" s="33" t="n"/>
      <c r="K19" s="33" t="n"/>
      <c r="L19" s="33" t="n"/>
      <c r="M19" s="33" t="n"/>
      <c r="N19" s="33" t="n"/>
      <c r="O19" s="33" t="n"/>
      <c r="P19" s="33" t="n"/>
      <c r="Q19" s="34" t="n"/>
      <c r="R19" s="34" t="n"/>
      <c r="S19" s="34" t="n"/>
      <c r="T19" s="34" t="n"/>
      <c r="U19" s="34" t="n"/>
      <c r="V19" s="34" t="n"/>
      <c r="W19" s="34" t="n"/>
      <c r="X19" s="34" t="n"/>
      <c r="Y19" s="34" t="n"/>
      <c r="Z19" s="34" t="n"/>
      <c r="AA19" s="34" t="n"/>
      <c r="AB19" s="34" t="n"/>
      <c r="AC19" s="34" t="n"/>
      <c r="AD19" s="34" t="n"/>
      <c r="AE19" s="14" t="n"/>
      <c r="AF19" s="14" t="n"/>
      <c r="AG19" s="15" t="n"/>
      <c r="AH19" s="16" t="n"/>
      <c r="AI19" s="15" t="n"/>
      <c r="AJ19" s="17">
        <f>IF(OR(AF19="",AE19=""),"",AF19-AE19)</f>
        <v/>
      </c>
      <c r="AK19" s="18">
        <f>IF(OR(AF19="",AE19="",AE19=0),"",(AF19-AE19)/AE19)</f>
        <v/>
      </c>
      <c r="AL19" s="19">
        <f>IF(AK19="","",IF(AK19&lt;-0.05,"Moins cher",IF(AK19&gt;0.05,"Plus cher","Équivalent")))</f>
        <v/>
      </c>
    </row>
    <row r="20">
      <c r="A20" s="33" t="n"/>
      <c r="B20" s="33" t="n"/>
      <c r="C20" s="33" t="n"/>
      <c r="D20" s="33" t="n"/>
      <c r="E20" s="33" t="n"/>
      <c r="F20" s="33" t="n"/>
      <c r="G20" s="33" t="n"/>
      <c r="H20" s="33" t="n"/>
      <c r="I20" s="33" t="n"/>
      <c r="J20" s="33" t="n"/>
      <c r="K20" s="33" t="n"/>
      <c r="L20" s="33" t="n"/>
      <c r="M20" s="33" t="n"/>
      <c r="N20" s="33" t="n"/>
      <c r="O20" s="33" t="n"/>
      <c r="P20" s="33" t="n"/>
      <c r="Q20" s="34" t="n"/>
      <c r="R20" s="34" t="n"/>
      <c r="S20" s="34" t="n"/>
      <c r="T20" s="34" t="n"/>
      <c r="U20" s="34" t="n"/>
      <c r="V20" s="34" t="n"/>
      <c r="W20" s="34" t="n"/>
      <c r="X20" s="34" t="n"/>
      <c r="Y20" s="34" t="n"/>
      <c r="Z20" s="34" t="n"/>
      <c r="AA20" s="34" t="n"/>
      <c r="AB20" s="34" t="n"/>
      <c r="AC20" s="34" t="n"/>
      <c r="AD20" s="34" t="n"/>
      <c r="AE20" s="14" t="n"/>
      <c r="AF20" s="14" t="n"/>
      <c r="AG20" s="15" t="n"/>
      <c r="AH20" s="16" t="n"/>
      <c r="AI20" s="15" t="n"/>
      <c r="AJ20" s="17">
        <f>IF(OR(AF20="",AE20=""),"",AF20-AE20)</f>
        <v/>
      </c>
      <c r="AK20" s="18">
        <f>IF(OR(AF20="",AE20="",AE20=0),"",(AF20-AE20)/AE20)</f>
        <v/>
      </c>
      <c r="AL20" s="19">
        <f>IF(AK20="","",IF(AK20&lt;-0.05,"Moins cher",IF(AK20&gt;0.05,"Plus cher","Équivalent")))</f>
        <v/>
      </c>
    </row>
    <row r="21">
      <c r="A21" s="33" t="n"/>
      <c r="B21" s="33" t="n"/>
      <c r="C21" s="33" t="n"/>
      <c r="D21" s="33" t="n"/>
      <c r="E21" s="33" t="n"/>
      <c r="F21" s="33" t="n"/>
      <c r="G21" s="33" t="n"/>
      <c r="H21" s="33" t="n"/>
      <c r="I21" s="33" t="n"/>
      <c r="J21" s="33" t="n"/>
      <c r="K21" s="33" t="n"/>
      <c r="L21" s="33" t="n"/>
      <c r="M21" s="33" t="n"/>
      <c r="N21" s="33" t="n"/>
      <c r="O21" s="33" t="n"/>
      <c r="P21" s="33" t="n"/>
      <c r="Q21" s="34" t="n"/>
      <c r="R21" s="34" t="n"/>
      <c r="S21" s="34" t="n"/>
      <c r="T21" s="34" t="n"/>
      <c r="U21" s="34" t="n"/>
      <c r="V21" s="34" t="n"/>
      <c r="W21" s="34" t="n"/>
      <c r="X21" s="34" t="n"/>
      <c r="Y21" s="34" t="n"/>
      <c r="Z21" s="34" t="n"/>
      <c r="AA21" s="34" t="n"/>
      <c r="AB21" s="34" t="n"/>
      <c r="AC21" s="34" t="n"/>
      <c r="AD21" s="34" t="n"/>
      <c r="AE21" s="14" t="n"/>
      <c r="AF21" s="14" t="n"/>
      <c r="AG21" s="15" t="n"/>
      <c r="AH21" s="16" t="n"/>
      <c r="AI21" s="15" t="n"/>
      <c r="AJ21" s="17">
        <f>IF(OR(AF21="",AE21=""),"",AF21-AE21)</f>
        <v/>
      </c>
      <c r="AK21" s="18">
        <f>IF(OR(AF21="",AE21="",AE21=0),"",(AF21-AE21)/AE21)</f>
        <v/>
      </c>
      <c r="AL21" s="19">
        <f>IF(AK21="","",IF(AK21&lt;-0.05,"Moins cher",IF(AK21&gt;0.05,"Plus cher","Équivalent")))</f>
        <v/>
      </c>
    </row>
    <row r="22">
      <c r="A22" s="33" t="n"/>
      <c r="B22" s="33" t="n"/>
      <c r="C22" s="33" t="n"/>
      <c r="D22" s="33" t="n"/>
      <c r="E22" s="33" t="n"/>
      <c r="F22" s="33" t="n"/>
      <c r="G22" s="33" t="n"/>
      <c r="H22" s="33" t="n"/>
      <c r="I22" s="33" t="n"/>
      <c r="J22" s="33" t="n"/>
      <c r="K22" s="33" t="n"/>
      <c r="L22" s="33" t="n"/>
      <c r="M22" s="33" t="n"/>
      <c r="N22" s="33" t="n"/>
      <c r="O22" s="33" t="n"/>
      <c r="P22" s="33" t="n"/>
      <c r="Q22" s="34" t="n"/>
      <c r="R22" s="34" t="n"/>
      <c r="S22" s="34" t="n"/>
      <c r="T22" s="34" t="n"/>
      <c r="U22" s="34" t="n"/>
      <c r="V22" s="34" t="n"/>
      <c r="W22" s="34" t="n"/>
      <c r="X22" s="34" t="n"/>
      <c r="Y22" s="34" t="n"/>
      <c r="Z22" s="34" t="n"/>
      <c r="AA22" s="34" t="n"/>
      <c r="AB22" s="34" t="n"/>
      <c r="AC22" s="34" t="n"/>
      <c r="AD22" s="34" t="n"/>
      <c r="AE22" s="14" t="n"/>
      <c r="AF22" s="14" t="n"/>
      <c r="AG22" s="15" t="n"/>
      <c r="AH22" s="16" t="n"/>
      <c r="AI22" s="15" t="n"/>
      <c r="AJ22" s="17">
        <f>IF(OR(AF22="",AE22=""),"",AF22-AE22)</f>
        <v/>
      </c>
      <c r="AK22" s="18">
        <f>IF(OR(AF22="",AE22="",AE22=0),"",(AF22-AE22)/AE22)</f>
        <v/>
      </c>
      <c r="AL22" s="19">
        <f>IF(AK22="","",IF(AK22&lt;-0.05,"Moins cher",IF(AK22&gt;0.05,"Plus cher","Équivalent")))</f>
        <v/>
      </c>
    </row>
    <row r="23">
      <c r="A23" s="33" t="n"/>
      <c r="B23" s="33" t="n"/>
      <c r="C23" s="33" t="n"/>
      <c r="D23" s="33" t="n"/>
      <c r="E23" s="33" t="n"/>
      <c r="F23" s="33" t="n"/>
      <c r="G23" s="33" t="n"/>
      <c r="H23" s="33" t="n"/>
      <c r="I23" s="33" t="n"/>
      <c r="J23" s="33" t="n"/>
      <c r="K23" s="33" t="n"/>
      <c r="L23" s="33" t="n"/>
      <c r="M23" s="33" t="n"/>
      <c r="N23" s="33" t="n"/>
      <c r="O23" s="33" t="n"/>
      <c r="P23" s="33" t="n"/>
      <c r="Q23" s="34" t="n"/>
      <c r="R23" s="34" t="n"/>
      <c r="S23" s="34" t="n"/>
      <c r="T23" s="34" t="n"/>
      <c r="U23" s="34" t="n"/>
      <c r="V23" s="34" t="n"/>
      <c r="W23" s="34" t="n"/>
      <c r="X23" s="34" t="n"/>
      <c r="Y23" s="34" t="n"/>
      <c r="Z23" s="34" t="n"/>
      <c r="AA23" s="34" t="n"/>
      <c r="AB23" s="34" t="n"/>
      <c r="AC23" s="34" t="n"/>
      <c r="AD23" s="34" t="n"/>
      <c r="AE23" s="14" t="n"/>
      <c r="AF23" s="14" t="n"/>
      <c r="AG23" s="15" t="n"/>
      <c r="AH23" s="16" t="n"/>
      <c r="AI23" s="15" t="n"/>
      <c r="AJ23" s="17">
        <f>IF(OR(AF23="",AE23=""),"",AF23-AE23)</f>
        <v/>
      </c>
      <c r="AK23" s="18">
        <f>IF(OR(AF23="",AE23="",AE23=0),"",(AF23-AE23)/AE23)</f>
        <v/>
      </c>
      <c r="AL23" s="19">
        <f>IF(AK23="","",IF(AK23&lt;-0.05,"Moins cher",IF(AK23&gt;0.05,"Plus cher","Équivalent")))</f>
        <v/>
      </c>
    </row>
    <row r="24">
      <c r="A24" s="33" t="n"/>
      <c r="B24" s="33" t="n"/>
      <c r="C24" s="33" t="n"/>
      <c r="D24" s="33" t="n"/>
      <c r="E24" s="33" t="n"/>
      <c r="F24" s="33" t="n"/>
      <c r="G24" s="33" t="n"/>
      <c r="H24" s="33" t="n"/>
      <c r="I24" s="33" t="n"/>
      <c r="J24" s="33" t="n"/>
      <c r="K24" s="33" t="n"/>
      <c r="L24" s="33" t="n"/>
      <c r="M24" s="33" t="n"/>
      <c r="N24" s="33" t="n"/>
      <c r="O24" s="33" t="n"/>
      <c r="P24" s="33" t="n"/>
      <c r="Q24" s="34" t="n"/>
      <c r="R24" s="34" t="n"/>
      <c r="S24" s="34" t="n"/>
      <c r="T24" s="34" t="n"/>
      <c r="U24" s="34" t="n"/>
      <c r="V24" s="34" t="n"/>
      <c r="W24" s="34" t="n"/>
      <c r="X24" s="34" t="n"/>
      <c r="Y24" s="34" t="n"/>
      <c r="Z24" s="34" t="n"/>
      <c r="AA24" s="34" t="n"/>
      <c r="AB24" s="34" t="n"/>
      <c r="AC24" s="34" t="n"/>
      <c r="AD24" s="34" t="n"/>
      <c r="AE24" s="14" t="n"/>
      <c r="AF24" s="14" t="n"/>
      <c r="AG24" s="15" t="n"/>
      <c r="AH24" s="16" t="n"/>
      <c r="AI24" s="15" t="n"/>
      <c r="AJ24" s="17">
        <f>IF(OR(AF24="",AE24=""),"",AF24-AE24)</f>
        <v/>
      </c>
      <c r="AK24" s="18">
        <f>IF(OR(AF24="",AE24="",AE24=0),"",(AF24-AE24)/AE24)</f>
        <v/>
      </c>
      <c r="AL24" s="19">
        <f>IF(AK24="","",IF(AK24&lt;-0.05,"Moins cher",IF(AK24&gt;0.05,"Plus cher","Équivalent")))</f>
        <v/>
      </c>
    </row>
    <row r="25">
      <c r="A25" s="33" t="n"/>
      <c r="B25" s="33" t="n"/>
      <c r="C25" s="33" t="n"/>
      <c r="D25" s="33" t="n"/>
      <c r="E25" s="33" t="n"/>
      <c r="F25" s="33" t="n"/>
      <c r="G25" s="33" t="n"/>
      <c r="H25" s="33" t="n"/>
      <c r="I25" s="33" t="n"/>
      <c r="J25" s="33" t="n"/>
      <c r="K25" s="33" t="n"/>
      <c r="L25" s="33" t="n"/>
      <c r="M25" s="33" t="n"/>
      <c r="N25" s="33" t="n"/>
      <c r="O25" s="33" t="n"/>
      <c r="P25" s="33" t="n"/>
      <c r="Q25" s="34" t="n"/>
      <c r="R25" s="34" t="n"/>
      <c r="S25" s="34" t="n"/>
      <c r="T25" s="34" t="n"/>
      <c r="U25" s="34" t="n"/>
      <c r="V25" s="34" t="n"/>
      <c r="W25" s="34" t="n"/>
      <c r="X25" s="34" t="n"/>
      <c r="Y25" s="34" t="n"/>
      <c r="Z25" s="34" t="n"/>
      <c r="AA25" s="34" t="n"/>
      <c r="AB25" s="34" t="n"/>
      <c r="AC25" s="34" t="n"/>
      <c r="AD25" s="34" t="n"/>
      <c r="AE25" s="14" t="n"/>
      <c r="AF25" s="14" t="n"/>
      <c r="AG25" s="15" t="n"/>
      <c r="AH25" s="16" t="n"/>
      <c r="AI25" s="15" t="n"/>
      <c r="AJ25" s="17">
        <f>IF(OR(AF25="",AE25=""),"",AF25-AE25)</f>
        <v/>
      </c>
      <c r="AK25" s="18">
        <f>IF(OR(AF25="",AE25="",AE25=0),"",(AF25-AE25)/AE25)</f>
        <v/>
      </c>
      <c r="AL25" s="19">
        <f>IF(AK25="","",IF(AK25&lt;-0.05,"Moins cher",IF(AK25&gt;0.05,"Plus cher","Équivalent")))</f>
        <v/>
      </c>
    </row>
    <row r="26">
      <c r="A26" s="33" t="n"/>
      <c r="B26" s="33" t="n"/>
      <c r="C26" s="33" t="n"/>
      <c r="D26" s="33" t="n"/>
      <c r="E26" s="33" t="n"/>
      <c r="F26" s="33" t="n"/>
      <c r="G26" s="33" t="n"/>
      <c r="H26" s="33" t="n"/>
      <c r="I26" s="33" t="n"/>
      <c r="J26" s="33" t="n"/>
      <c r="K26" s="33" t="n"/>
      <c r="L26" s="33" t="n"/>
      <c r="M26" s="33" t="n"/>
      <c r="N26" s="33" t="n"/>
      <c r="O26" s="33" t="n"/>
      <c r="P26" s="33" t="n"/>
      <c r="Q26" s="34" t="n"/>
      <c r="R26" s="34" t="n"/>
      <c r="S26" s="34" t="n"/>
      <c r="T26" s="34" t="n"/>
      <c r="U26" s="34" t="n"/>
      <c r="V26" s="34" t="n"/>
      <c r="W26" s="34" t="n"/>
      <c r="X26" s="34" t="n"/>
      <c r="Y26" s="34" t="n"/>
      <c r="Z26" s="34" t="n"/>
      <c r="AA26" s="34" t="n"/>
      <c r="AB26" s="34" t="n"/>
      <c r="AC26" s="34" t="n"/>
      <c r="AD26" s="34" t="n"/>
      <c r="AE26" s="14" t="n"/>
      <c r="AF26" s="14" t="n"/>
      <c r="AG26" s="15" t="n"/>
      <c r="AH26" s="16" t="n"/>
      <c r="AI26" s="15" t="n"/>
      <c r="AJ26" s="17">
        <f>IF(OR(AF26="",AE26=""),"",AF26-AE26)</f>
        <v/>
      </c>
      <c r="AK26" s="18">
        <f>IF(OR(AF26="",AE26="",AE26=0),"",(AF26-AE26)/AE26)</f>
        <v/>
      </c>
      <c r="AL26" s="19">
        <f>IF(AK26="","",IF(AK26&lt;-0.05,"Moins cher",IF(AK26&gt;0.05,"Plus cher","Équivalent")))</f>
        <v/>
      </c>
    </row>
    <row r="27">
      <c r="A27" s="33" t="n"/>
      <c r="B27" s="33" t="n"/>
      <c r="C27" s="33" t="n"/>
      <c r="D27" s="33" t="n"/>
      <c r="E27" s="33" t="n"/>
      <c r="F27" s="33" t="n"/>
      <c r="G27" s="33" t="n"/>
      <c r="H27" s="33" t="n"/>
      <c r="I27" s="33" t="n"/>
      <c r="J27" s="33" t="n"/>
      <c r="K27" s="33" t="n"/>
      <c r="L27" s="33" t="n"/>
      <c r="M27" s="33" t="n"/>
      <c r="N27" s="33" t="n"/>
      <c r="O27" s="33" t="n"/>
      <c r="P27" s="33" t="n"/>
      <c r="Q27" s="34" t="n"/>
      <c r="R27" s="34" t="n"/>
      <c r="S27" s="34" t="n"/>
      <c r="T27" s="34" t="n"/>
      <c r="U27" s="34" t="n"/>
      <c r="V27" s="34" t="n"/>
      <c r="W27" s="34" t="n"/>
      <c r="X27" s="34" t="n"/>
      <c r="Y27" s="34" t="n"/>
      <c r="Z27" s="34" t="n"/>
      <c r="AA27" s="34" t="n"/>
      <c r="AB27" s="34" t="n"/>
      <c r="AC27" s="34" t="n"/>
      <c r="AD27" s="34" t="n"/>
      <c r="AE27" s="14" t="n"/>
      <c r="AF27" s="14" t="n"/>
      <c r="AG27" s="15" t="n"/>
      <c r="AH27" s="16" t="n"/>
      <c r="AI27" s="15" t="n"/>
      <c r="AJ27" s="17">
        <f>IF(OR(AF27="",AE27=""),"",AF27-AE27)</f>
        <v/>
      </c>
      <c r="AK27" s="18">
        <f>IF(OR(AF27="",AE27="",AE27=0),"",(AF27-AE27)/AE27)</f>
        <v/>
      </c>
      <c r="AL27" s="19">
        <f>IF(AK27="","",IF(AK27&lt;-0.05,"Moins cher",IF(AK27&gt;0.05,"Plus cher","Équivalent")))</f>
        <v/>
      </c>
    </row>
    <row r="28">
      <c r="A28" s="33" t="n"/>
      <c r="B28" s="33" t="n"/>
      <c r="C28" s="33" t="n"/>
      <c r="D28" s="33" t="n"/>
      <c r="E28" s="33" t="n"/>
      <c r="F28" s="33" t="n"/>
      <c r="G28" s="33" t="n"/>
      <c r="H28" s="33" t="n"/>
      <c r="I28" s="33" t="n"/>
      <c r="J28" s="33" t="n"/>
      <c r="K28" s="33" t="n"/>
      <c r="L28" s="33" t="n"/>
      <c r="M28" s="33" t="n"/>
      <c r="N28" s="33" t="n"/>
      <c r="O28" s="33" t="n"/>
      <c r="P28" s="33" t="n"/>
      <c r="Q28" s="34" t="n"/>
      <c r="R28" s="34" t="n"/>
      <c r="S28" s="34" t="n"/>
      <c r="T28" s="34" t="n"/>
      <c r="U28" s="34" t="n"/>
      <c r="V28" s="34" t="n"/>
      <c r="W28" s="34" t="n"/>
      <c r="X28" s="34" t="n"/>
      <c r="Y28" s="34" t="n"/>
      <c r="Z28" s="34" t="n"/>
      <c r="AA28" s="34" t="n"/>
      <c r="AB28" s="34" t="n"/>
      <c r="AC28" s="34" t="n"/>
      <c r="AD28" s="34" t="n"/>
      <c r="AE28" s="14" t="n"/>
      <c r="AF28" s="14" t="n"/>
      <c r="AG28" s="15" t="n"/>
      <c r="AH28" s="16" t="n"/>
      <c r="AI28" s="15" t="n"/>
      <c r="AJ28" s="17">
        <f>IF(OR(AF28="",AE28=""),"",AF28-AE28)</f>
        <v/>
      </c>
      <c r="AK28" s="18">
        <f>IF(OR(AF28="",AE28="",AE28=0),"",(AF28-AE28)/AE28)</f>
        <v/>
      </c>
      <c r="AL28" s="19">
        <f>IF(AK28="","",IF(AK28&lt;-0.05,"Moins cher",IF(AK28&gt;0.05,"Plus cher","Équivalent")))</f>
        <v/>
      </c>
    </row>
    <row r="29">
      <c r="A29" s="33" t="n"/>
      <c r="B29" s="33" t="n"/>
      <c r="C29" s="33" t="n"/>
      <c r="D29" s="33" t="n"/>
      <c r="E29" s="33" t="n"/>
      <c r="F29" s="33" t="n"/>
      <c r="G29" s="33" t="n"/>
      <c r="H29" s="33" t="n"/>
      <c r="I29" s="33" t="n"/>
      <c r="J29" s="33" t="n"/>
      <c r="K29" s="33" t="n"/>
      <c r="L29" s="33" t="n"/>
      <c r="M29" s="33" t="n"/>
      <c r="N29" s="33" t="n"/>
      <c r="O29" s="33" t="n"/>
      <c r="P29" s="33" t="n"/>
      <c r="Q29" s="34" t="n"/>
      <c r="R29" s="34" t="n"/>
      <c r="S29" s="34" t="n"/>
      <c r="T29" s="34" t="n"/>
      <c r="U29" s="34" t="n"/>
      <c r="V29" s="34" t="n"/>
      <c r="W29" s="34" t="n"/>
      <c r="X29" s="34" t="n"/>
      <c r="Y29" s="34" t="n"/>
      <c r="Z29" s="34" t="n"/>
      <c r="AA29" s="34" t="n"/>
      <c r="AB29" s="34" t="n"/>
      <c r="AC29" s="34" t="n"/>
      <c r="AD29" s="34" t="n"/>
      <c r="AE29" s="14" t="n"/>
      <c r="AF29" s="14" t="n"/>
      <c r="AG29" s="15" t="n"/>
      <c r="AH29" s="16" t="n"/>
      <c r="AI29" s="15" t="n"/>
      <c r="AJ29" s="17">
        <f>IF(OR(AF29="",AE29=""),"",AF29-AE29)</f>
        <v/>
      </c>
      <c r="AK29" s="18">
        <f>IF(OR(AF29="",AE29="",AE29=0),"",(AF29-AE29)/AE29)</f>
        <v/>
      </c>
      <c r="AL29" s="19">
        <f>IF(AK29="","",IF(AK29&lt;-0.05,"Moins cher",IF(AK29&gt;0.05,"Plus cher","Équivalent")))</f>
        <v/>
      </c>
    </row>
    <row r="30">
      <c r="A30" s="33" t="n"/>
      <c r="B30" s="33" t="n"/>
      <c r="C30" s="33" t="n"/>
      <c r="D30" s="33" t="n"/>
      <c r="E30" s="33" t="n"/>
      <c r="F30" s="33" t="n"/>
      <c r="G30" s="33" t="n"/>
      <c r="H30" s="33" t="n"/>
      <c r="I30" s="33" t="n"/>
      <c r="J30" s="33" t="n"/>
      <c r="K30" s="33" t="n"/>
      <c r="L30" s="33" t="n"/>
      <c r="M30" s="33" t="n"/>
      <c r="N30" s="33" t="n"/>
      <c r="O30" s="33" t="n"/>
      <c r="P30" s="33" t="n"/>
      <c r="Q30" s="34" t="n"/>
      <c r="R30" s="34" t="n"/>
      <c r="S30" s="34" t="n"/>
      <c r="T30" s="34" t="n"/>
      <c r="U30" s="34" t="n"/>
      <c r="V30" s="34" t="n"/>
      <c r="W30" s="34" t="n"/>
      <c r="X30" s="34" t="n"/>
      <c r="Y30" s="34" t="n"/>
      <c r="Z30" s="34" t="n"/>
      <c r="AA30" s="34" t="n"/>
      <c r="AB30" s="34" t="n"/>
      <c r="AC30" s="34" t="n"/>
      <c r="AD30" s="34" t="n"/>
      <c r="AE30" s="14" t="n"/>
      <c r="AF30" s="14" t="n"/>
      <c r="AG30" s="15" t="n"/>
      <c r="AH30" s="16" t="n"/>
      <c r="AI30" s="15" t="n"/>
      <c r="AJ30" s="17">
        <f>IF(OR(AF30="",AE30=""),"",AF30-AE30)</f>
        <v/>
      </c>
      <c r="AK30" s="18">
        <f>IF(OR(AF30="",AE30="",AE30=0),"",(AF30-AE30)/AE30)</f>
        <v/>
      </c>
      <c r="AL30" s="19">
        <f>IF(AK30="","",IF(AK30&lt;-0.05,"Moins cher",IF(AK30&gt;0.05,"Plus cher","Équivalent")))</f>
        <v/>
      </c>
    </row>
    <row r="31">
      <c r="A31" s="33" t="n"/>
      <c r="B31" s="33" t="n"/>
      <c r="C31" s="33" t="n"/>
      <c r="D31" s="33" t="n"/>
      <c r="E31" s="33" t="n"/>
      <c r="F31" s="33" t="n"/>
      <c r="G31" s="33" t="n"/>
      <c r="H31" s="33" t="n"/>
      <c r="I31" s="33" t="n"/>
      <c r="J31" s="33" t="n"/>
      <c r="K31" s="33" t="n"/>
      <c r="L31" s="33" t="n"/>
      <c r="M31" s="33" t="n"/>
      <c r="N31" s="33" t="n"/>
      <c r="O31" s="33" t="n"/>
      <c r="P31" s="33" t="n"/>
      <c r="Q31" s="34" t="n"/>
      <c r="R31" s="34" t="n"/>
      <c r="S31" s="34" t="n"/>
      <c r="T31" s="34" t="n"/>
      <c r="U31" s="34" t="n"/>
      <c r="V31" s="34" t="n"/>
      <c r="W31" s="34" t="n"/>
      <c r="X31" s="34" t="n"/>
      <c r="Y31" s="34" t="n"/>
      <c r="Z31" s="34" t="n"/>
      <c r="AA31" s="34" t="n"/>
      <c r="AB31" s="34" t="n"/>
      <c r="AC31" s="34" t="n"/>
      <c r="AD31" s="34" t="n"/>
      <c r="AE31" s="14" t="n"/>
      <c r="AF31" s="14" t="n"/>
      <c r="AG31" s="15" t="n"/>
      <c r="AH31" s="16" t="n"/>
      <c r="AI31" s="15" t="n"/>
      <c r="AJ31" s="17">
        <f>IF(OR(AF31="",AE31=""),"",AF31-AE31)</f>
        <v/>
      </c>
      <c r="AK31" s="18">
        <f>IF(OR(AF31="",AE31="",AE31=0),"",(AF31-AE31)/AE31)</f>
        <v/>
      </c>
      <c r="AL31" s="19">
        <f>IF(AK31="","",IF(AK31&lt;-0.05,"Moins cher",IF(AK31&gt;0.05,"Plus cher","Équivalent")))</f>
        <v/>
      </c>
    </row>
    <row r="32">
      <c r="A32" s="33" t="n"/>
      <c r="B32" s="33" t="n"/>
      <c r="C32" s="33" t="n"/>
      <c r="D32" s="33" t="n"/>
      <c r="E32" s="33" t="n"/>
      <c r="F32" s="33" t="n"/>
      <c r="G32" s="33" t="n"/>
      <c r="H32" s="33" t="n"/>
      <c r="I32" s="33" t="n"/>
      <c r="J32" s="33" t="n"/>
      <c r="K32" s="33" t="n"/>
      <c r="L32" s="33" t="n"/>
      <c r="M32" s="33" t="n"/>
      <c r="N32" s="33" t="n"/>
      <c r="O32" s="33" t="n"/>
      <c r="P32" s="33" t="n"/>
      <c r="Q32" s="34" t="n"/>
      <c r="R32" s="34" t="n"/>
      <c r="S32" s="34" t="n"/>
      <c r="T32" s="34" t="n"/>
      <c r="U32" s="34" t="n"/>
      <c r="V32" s="34" t="n"/>
      <c r="W32" s="34" t="n"/>
      <c r="X32" s="34" t="n"/>
      <c r="Y32" s="34" t="n"/>
      <c r="Z32" s="34" t="n"/>
      <c r="AA32" s="34" t="n"/>
      <c r="AB32" s="34" t="n"/>
      <c r="AC32" s="34" t="n"/>
      <c r="AD32" s="34" t="n"/>
      <c r="AE32" s="14" t="n"/>
      <c r="AF32" s="14" t="n"/>
      <c r="AG32" s="15" t="n"/>
      <c r="AH32" s="16" t="n"/>
      <c r="AI32" s="15" t="n"/>
      <c r="AJ32" s="17">
        <f>IF(OR(AF32="",AE32=""),"",AF32-AE32)</f>
        <v/>
      </c>
      <c r="AK32" s="18">
        <f>IF(OR(AF32="",AE32="",AE32=0),"",(AF32-AE32)/AE32)</f>
        <v/>
      </c>
      <c r="AL32" s="19">
        <f>IF(AK32="","",IF(AK32&lt;-0.05,"Moins cher",IF(AK32&gt;0.05,"Plus cher","Équivalent")))</f>
        <v/>
      </c>
    </row>
    <row r="33">
      <c r="A33" s="33" t="n"/>
      <c r="B33" s="33" t="n"/>
      <c r="C33" s="33" t="n"/>
      <c r="D33" s="33" t="n"/>
      <c r="E33" s="33" t="n"/>
      <c r="F33" s="33" t="n"/>
      <c r="G33" s="33" t="n"/>
      <c r="H33" s="33" t="n"/>
      <c r="I33" s="33" t="n"/>
      <c r="J33" s="33" t="n"/>
      <c r="K33" s="33" t="n"/>
      <c r="L33" s="33" t="n"/>
      <c r="M33" s="33" t="n"/>
      <c r="N33" s="33" t="n"/>
      <c r="O33" s="33" t="n"/>
      <c r="P33" s="33" t="n"/>
      <c r="Q33" s="34" t="n"/>
      <c r="R33" s="34" t="n"/>
      <c r="S33" s="34" t="n"/>
      <c r="T33" s="34" t="n"/>
      <c r="U33" s="34" t="n"/>
      <c r="V33" s="34" t="n"/>
      <c r="W33" s="34" t="n"/>
      <c r="X33" s="34" t="n"/>
      <c r="Y33" s="34" t="n"/>
      <c r="Z33" s="34" t="n"/>
      <c r="AA33" s="34" t="n"/>
      <c r="AB33" s="34" t="n"/>
      <c r="AC33" s="34" t="n"/>
      <c r="AD33" s="34" t="n"/>
      <c r="AE33" s="14" t="n"/>
      <c r="AF33" s="14" t="n"/>
      <c r="AG33" s="15" t="n"/>
      <c r="AH33" s="16" t="n"/>
      <c r="AI33" s="15" t="n"/>
      <c r="AJ33" s="17">
        <f>IF(OR(AF33="",AE33=""),"",AF33-AE33)</f>
        <v/>
      </c>
      <c r="AK33" s="18">
        <f>IF(OR(AF33="",AE33="",AE33=0),"",(AF33-AE33)/AE33)</f>
        <v/>
      </c>
      <c r="AL33" s="19">
        <f>IF(AK33="","",IF(AK33&lt;-0.05,"Moins cher",IF(AK33&gt;0.05,"Plus cher","Équivalent")))</f>
        <v/>
      </c>
    </row>
    <row r="34">
      <c r="A34" s="33" t="n"/>
      <c r="B34" s="33" t="n"/>
      <c r="C34" s="33" t="n"/>
      <c r="D34" s="33" t="n"/>
      <c r="E34" s="33" t="n"/>
      <c r="F34" s="33" t="n"/>
      <c r="G34" s="33" t="n"/>
      <c r="H34" s="33" t="n"/>
      <c r="I34" s="33" t="n"/>
      <c r="J34" s="33" t="n"/>
      <c r="K34" s="33" t="n"/>
      <c r="L34" s="33" t="n"/>
      <c r="M34" s="33" t="n"/>
      <c r="N34" s="33" t="n"/>
      <c r="O34" s="33" t="n"/>
      <c r="P34" s="33" t="n"/>
      <c r="Q34" s="34" t="n"/>
      <c r="R34" s="34" t="n"/>
      <c r="S34" s="34" t="n"/>
      <c r="T34" s="34" t="n"/>
      <c r="U34" s="34" t="n"/>
      <c r="V34" s="34" t="n"/>
      <c r="W34" s="34" t="n"/>
      <c r="X34" s="34" t="n"/>
      <c r="Y34" s="34" t="n"/>
      <c r="Z34" s="34" t="n"/>
      <c r="AA34" s="34" t="n"/>
      <c r="AB34" s="34" t="n"/>
      <c r="AC34" s="34" t="n"/>
      <c r="AD34" s="34" t="n"/>
      <c r="AE34" s="14" t="n"/>
      <c r="AF34" s="14" t="n"/>
      <c r="AG34" s="15" t="n"/>
      <c r="AH34" s="16" t="n"/>
      <c r="AI34" s="15" t="n"/>
      <c r="AJ34" s="17">
        <f>IF(OR(AF34="",AE34=""),"",AF34-AE34)</f>
        <v/>
      </c>
      <c r="AK34" s="18">
        <f>IF(OR(AF34="",AE34="",AE34=0),"",(AF34-AE34)/AE34)</f>
        <v/>
      </c>
      <c r="AL34" s="19">
        <f>IF(AK34="","",IF(AK34&lt;-0.05,"Moins cher",IF(AK34&gt;0.05,"Plus cher","Équivalent")))</f>
        <v/>
      </c>
    </row>
    <row r="35">
      <c r="A35" s="33" t="n"/>
      <c r="B35" s="33" t="n"/>
      <c r="C35" s="33" t="n"/>
      <c r="D35" s="33" t="n"/>
      <c r="E35" s="33" t="n"/>
      <c r="F35" s="33" t="n"/>
      <c r="G35" s="33" t="n"/>
      <c r="H35" s="33" t="n"/>
      <c r="I35" s="33" t="n"/>
      <c r="J35" s="33" t="n"/>
      <c r="K35" s="33" t="n"/>
      <c r="L35" s="33" t="n"/>
      <c r="M35" s="33" t="n"/>
      <c r="N35" s="33" t="n"/>
      <c r="O35" s="33" t="n"/>
      <c r="P35" s="33" t="n"/>
      <c r="Q35" s="34" t="n"/>
      <c r="R35" s="34" t="n"/>
      <c r="S35" s="34" t="n"/>
      <c r="T35" s="34" t="n"/>
      <c r="U35" s="34" t="n"/>
      <c r="V35" s="34" t="n"/>
      <c r="W35" s="34" t="n"/>
      <c r="X35" s="34" t="n"/>
      <c r="Y35" s="34" t="n"/>
      <c r="Z35" s="34" t="n"/>
      <c r="AA35" s="34" t="n"/>
      <c r="AB35" s="34" t="n"/>
      <c r="AC35" s="34" t="n"/>
      <c r="AD35" s="34" t="n"/>
      <c r="AE35" s="14" t="n"/>
      <c r="AF35" s="14" t="n"/>
      <c r="AG35" s="15" t="n"/>
      <c r="AH35" s="16" t="n"/>
      <c r="AI35" s="15" t="n"/>
      <c r="AJ35" s="17">
        <f>IF(OR(AF35="",AE35=""),"",AF35-AE35)</f>
        <v/>
      </c>
      <c r="AK35" s="18">
        <f>IF(OR(AF35="",AE35="",AE35=0),"",(AF35-AE35)/AE35)</f>
        <v/>
      </c>
      <c r="AL35" s="19">
        <f>IF(AK35="","",IF(AK35&lt;-0.05,"Moins cher",IF(AK35&gt;0.05,"Plus cher","Équivalent")))</f>
        <v/>
      </c>
    </row>
    <row r="36">
      <c r="A36" s="33" t="n"/>
      <c r="B36" s="33" t="n"/>
      <c r="C36" s="33" t="n"/>
      <c r="D36" s="33" t="n"/>
      <c r="E36" s="33" t="n"/>
      <c r="F36" s="33" t="n"/>
      <c r="G36" s="33" t="n"/>
      <c r="H36" s="33" t="n"/>
      <c r="I36" s="33" t="n"/>
      <c r="J36" s="33" t="n"/>
      <c r="K36" s="33" t="n"/>
      <c r="L36" s="33" t="n"/>
      <c r="M36" s="33" t="n"/>
      <c r="N36" s="33" t="n"/>
      <c r="O36" s="33" t="n"/>
      <c r="P36" s="33" t="n"/>
      <c r="Q36" s="34" t="n"/>
      <c r="R36" s="34" t="n"/>
      <c r="S36" s="34" t="n"/>
      <c r="T36" s="34" t="n"/>
      <c r="U36" s="34" t="n"/>
      <c r="V36" s="34" t="n"/>
      <c r="W36" s="34" t="n"/>
      <c r="X36" s="34" t="n"/>
      <c r="Y36" s="34" t="n"/>
      <c r="Z36" s="34" t="n"/>
      <c r="AA36" s="34" t="n"/>
      <c r="AB36" s="34" t="n"/>
      <c r="AC36" s="34" t="n"/>
      <c r="AD36" s="34" t="n"/>
      <c r="AE36" s="14" t="n"/>
      <c r="AF36" s="14" t="n"/>
      <c r="AG36" s="15" t="n"/>
      <c r="AH36" s="16" t="n"/>
      <c r="AI36" s="15" t="n"/>
      <c r="AJ36" s="17">
        <f>IF(OR(AF36="",AE36=""),"",AF36-AE36)</f>
        <v/>
      </c>
      <c r="AK36" s="18">
        <f>IF(OR(AF36="",AE36="",AE36=0),"",(AF36-AE36)/AE36)</f>
        <v/>
      </c>
      <c r="AL36" s="19">
        <f>IF(AK36="","",IF(AK36&lt;-0.05,"Moins cher",IF(AK36&gt;0.05,"Plus cher","Équivalent")))</f>
        <v/>
      </c>
    </row>
    <row r="37">
      <c r="A37" s="33" t="n"/>
      <c r="B37" s="33" t="n"/>
      <c r="C37" s="33" t="n"/>
      <c r="D37" s="33" t="n"/>
      <c r="E37" s="33" t="n"/>
      <c r="F37" s="33" t="n"/>
      <c r="G37" s="33" t="n"/>
      <c r="H37" s="33" t="n"/>
      <c r="I37" s="33" t="n"/>
      <c r="J37" s="33" t="n"/>
      <c r="K37" s="33" t="n"/>
      <c r="L37" s="33" t="n"/>
      <c r="M37" s="33" t="n"/>
      <c r="N37" s="33" t="n"/>
      <c r="O37" s="33" t="n"/>
      <c r="P37" s="33" t="n"/>
      <c r="Q37" s="34" t="n"/>
      <c r="R37" s="34" t="n"/>
      <c r="S37" s="34" t="n"/>
      <c r="T37" s="34" t="n"/>
      <c r="U37" s="34" t="n"/>
      <c r="V37" s="34" t="n"/>
      <c r="W37" s="34" t="n"/>
      <c r="X37" s="34" t="n"/>
      <c r="Y37" s="34" t="n"/>
      <c r="Z37" s="34" t="n"/>
      <c r="AA37" s="34" t="n"/>
      <c r="AB37" s="34" t="n"/>
      <c r="AC37" s="34" t="n"/>
      <c r="AD37" s="34" t="n"/>
      <c r="AE37" s="14" t="n"/>
      <c r="AF37" s="14" t="n"/>
      <c r="AG37" s="15" t="n"/>
      <c r="AH37" s="16" t="n"/>
      <c r="AI37" s="15" t="n"/>
      <c r="AJ37" s="17">
        <f>IF(OR(AF37="",AE37=""),"",AF37-AE37)</f>
        <v/>
      </c>
      <c r="AK37" s="18">
        <f>IF(OR(AF37="",AE37="",AE37=0),"",(AF37-AE37)/AE37)</f>
        <v/>
      </c>
      <c r="AL37" s="19">
        <f>IF(AK37="","",IF(AK37&lt;-0.05,"Moins cher",IF(AK37&gt;0.05,"Plus cher","Équivalent")))</f>
        <v/>
      </c>
    </row>
    <row r="38">
      <c r="A38" s="33" t="n"/>
      <c r="B38" s="33" t="n"/>
      <c r="C38" s="33" t="n"/>
      <c r="D38" s="33" t="n"/>
      <c r="E38" s="33" t="n"/>
      <c r="F38" s="33" t="n"/>
      <c r="G38" s="33" t="n"/>
      <c r="H38" s="33" t="n"/>
      <c r="I38" s="33" t="n"/>
      <c r="J38" s="33" t="n"/>
      <c r="K38" s="33" t="n"/>
      <c r="L38" s="33" t="n"/>
      <c r="M38" s="33" t="n"/>
      <c r="N38" s="33" t="n"/>
      <c r="O38" s="33" t="n"/>
      <c r="P38" s="33" t="n"/>
      <c r="Q38" s="34" t="n"/>
      <c r="R38" s="34" t="n"/>
      <c r="S38" s="34" t="n"/>
      <c r="T38" s="34" t="n"/>
      <c r="U38" s="34" t="n"/>
      <c r="V38" s="34" t="n"/>
      <c r="W38" s="34" t="n"/>
      <c r="X38" s="34" t="n"/>
      <c r="Y38" s="34" t="n"/>
      <c r="Z38" s="34" t="n"/>
      <c r="AA38" s="34" t="n"/>
      <c r="AB38" s="34" t="n"/>
      <c r="AC38" s="34" t="n"/>
      <c r="AD38" s="34" t="n"/>
      <c r="AE38" s="14" t="n"/>
      <c r="AF38" s="14" t="n"/>
      <c r="AG38" s="15" t="n"/>
      <c r="AH38" s="16" t="n"/>
      <c r="AI38" s="15" t="n"/>
      <c r="AJ38" s="17">
        <f>IF(OR(AF38="",AE38=""),"",AF38-AE38)</f>
        <v/>
      </c>
      <c r="AK38" s="18">
        <f>IF(OR(AF38="",AE38="",AE38=0),"",(AF38-AE38)/AE38)</f>
        <v/>
      </c>
      <c r="AL38" s="19">
        <f>IF(AK38="","",IF(AK38&lt;-0.05,"Moins cher",IF(AK38&gt;0.05,"Plus cher","Équivalent")))</f>
        <v/>
      </c>
    </row>
    <row r="39">
      <c r="A39" s="33" t="n"/>
      <c r="B39" s="33" t="n"/>
      <c r="C39" s="33" t="n"/>
      <c r="D39" s="33" t="n"/>
      <c r="E39" s="33" t="n"/>
      <c r="F39" s="33" t="n"/>
      <c r="G39" s="33" t="n"/>
      <c r="H39" s="33" t="n"/>
      <c r="I39" s="33" t="n"/>
      <c r="J39" s="33" t="n"/>
      <c r="K39" s="33" t="n"/>
      <c r="L39" s="33" t="n"/>
      <c r="M39" s="33" t="n"/>
      <c r="N39" s="33" t="n"/>
      <c r="O39" s="33" t="n"/>
      <c r="P39" s="33" t="n"/>
      <c r="Q39" s="34" t="n"/>
      <c r="R39" s="34" t="n"/>
      <c r="S39" s="34" t="n"/>
      <c r="T39" s="34" t="n"/>
      <c r="U39" s="34" t="n"/>
      <c r="V39" s="34" t="n"/>
      <c r="W39" s="34" t="n"/>
      <c r="X39" s="34" t="n"/>
      <c r="Y39" s="34" t="n"/>
      <c r="Z39" s="34" t="n"/>
      <c r="AA39" s="34" t="n"/>
      <c r="AB39" s="34" t="n"/>
      <c r="AC39" s="34" t="n"/>
      <c r="AD39" s="34" t="n"/>
      <c r="AE39" s="14" t="n"/>
      <c r="AF39" s="14" t="n"/>
      <c r="AG39" s="15" t="n"/>
      <c r="AH39" s="16" t="n"/>
      <c r="AI39" s="15" t="n"/>
      <c r="AJ39" s="17">
        <f>IF(OR(AF39="",AE39=""),"",AF39-AE39)</f>
        <v/>
      </c>
      <c r="AK39" s="18">
        <f>IF(OR(AF39="",AE39="",AE39=0),"",(AF39-AE39)/AE39)</f>
        <v/>
      </c>
      <c r="AL39" s="19">
        <f>IF(AK39="","",IF(AK39&lt;-0.05,"Moins cher",IF(AK39&gt;0.05,"Plus cher","Équivalent")))</f>
        <v/>
      </c>
    </row>
    <row r="40">
      <c r="A40" s="33" t="n"/>
      <c r="B40" s="33" t="n"/>
      <c r="C40" s="33" t="n"/>
      <c r="D40" s="33" t="n"/>
      <c r="E40" s="33" t="n"/>
      <c r="F40" s="33" t="n"/>
      <c r="G40" s="33" t="n"/>
      <c r="H40" s="33" t="n"/>
      <c r="I40" s="33" t="n"/>
      <c r="J40" s="33" t="n"/>
      <c r="K40" s="33" t="n"/>
      <c r="L40" s="33" t="n"/>
      <c r="M40" s="33" t="n"/>
      <c r="N40" s="33" t="n"/>
      <c r="O40" s="33" t="n"/>
      <c r="P40" s="33" t="n"/>
      <c r="Q40" s="34" t="n"/>
      <c r="R40" s="34" t="n"/>
      <c r="S40" s="34" t="n"/>
      <c r="T40" s="34" t="n"/>
      <c r="U40" s="34" t="n"/>
      <c r="V40" s="34" t="n"/>
      <c r="W40" s="34" t="n"/>
      <c r="X40" s="34" t="n"/>
      <c r="Y40" s="34" t="n"/>
      <c r="Z40" s="34" t="n"/>
      <c r="AA40" s="34" t="n"/>
      <c r="AB40" s="34" t="n"/>
      <c r="AC40" s="34" t="n"/>
      <c r="AD40" s="34" t="n"/>
      <c r="AE40" s="14" t="n"/>
      <c r="AF40" s="14" t="n"/>
      <c r="AG40" s="15" t="n"/>
      <c r="AH40" s="16" t="n"/>
      <c r="AI40" s="15" t="n"/>
      <c r="AJ40" s="17">
        <f>IF(OR(AF40="",AE40=""),"",AF40-AE40)</f>
        <v/>
      </c>
      <c r="AK40" s="18">
        <f>IF(OR(AF40="",AE40="",AE40=0),"",(AF40-AE40)/AE40)</f>
        <v/>
      </c>
      <c r="AL40" s="19">
        <f>IF(AK40="","",IF(AK40&lt;-0.05,"Moins cher",IF(AK40&gt;0.05,"Plus cher","Équivalent")))</f>
        <v/>
      </c>
    </row>
    <row r="41">
      <c r="A41" s="33" t="n"/>
      <c r="B41" s="33" t="n"/>
      <c r="C41" s="33" t="n"/>
      <c r="D41" s="33" t="n"/>
      <c r="E41" s="33" t="n"/>
      <c r="F41" s="33" t="n"/>
      <c r="G41" s="33" t="n"/>
      <c r="H41" s="33" t="n"/>
      <c r="I41" s="33" t="n"/>
      <c r="J41" s="33" t="n"/>
      <c r="K41" s="33" t="n"/>
      <c r="L41" s="33" t="n"/>
      <c r="M41" s="33" t="n"/>
      <c r="N41" s="33" t="n"/>
      <c r="O41" s="33" t="n"/>
      <c r="P41" s="33" t="n"/>
      <c r="Q41" s="34" t="n"/>
      <c r="R41" s="34" t="n"/>
      <c r="S41" s="34" t="n"/>
      <c r="T41" s="34" t="n"/>
      <c r="U41" s="34" t="n"/>
      <c r="V41" s="34" t="n"/>
      <c r="W41" s="34" t="n"/>
      <c r="X41" s="34" t="n"/>
      <c r="Y41" s="34" t="n"/>
      <c r="Z41" s="34" t="n"/>
      <c r="AA41" s="34" t="n"/>
      <c r="AB41" s="34" t="n"/>
      <c r="AC41" s="34" t="n"/>
      <c r="AD41" s="34" t="n"/>
      <c r="AE41" s="14" t="n"/>
      <c r="AF41" s="14" t="n"/>
      <c r="AG41" s="15" t="n"/>
      <c r="AH41" s="16" t="n"/>
      <c r="AI41" s="15" t="n"/>
      <c r="AJ41" s="17">
        <f>IF(OR(AF41="",AE41=""),"",AF41-AE41)</f>
        <v/>
      </c>
      <c r="AK41" s="18">
        <f>IF(OR(AF41="",AE41="",AE41=0),"",(AF41-AE41)/AE41)</f>
        <v/>
      </c>
      <c r="AL41" s="19">
        <f>IF(AK41="","",IF(AK41&lt;-0.05,"Moins cher",IF(AK41&gt;0.05,"Plus cher","Équivalent")))</f>
        <v/>
      </c>
    </row>
    <row r="42">
      <c r="A42" s="33" t="n"/>
      <c r="B42" s="33" t="n"/>
      <c r="C42" s="33" t="n"/>
      <c r="D42" s="33" t="n"/>
      <c r="E42" s="33" t="n"/>
      <c r="F42" s="33" t="n"/>
      <c r="G42" s="33" t="n"/>
      <c r="H42" s="33" t="n"/>
      <c r="I42" s="33" t="n"/>
      <c r="J42" s="33" t="n"/>
      <c r="K42" s="33" t="n"/>
      <c r="L42" s="33" t="n"/>
      <c r="M42" s="33" t="n"/>
      <c r="N42" s="33" t="n"/>
      <c r="O42" s="33" t="n"/>
      <c r="P42" s="33" t="n"/>
      <c r="Q42" s="34" t="n"/>
      <c r="R42" s="34" t="n"/>
      <c r="S42" s="34" t="n"/>
      <c r="T42" s="34" t="n"/>
      <c r="U42" s="34" t="n"/>
      <c r="V42" s="34" t="n"/>
      <c r="W42" s="34" t="n"/>
      <c r="X42" s="34" t="n"/>
      <c r="Y42" s="34" t="n"/>
      <c r="Z42" s="34" t="n"/>
      <c r="AA42" s="34" t="n"/>
      <c r="AB42" s="34" t="n"/>
      <c r="AC42" s="34" t="n"/>
      <c r="AD42" s="34" t="n"/>
      <c r="AE42" s="14" t="n"/>
      <c r="AF42" s="14" t="n"/>
      <c r="AG42" s="15" t="n"/>
      <c r="AH42" s="16" t="n"/>
      <c r="AI42" s="15" t="n"/>
      <c r="AJ42" s="17">
        <f>IF(OR(AF42="",AE42=""),"",AF42-AE42)</f>
        <v/>
      </c>
      <c r="AK42" s="18">
        <f>IF(OR(AF42="",AE42="",AE42=0),"",(AF42-AE42)/AE42)</f>
        <v/>
      </c>
      <c r="AL42" s="19">
        <f>IF(AK42="","",IF(AK42&lt;-0.05,"Moins cher",IF(AK42&gt;0.05,"Plus cher","Équivalent")))</f>
        <v/>
      </c>
    </row>
  </sheetData>
  <sheetProtection selectLockedCells="0" selectUnlockedCells="0" sheet="1" objects="0" insertRows="0" insertHyperlinks="1" autoFilter="0" scenarios="0" formatColumns="0" deleteColumns="1" insertColumns="1" pivotTables="1" deleteRows="0" formatCells="0" formatRows="0" sort="0"/>
  <autoFilter ref="A1:AL42"/>
  <conditionalFormatting sqref="AK2:AK42">
    <cfRule type="cellIs" priority="1" operator="greaterThan" dxfId="0">
      <formula>0.05</formula>
    </cfRule>
    <cfRule type="cellIs" priority="2" operator="lessThan" dxfId="1">
      <formula>-0.05</formula>
    </cfRule>
    <cfRule type="cellIs" priority="3" operator="between" dxfId="2">
      <formula>-0.05</formula>
      <formula>0.05</formula>
    </cfRule>
  </conditionalFormatting>
  <hyperlinks>
    <hyperlink xmlns:r="http://schemas.openxmlformats.org/officeDocument/2006/relationships" ref="AB2" r:id="rId1"/>
    <hyperlink xmlns:r="http://schemas.openxmlformats.org/officeDocument/2006/relationships" ref="AC2" r:id="rId2"/>
    <hyperlink xmlns:r="http://schemas.openxmlformats.org/officeDocument/2006/relationships" ref="AB3" r:id="rId3"/>
    <hyperlink xmlns:r="http://schemas.openxmlformats.org/officeDocument/2006/relationships" ref="AC3" r:id="rId4"/>
    <hyperlink xmlns:r="http://schemas.openxmlformats.org/officeDocument/2006/relationships" ref="AB4" r:id="rId5"/>
    <hyperlink xmlns:r="http://schemas.openxmlformats.org/officeDocument/2006/relationships" ref="AC4" r:id="rId6"/>
    <hyperlink xmlns:r="http://schemas.openxmlformats.org/officeDocument/2006/relationships" ref="AB5" r:id="rId7"/>
    <hyperlink xmlns:r="http://schemas.openxmlformats.org/officeDocument/2006/relationships" ref="AC5" r:id="rId8"/>
    <hyperlink xmlns:r="http://schemas.openxmlformats.org/officeDocument/2006/relationships" ref="AB6" r:id="rId9"/>
    <hyperlink xmlns:r="http://schemas.openxmlformats.org/officeDocument/2006/relationships" ref="AC6" r:id="rId10"/>
    <hyperlink xmlns:r="http://schemas.openxmlformats.org/officeDocument/2006/relationships" ref="AB7" r:id="rId11"/>
    <hyperlink xmlns:r="http://schemas.openxmlformats.org/officeDocument/2006/relationships" ref="AC7" r:id="rId12"/>
    <hyperlink xmlns:r="http://schemas.openxmlformats.org/officeDocument/2006/relationships" ref="AB8" r:id="rId13"/>
    <hyperlink xmlns:r="http://schemas.openxmlformats.org/officeDocument/2006/relationships" ref="AC8" r:id="rId14"/>
    <hyperlink xmlns:r="http://schemas.openxmlformats.org/officeDocument/2006/relationships" ref="AB9" r:id="rId15"/>
    <hyperlink xmlns:r="http://schemas.openxmlformats.org/officeDocument/2006/relationships" ref="AC9" r:id="rId16"/>
    <hyperlink xmlns:r="http://schemas.openxmlformats.org/officeDocument/2006/relationships" ref="AB10" r:id="rId17"/>
    <hyperlink xmlns:r="http://schemas.openxmlformats.org/officeDocument/2006/relationships" ref="AC10" r:id="rId18"/>
    <hyperlink xmlns:r="http://schemas.openxmlformats.org/officeDocument/2006/relationships" ref="AB11" r:id="rId19"/>
    <hyperlink xmlns:r="http://schemas.openxmlformats.org/officeDocument/2006/relationships" ref="AC11" r:id="rId20"/>
    <hyperlink xmlns:r="http://schemas.openxmlformats.org/officeDocument/2006/relationships" ref="AB12" r:id="rId21"/>
    <hyperlink xmlns:r="http://schemas.openxmlformats.org/officeDocument/2006/relationships" ref="AC12" r:id="rId22"/>
  </hyperlinks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AB90"/>
  <sheetViews>
    <sheetView showGridLines="0" workbookViewId="0">
      <pane xSplit="1" ySplit="1" topLeftCell="B2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6" customWidth="1" min="1" max="1"/>
    <col width="20" customWidth="1" min="2" max="2"/>
    <col width="42" customWidth="1" min="3" max="3"/>
    <col width="18" customWidth="1" min="4" max="4"/>
    <col width="52" customWidth="1" min="5" max="5"/>
    <col width="10" customWidth="1" min="6" max="6"/>
    <col width="34" customWidth="1" min="7" max="7"/>
    <col width="18" customWidth="1" min="8" max="8"/>
    <col width="26" customWidth="1" min="9" max="9"/>
    <col width="26" customWidth="1" min="10" max="10"/>
    <col width="26" customWidth="1" min="11" max="11"/>
    <col width="14" customWidth="1" min="12" max="12"/>
    <col width="18" customWidth="1" min="13" max="13"/>
    <col width="18" customWidth="1" min="14" max="14"/>
    <col width="24" customWidth="1" min="15" max="15"/>
    <col width="34" customWidth="1" min="16" max="16"/>
    <col width="26" customWidth="1" min="17" max="17"/>
    <col width="52" customWidth="1" min="18" max="18"/>
    <col width="52" customWidth="1" min="19" max="19"/>
    <col width="64" customWidth="1" min="20" max="20"/>
    <col width="15" customWidth="1" min="21" max="21"/>
    <col width="14" customWidth="1" min="22" max="22"/>
    <col width="10" customWidth="1" min="23" max="23"/>
    <col width="14" customWidth="1" min="24" max="24"/>
    <col width="32" customWidth="1" min="25" max="25"/>
    <col width="18" customWidth="1" min="26" max="26"/>
    <col width="16" customWidth="1" min="27" max="27"/>
    <col width="20" customWidth="1" min="28" max="28"/>
  </cols>
  <sheetData>
    <row r="1" ht="46" customHeight="1">
      <c r="A1" s="1" t="inlineStr">
        <is>
          <t>Référence SEAGO</t>
        </is>
      </c>
      <c r="B1" s="1" t="inlineStr">
        <is>
          <t>Famille</t>
        </is>
      </c>
      <c r="C1" s="1" t="inlineStr">
        <is>
          <t>Type de tête</t>
        </is>
      </c>
      <c r="D1" s="1" t="inlineStr">
        <is>
          <t>Système de fixation</t>
        </is>
      </c>
      <c r="E1" s="1" t="inlineStr">
        <is>
          <t>Compatibilité</t>
        </is>
      </c>
      <c r="F1" s="1" t="inlineStr">
        <is>
          <t>Page catalogue</t>
        </is>
      </c>
      <c r="G1" s="2" t="inlineStr">
        <is>
          <t>Produit concurrent</t>
        </is>
      </c>
      <c r="H1" s="2" t="inlineStr">
        <is>
          <t>Marque concurrente</t>
        </is>
      </c>
      <c r="I1" s="2" t="inlineStr">
        <is>
          <t>Technologie concurrent</t>
        </is>
      </c>
      <c r="J1" s="2" t="inlineStr">
        <is>
          <t>Fréquence / débit concurrent</t>
        </is>
      </c>
      <c r="K1" s="2" t="inlineStr">
        <is>
          <t>Modes concurrent</t>
        </is>
      </c>
      <c r="L1" s="2" t="inlineStr">
        <is>
          <t>Autonomie concurrent (jours)</t>
        </is>
      </c>
      <c r="M1" s="2" t="inlineStr">
        <is>
          <t>Étanchéité concurrent</t>
        </is>
      </c>
      <c r="N1" s="2" t="inlineStr">
        <is>
          <t>Capteur de pression concurrent</t>
        </is>
      </c>
      <c r="O1" s="2" t="inlineStr">
        <is>
          <t>Alimentation / charge concurrent</t>
        </is>
      </c>
      <c r="P1" s="2" t="inlineStr">
        <is>
          <t>Marchés où le produit est distribué</t>
        </is>
      </c>
      <c r="Q1" s="2" t="inlineStr">
        <is>
          <t>Canal de distribution</t>
        </is>
      </c>
      <c r="R1" s="2" t="inlineStr">
        <is>
          <t>Lien produit concurrent</t>
        </is>
      </c>
      <c r="S1" s="2" t="inlineStr">
        <is>
          <t>Lien source secondaire</t>
        </is>
      </c>
      <c r="T1" s="2" t="inlineStr">
        <is>
          <t>Base du rapprochement et écart technique</t>
        </is>
      </c>
      <c r="U1" s="3" t="inlineStr">
        <is>
          <t>Prix concurrent</t>
        </is>
      </c>
      <c r="V1" s="3" t="inlineStr">
        <is>
          <t>Prix SEAGO</t>
        </is>
      </c>
      <c r="W1" s="3" t="inlineStr">
        <is>
          <t>Devise</t>
        </is>
      </c>
      <c r="X1" s="3" t="inlineStr">
        <is>
          <t>Date du relevé</t>
        </is>
      </c>
      <c r="Y1" s="3" t="inlineStr">
        <is>
          <t>Commentaire</t>
        </is>
      </c>
      <c r="Z1" s="4" t="inlineStr">
        <is>
          <t>Écart de prix (valeur)</t>
        </is>
      </c>
      <c r="AA1" s="4" t="inlineStr">
        <is>
          <t>Écart de prix (%)</t>
        </is>
      </c>
      <c r="AB1" s="4" t="inlineStr">
        <is>
          <t>Positionnement prix</t>
        </is>
      </c>
    </row>
    <row r="2">
      <c r="A2" s="5" t="inlineStr">
        <is>
          <t>SG-B027</t>
        </is>
      </c>
      <c r="B2" s="5" t="inlineStr">
        <is>
          <t>Tête de brosse</t>
        </is>
      </c>
      <c r="C2" s="5" t="inlineStr">
        <is>
          <t>Tête sans ancrage (sans métal)</t>
        </is>
      </c>
      <c r="D2" s="32" t="inlineStr">
        <is>
          <t>N/D</t>
        </is>
      </c>
      <c r="E2" s="35" t="inlineStr">
        <is>
          <t>N/D</t>
        </is>
      </c>
      <c r="F2" s="11" t="n">
        <v>23</v>
      </c>
      <c r="G2" s="12" t="inlineStr">
        <is>
          <t>Sonicare C3 Premium Plaque Control (pack de 4)</t>
        </is>
      </c>
      <c r="H2" s="12" t="inlineStr">
        <is>
          <t>Philips</t>
        </is>
      </c>
      <c r="I2" s="12" t="inlineStr">
        <is>
          <t>Tête sonique standard</t>
        </is>
      </c>
      <c r="J2" s="29" t="inlineStr">
        <is>
          <t>N/D</t>
        </is>
      </c>
      <c r="K2" s="29" t="inlineStr">
        <is>
          <t>N/D</t>
        </is>
      </c>
      <c r="L2" s="29" t="inlineStr">
        <is>
          <t>N/D</t>
        </is>
      </c>
      <c r="M2" s="29" t="inlineStr">
        <is>
          <t>N/D</t>
        </is>
      </c>
      <c r="N2" s="29" t="inlineStr">
        <is>
          <t>N/D</t>
        </is>
      </c>
      <c r="O2" s="29" t="inlineStr">
        <is>
          <t>N/D</t>
        </is>
      </c>
      <c r="P2" s="12" t="inlineStr">
        <is>
          <t>EAU (Noon, gamme Sonicare vérifiée)</t>
        </is>
      </c>
      <c r="Q2" s="12" t="inlineStr">
        <is>
          <t>Noon UAE, pharmacies</t>
        </is>
      </c>
      <c r="R2" s="13" t="inlineStr">
        <is>
          <t>https://www.usa.philips.com/c-p/HX6810_50/sonicare-protectiveclean-4100-sonic-electric-toothbrush/partsandaccessories</t>
        </is>
      </c>
      <c r="S2" s="13" t="inlineStr">
        <is>
          <t>https://www.ebay.com/itm/277611730525</t>
        </is>
      </c>
      <c r="T2" s="12" t="inlineStr">
        <is>
          <t>Rapprochement sur le segment des têtes soniques standard. La comparaison porte sur le prix par tête, pas sur la compatibilité mécanique. Tête à puce BrushSync. Benchmark du prix par tête sur le segment sonique premium.</t>
        </is>
      </c>
      <c r="U2" s="14" t="n"/>
      <c r="V2" s="14" t="n"/>
      <c r="W2" s="15" t="n"/>
      <c r="X2" s="16" t="n"/>
      <c r="Y2" s="15" t="n"/>
      <c r="Z2" s="17">
        <f>IF(OR(V2="",U2=""),"",V2-U2)</f>
        <v/>
      </c>
      <c r="AA2" s="18">
        <f>IF(OR(V2="",U2="",U2=0),"",(V2-U2)/U2)</f>
        <v/>
      </c>
      <c r="AB2" s="19">
        <f>IF(AA2="","",IF(AA2&lt;-0.05,"Moins cher",IF(AA2&gt;0.05,"Plus cher","Équivalent")))</f>
        <v/>
      </c>
    </row>
    <row r="3">
      <c r="A3" s="20" t="inlineStr">
        <is>
          <t>SG-B008</t>
        </is>
      </c>
      <c r="B3" s="20" t="inlineStr">
        <is>
          <t>Tête de brosse</t>
        </is>
      </c>
      <c r="C3" s="20" t="inlineStr">
        <is>
          <t>Tête sans ancrage (sans métal)</t>
        </is>
      </c>
      <c r="D3" s="28" t="inlineStr">
        <is>
          <t>N/D</t>
        </is>
      </c>
      <c r="E3" s="36" t="inlineStr">
        <is>
          <t>N/D</t>
        </is>
      </c>
      <c r="F3" s="25" t="n">
        <v>23</v>
      </c>
      <c r="G3" s="12" t="inlineStr">
        <is>
          <t>Sonicare C3 Premium Plaque Control (pack de 4)</t>
        </is>
      </c>
      <c r="H3" s="12" t="inlineStr">
        <is>
          <t>Philips</t>
        </is>
      </c>
      <c r="I3" s="12" t="inlineStr">
        <is>
          <t>Tête sonique standard</t>
        </is>
      </c>
      <c r="J3" s="29" t="inlineStr">
        <is>
          <t>N/D</t>
        </is>
      </c>
      <c r="K3" s="29" t="inlineStr">
        <is>
          <t>N/D</t>
        </is>
      </c>
      <c r="L3" s="29" t="inlineStr">
        <is>
          <t>N/D</t>
        </is>
      </c>
      <c r="M3" s="29" t="inlineStr">
        <is>
          <t>N/D</t>
        </is>
      </c>
      <c r="N3" s="29" t="inlineStr">
        <is>
          <t>N/D</t>
        </is>
      </c>
      <c r="O3" s="29" t="inlineStr">
        <is>
          <t>N/D</t>
        </is>
      </c>
      <c r="P3" s="12" t="inlineStr">
        <is>
          <t>EAU (Noon, gamme Sonicare vérifiée)</t>
        </is>
      </c>
      <c r="Q3" s="12" t="inlineStr">
        <is>
          <t>Noon UAE, pharmacies</t>
        </is>
      </c>
      <c r="R3" s="13" t="inlineStr">
        <is>
          <t>https://www.usa.philips.com/c-p/HX6810_50/sonicare-protectiveclean-4100-sonic-electric-toothbrush/partsandaccessories</t>
        </is>
      </c>
      <c r="S3" s="13" t="inlineStr">
        <is>
          <t>https://www.ebay.com/itm/277611730525</t>
        </is>
      </c>
      <c r="T3" s="12" t="inlineStr">
        <is>
          <t>Rapprochement sur le segment des têtes soniques standard. La comparaison porte sur le prix par tête, pas sur la compatibilité mécanique. Tête à puce BrushSync. Benchmark du prix par tête sur le segment sonique premium.</t>
        </is>
      </c>
      <c r="U3" s="14" t="n"/>
      <c r="V3" s="14" t="n"/>
      <c r="W3" s="15" t="n"/>
      <c r="X3" s="16" t="n"/>
      <c r="Y3" s="15" t="n"/>
      <c r="Z3" s="17">
        <f>IF(OR(V3="",U3=""),"",V3-U3)</f>
        <v/>
      </c>
      <c r="AA3" s="18">
        <f>IF(OR(V3="",U3="",U3=0),"",(V3-U3)/U3)</f>
        <v/>
      </c>
      <c r="AB3" s="19">
        <f>IF(AA3="","",IF(AA3&lt;-0.05,"Moins cher",IF(AA3&gt;0.05,"Plus cher","Équivalent")))</f>
        <v/>
      </c>
    </row>
    <row r="4">
      <c r="A4" s="5" t="inlineStr">
        <is>
          <t>SG-C021</t>
        </is>
      </c>
      <c r="B4" s="5" t="inlineStr">
        <is>
          <t>Tête de brosse</t>
        </is>
      </c>
      <c r="C4" s="5" t="inlineStr">
        <is>
          <t>Tête sans ancrage (sans métal)</t>
        </is>
      </c>
      <c r="D4" s="32" t="inlineStr">
        <is>
          <t>N/D</t>
        </is>
      </c>
      <c r="E4" s="35" t="inlineStr">
        <is>
          <t>N/D</t>
        </is>
      </c>
      <c r="F4" s="11" t="n">
        <v>23</v>
      </c>
      <c r="G4" s="12" t="inlineStr">
        <is>
          <t>Sonicare C3 Premium Plaque Control (pack de 4)</t>
        </is>
      </c>
      <c r="H4" s="12" t="inlineStr">
        <is>
          <t>Philips</t>
        </is>
      </c>
      <c r="I4" s="12" t="inlineStr">
        <is>
          <t>Tête sonique standard</t>
        </is>
      </c>
      <c r="J4" s="29" t="inlineStr">
        <is>
          <t>N/D</t>
        </is>
      </c>
      <c r="K4" s="29" t="inlineStr">
        <is>
          <t>N/D</t>
        </is>
      </c>
      <c r="L4" s="29" t="inlineStr">
        <is>
          <t>N/D</t>
        </is>
      </c>
      <c r="M4" s="29" t="inlineStr">
        <is>
          <t>N/D</t>
        </is>
      </c>
      <c r="N4" s="29" t="inlineStr">
        <is>
          <t>N/D</t>
        </is>
      </c>
      <c r="O4" s="29" t="inlineStr">
        <is>
          <t>N/D</t>
        </is>
      </c>
      <c r="P4" s="12" t="inlineStr">
        <is>
          <t>EAU (Noon, gamme Sonicare vérifiée)</t>
        </is>
      </c>
      <c r="Q4" s="12" t="inlineStr">
        <is>
          <t>Noon UAE, pharmacies</t>
        </is>
      </c>
      <c r="R4" s="13" t="inlineStr">
        <is>
          <t>https://www.usa.philips.com/c-p/HX6810_50/sonicare-protectiveclean-4100-sonic-electric-toothbrush/partsandaccessories</t>
        </is>
      </c>
      <c r="S4" s="13" t="inlineStr">
        <is>
          <t>https://www.ebay.com/itm/277611730525</t>
        </is>
      </c>
      <c r="T4" s="12" t="inlineStr">
        <is>
          <t>Rapprochement sur le segment des têtes soniques standard. La comparaison porte sur le prix par tête, pas sur la compatibilité mécanique. Tête à puce BrushSync. Benchmark du prix par tête sur le segment sonique premium.</t>
        </is>
      </c>
      <c r="U4" s="14" t="n"/>
      <c r="V4" s="14" t="n"/>
      <c r="W4" s="15" t="n"/>
      <c r="X4" s="16" t="n"/>
      <c r="Y4" s="15" t="n"/>
      <c r="Z4" s="17">
        <f>IF(OR(V4="",U4=""),"",V4-U4)</f>
        <v/>
      </c>
      <c r="AA4" s="18">
        <f>IF(OR(V4="",U4="",U4=0),"",(V4-U4)/U4)</f>
        <v/>
      </c>
      <c r="AB4" s="19">
        <f>IF(AA4="","",IF(AA4&lt;-0.05,"Moins cher",IF(AA4&gt;0.05,"Plus cher","Équivalent")))</f>
        <v/>
      </c>
    </row>
    <row r="5">
      <c r="A5" s="20" t="inlineStr">
        <is>
          <t>SG-C107</t>
        </is>
      </c>
      <c r="B5" s="20" t="inlineStr">
        <is>
          <t>Tête de brosse</t>
        </is>
      </c>
      <c r="C5" s="20" t="inlineStr">
        <is>
          <t>Tête sans ancrage (sans métal)</t>
        </is>
      </c>
      <c r="D5" s="28" t="inlineStr">
        <is>
          <t>N/D</t>
        </is>
      </c>
      <c r="E5" s="36" t="inlineStr">
        <is>
          <t>N/D</t>
        </is>
      </c>
      <c r="F5" s="25" t="n">
        <v>23</v>
      </c>
      <c r="G5" s="12" t="inlineStr">
        <is>
          <t>Sonicare C3 Premium Plaque Control (pack de 4)</t>
        </is>
      </c>
      <c r="H5" s="12" t="inlineStr">
        <is>
          <t>Philips</t>
        </is>
      </c>
      <c r="I5" s="12" t="inlineStr">
        <is>
          <t>Tête sonique standard</t>
        </is>
      </c>
      <c r="J5" s="29" t="inlineStr">
        <is>
          <t>N/D</t>
        </is>
      </c>
      <c r="K5" s="29" t="inlineStr">
        <is>
          <t>N/D</t>
        </is>
      </c>
      <c r="L5" s="29" t="inlineStr">
        <is>
          <t>N/D</t>
        </is>
      </c>
      <c r="M5" s="29" t="inlineStr">
        <is>
          <t>N/D</t>
        </is>
      </c>
      <c r="N5" s="29" t="inlineStr">
        <is>
          <t>N/D</t>
        </is>
      </c>
      <c r="O5" s="29" t="inlineStr">
        <is>
          <t>N/D</t>
        </is>
      </c>
      <c r="P5" s="12" t="inlineStr">
        <is>
          <t>EAU (Noon, gamme Sonicare vérifiée)</t>
        </is>
      </c>
      <c r="Q5" s="12" t="inlineStr">
        <is>
          <t>Noon UAE, pharmacies</t>
        </is>
      </c>
      <c r="R5" s="13" t="inlineStr">
        <is>
          <t>https://www.usa.philips.com/c-p/HX6810_50/sonicare-protectiveclean-4100-sonic-electric-toothbrush/partsandaccessories</t>
        </is>
      </c>
      <c r="S5" s="13" t="inlineStr">
        <is>
          <t>https://www.ebay.com/itm/277611730525</t>
        </is>
      </c>
      <c r="T5" s="12" t="inlineStr">
        <is>
          <t>Rapprochement sur le segment des têtes soniques standard. La comparaison porte sur le prix par tête, pas sur la compatibilité mécanique. Tête à puce BrushSync. Benchmark du prix par tête sur le segment sonique premium.</t>
        </is>
      </c>
      <c r="U5" s="14" t="n"/>
      <c r="V5" s="14" t="n"/>
      <c r="W5" s="15" t="n"/>
      <c r="X5" s="16" t="n"/>
      <c r="Y5" s="15" t="n"/>
      <c r="Z5" s="17">
        <f>IF(OR(V5="",U5=""),"",V5-U5)</f>
        <v/>
      </c>
      <c r="AA5" s="18">
        <f>IF(OR(V5="",U5="",U5=0),"",(V5-U5)/U5)</f>
        <v/>
      </c>
      <c r="AB5" s="19">
        <f>IF(AA5="","",IF(AA5&lt;-0.05,"Moins cher",IF(AA5&gt;0.05,"Plus cher","Équivalent")))</f>
        <v/>
      </c>
    </row>
    <row r="6">
      <c r="A6" s="5" t="inlineStr">
        <is>
          <t>SG-092</t>
        </is>
      </c>
      <c r="B6" s="5" t="inlineStr">
        <is>
          <t>Tête de brosse</t>
        </is>
      </c>
      <c r="C6" s="5" t="inlineStr">
        <is>
          <t>Tête de polissage avec gratte-langue</t>
        </is>
      </c>
      <c r="D6" s="32" t="inlineStr">
        <is>
          <t>N/D</t>
        </is>
      </c>
      <c r="E6" s="35" t="inlineStr">
        <is>
          <t>N/D</t>
        </is>
      </c>
      <c r="F6" s="11" t="n">
        <v>23</v>
      </c>
      <c r="G6" s="12" t="inlineStr">
        <is>
          <t>Têtes de rechange P1 / Y1S / U3 / P4</t>
        </is>
      </c>
      <c r="H6" s="12" t="inlineStr">
        <is>
          <t>usmile</t>
        </is>
      </c>
      <c r="I6" s="12" t="inlineStr">
        <is>
          <t>Tête sonique avec brins témoins d'usure</t>
        </is>
      </c>
      <c r="J6" s="29" t="inlineStr">
        <is>
          <t>N/D</t>
        </is>
      </c>
      <c r="K6" s="29" t="inlineStr">
        <is>
          <t>N/D</t>
        </is>
      </c>
      <c r="L6" s="29" t="inlineStr">
        <is>
          <t>N/D</t>
        </is>
      </c>
      <c r="M6" s="29" t="inlineStr">
        <is>
          <t>N/D</t>
        </is>
      </c>
      <c r="N6" s="29" t="inlineStr">
        <is>
          <t>N/D</t>
        </is>
      </c>
      <c r="O6" s="29" t="inlineStr">
        <is>
          <t>N/D</t>
        </is>
      </c>
      <c r="P6" s="12" t="inlineStr">
        <is>
          <t>Non vérifié sur les marchés cibles</t>
        </is>
      </c>
      <c r="Q6" s="12" t="inlineStr">
        <is>
          <t>Marketplaces</t>
        </is>
      </c>
      <c r="R6" s="13" t="inlineStr">
        <is>
          <t>https://www.amazon.com/usmile-Replacement-Toothbrush-Electric-Reminder/dp/B09D3SHP7K</t>
        </is>
      </c>
      <c r="S6" s="13" t="inlineStr">
        <is>
          <t>https://usmile.us/products/usmile-whitening-brush-head-2-packs</t>
        </is>
      </c>
      <c r="T6" s="12" t="inlineStr">
        <is>
          <t>Rapprochement sur les têtes soniques à fonction additionnelle et le prix par tête. Brins témoins qui décolorent à l'usure, argument de renouvellement récurrent.</t>
        </is>
      </c>
      <c r="U6" s="14" t="n"/>
      <c r="V6" s="14" t="n"/>
      <c r="W6" s="15" t="n"/>
      <c r="X6" s="16" t="n"/>
      <c r="Y6" s="15" t="n"/>
      <c r="Z6" s="17">
        <f>IF(OR(V6="",U6=""),"",V6-U6)</f>
        <v/>
      </c>
      <c r="AA6" s="18">
        <f>IF(OR(V6="",U6="",U6=0),"",(V6-U6)/U6)</f>
        <v/>
      </c>
      <c r="AB6" s="19">
        <f>IF(AA6="","",IF(AA6&lt;-0.05,"Moins cher",IF(AA6&gt;0.05,"Plus cher","Équivalent")))</f>
        <v/>
      </c>
    </row>
    <row r="7">
      <c r="A7" s="20" t="inlineStr">
        <is>
          <t>SG-B002</t>
        </is>
      </c>
      <c r="B7" s="20" t="inlineStr">
        <is>
          <t>Tête de brosse</t>
        </is>
      </c>
      <c r="C7" s="20" t="inlineStr">
        <is>
          <t>Tête standard</t>
        </is>
      </c>
      <c r="D7" s="28" t="inlineStr">
        <is>
          <t>N/D</t>
        </is>
      </c>
      <c r="E7" s="36" t="inlineStr">
        <is>
          <t>N/D</t>
        </is>
      </c>
      <c r="F7" s="25" t="n">
        <v>23</v>
      </c>
      <c r="G7" s="12" t="inlineStr">
        <is>
          <t>Sonicare C3 Premium Plaque Control (pack de 4)</t>
        </is>
      </c>
      <c r="H7" s="12" t="inlineStr">
        <is>
          <t>Philips</t>
        </is>
      </c>
      <c r="I7" s="12" t="inlineStr">
        <is>
          <t>Tête sonique standard</t>
        </is>
      </c>
      <c r="J7" s="29" t="inlineStr">
        <is>
          <t>N/D</t>
        </is>
      </c>
      <c r="K7" s="29" t="inlineStr">
        <is>
          <t>N/D</t>
        </is>
      </c>
      <c r="L7" s="29" t="inlineStr">
        <is>
          <t>N/D</t>
        </is>
      </c>
      <c r="M7" s="29" t="inlineStr">
        <is>
          <t>N/D</t>
        </is>
      </c>
      <c r="N7" s="29" t="inlineStr">
        <is>
          <t>N/D</t>
        </is>
      </c>
      <c r="O7" s="29" t="inlineStr">
        <is>
          <t>N/D</t>
        </is>
      </c>
      <c r="P7" s="12" t="inlineStr">
        <is>
          <t>EAU (Noon, gamme Sonicare vérifiée)</t>
        </is>
      </c>
      <c r="Q7" s="12" t="inlineStr">
        <is>
          <t>Noon UAE, pharmacies</t>
        </is>
      </c>
      <c r="R7" s="13" t="inlineStr">
        <is>
          <t>https://www.usa.philips.com/c-p/HX6810_50/sonicare-protectiveclean-4100-sonic-electric-toothbrush/partsandaccessories</t>
        </is>
      </c>
      <c r="S7" s="13" t="inlineStr">
        <is>
          <t>https://www.ebay.com/itm/277611730525</t>
        </is>
      </c>
      <c r="T7" s="12" t="inlineStr">
        <is>
          <t>Rapprochement sur le segment des têtes soniques standard. La comparaison porte sur le prix par tête, pas sur la compatibilité mécanique. Tête à puce BrushSync. Benchmark du prix par tête sur le segment sonique premium.</t>
        </is>
      </c>
      <c r="U7" s="14" t="n"/>
      <c r="V7" s="14" t="n"/>
      <c r="W7" s="15" t="n"/>
      <c r="X7" s="16" t="n"/>
      <c r="Y7" s="15" t="n"/>
      <c r="Z7" s="17">
        <f>IF(OR(V7="",U7=""),"",V7-U7)</f>
        <v/>
      </c>
      <c r="AA7" s="18">
        <f>IF(OR(V7="",U7="",U7=0),"",(V7-U7)/U7)</f>
        <v/>
      </c>
      <c r="AB7" s="19">
        <f>IF(AA7="","",IF(AA7&lt;-0.05,"Moins cher",IF(AA7&gt;0.05,"Plus cher","Équivalent")))</f>
        <v/>
      </c>
    </row>
    <row r="8">
      <c r="A8" s="5" t="inlineStr">
        <is>
          <t>SG-095</t>
        </is>
      </c>
      <c r="B8" s="5" t="inlineStr">
        <is>
          <t>Tête de brosse</t>
        </is>
      </c>
      <c r="C8" s="5" t="inlineStr">
        <is>
          <t>Tête standard</t>
        </is>
      </c>
      <c r="D8" s="32" t="inlineStr">
        <is>
          <t>N/D</t>
        </is>
      </c>
      <c r="E8" s="35" t="inlineStr">
        <is>
          <t>N/D</t>
        </is>
      </c>
      <c r="F8" s="11" t="n">
        <v>23</v>
      </c>
      <c r="G8" s="12" t="inlineStr">
        <is>
          <t>Sonicare C3 Premium Plaque Control (pack de 4)</t>
        </is>
      </c>
      <c r="H8" s="12" t="inlineStr">
        <is>
          <t>Philips</t>
        </is>
      </c>
      <c r="I8" s="12" t="inlineStr">
        <is>
          <t>Tête sonique standard</t>
        </is>
      </c>
      <c r="J8" s="29" t="inlineStr">
        <is>
          <t>N/D</t>
        </is>
      </c>
      <c r="K8" s="29" t="inlineStr">
        <is>
          <t>N/D</t>
        </is>
      </c>
      <c r="L8" s="29" t="inlineStr">
        <is>
          <t>N/D</t>
        </is>
      </c>
      <c r="M8" s="29" t="inlineStr">
        <is>
          <t>N/D</t>
        </is>
      </c>
      <c r="N8" s="29" t="inlineStr">
        <is>
          <t>N/D</t>
        </is>
      </c>
      <c r="O8" s="29" t="inlineStr">
        <is>
          <t>N/D</t>
        </is>
      </c>
      <c r="P8" s="12" t="inlineStr">
        <is>
          <t>EAU (Noon, gamme Sonicare vérifiée)</t>
        </is>
      </c>
      <c r="Q8" s="12" t="inlineStr">
        <is>
          <t>Noon UAE, pharmacies</t>
        </is>
      </c>
      <c r="R8" s="13" t="inlineStr">
        <is>
          <t>https://www.usa.philips.com/c-p/HX6810_50/sonicare-protectiveclean-4100-sonic-electric-toothbrush/partsandaccessories</t>
        </is>
      </c>
      <c r="S8" s="13" t="inlineStr">
        <is>
          <t>https://www.ebay.com/itm/277611730525</t>
        </is>
      </c>
      <c r="T8" s="12" t="inlineStr">
        <is>
          <t>Rapprochement sur le segment des têtes soniques standard. La comparaison porte sur le prix par tête, pas sur la compatibilité mécanique. Tête à puce BrushSync. Benchmark du prix par tête sur le segment sonique premium.</t>
        </is>
      </c>
      <c r="U8" s="14" t="n"/>
      <c r="V8" s="14" t="n"/>
      <c r="W8" s="15" t="n"/>
      <c r="X8" s="16" t="n"/>
      <c r="Y8" s="15" t="n"/>
      <c r="Z8" s="17">
        <f>IF(OR(V8="",U8=""),"",V8-U8)</f>
        <v/>
      </c>
      <c r="AA8" s="18">
        <f>IF(OR(V8="",U8="",U8=0),"",(V8-U8)/U8)</f>
        <v/>
      </c>
      <c r="AB8" s="19">
        <f>IF(AA8="","",IF(AA8&lt;-0.05,"Moins cher",IF(AA8&gt;0.05,"Plus cher","Équivalent")))</f>
        <v/>
      </c>
    </row>
    <row r="9">
      <c r="A9" s="20" t="inlineStr">
        <is>
          <t>SG-090</t>
        </is>
      </c>
      <c r="B9" s="20" t="inlineStr">
        <is>
          <t>Tête de brosse</t>
        </is>
      </c>
      <c r="C9" s="20" t="inlineStr">
        <is>
          <t>Tête standard</t>
        </is>
      </c>
      <c r="D9" s="28" t="inlineStr">
        <is>
          <t>N/D</t>
        </is>
      </c>
      <c r="E9" s="36" t="inlineStr">
        <is>
          <t>N/D</t>
        </is>
      </c>
      <c r="F9" s="25" t="n">
        <v>23</v>
      </c>
      <c r="G9" s="12" t="inlineStr">
        <is>
          <t>Sonicare C3 Premium Plaque Control (pack de 4)</t>
        </is>
      </c>
      <c r="H9" s="12" t="inlineStr">
        <is>
          <t>Philips</t>
        </is>
      </c>
      <c r="I9" s="12" t="inlineStr">
        <is>
          <t>Tête sonique standard</t>
        </is>
      </c>
      <c r="J9" s="29" t="inlineStr">
        <is>
          <t>N/D</t>
        </is>
      </c>
      <c r="K9" s="29" t="inlineStr">
        <is>
          <t>N/D</t>
        </is>
      </c>
      <c r="L9" s="29" t="inlineStr">
        <is>
          <t>N/D</t>
        </is>
      </c>
      <c r="M9" s="29" t="inlineStr">
        <is>
          <t>N/D</t>
        </is>
      </c>
      <c r="N9" s="29" t="inlineStr">
        <is>
          <t>N/D</t>
        </is>
      </c>
      <c r="O9" s="29" t="inlineStr">
        <is>
          <t>N/D</t>
        </is>
      </c>
      <c r="P9" s="12" t="inlineStr">
        <is>
          <t>EAU (Noon, gamme Sonicare vérifiée)</t>
        </is>
      </c>
      <c r="Q9" s="12" t="inlineStr">
        <is>
          <t>Noon UAE, pharmacies</t>
        </is>
      </c>
      <c r="R9" s="13" t="inlineStr">
        <is>
          <t>https://www.usa.philips.com/c-p/HX6810_50/sonicare-protectiveclean-4100-sonic-electric-toothbrush/partsandaccessories</t>
        </is>
      </c>
      <c r="S9" s="13" t="inlineStr">
        <is>
          <t>https://www.ebay.com/itm/277611730525</t>
        </is>
      </c>
      <c r="T9" s="12" t="inlineStr">
        <is>
          <t>Rapprochement sur le segment des têtes soniques standard. La comparaison porte sur le prix par tête, pas sur la compatibilité mécanique. Tête à puce BrushSync. Benchmark du prix par tête sur le segment sonique premium.</t>
        </is>
      </c>
      <c r="U9" s="14" t="n"/>
      <c r="V9" s="14" t="n"/>
      <c r="W9" s="15" t="n"/>
      <c r="X9" s="16" t="n"/>
      <c r="Y9" s="15" t="n"/>
      <c r="Z9" s="17">
        <f>IF(OR(V9="",U9=""),"",V9-U9)</f>
        <v/>
      </c>
      <c r="AA9" s="18">
        <f>IF(OR(V9="",U9="",U9=0),"",(V9-U9)/U9)</f>
        <v/>
      </c>
      <c r="AB9" s="19">
        <f>IF(AA9="","",IF(AA9&lt;-0.05,"Moins cher",IF(AA9&gt;0.05,"Plus cher","Équivalent")))</f>
        <v/>
      </c>
    </row>
    <row r="10">
      <c r="A10" s="5" t="inlineStr">
        <is>
          <t>SG-093</t>
        </is>
      </c>
      <c r="B10" s="5" t="inlineStr">
        <is>
          <t>Tête de brosse</t>
        </is>
      </c>
      <c r="C10" s="5" t="inlineStr">
        <is>
          <t>Tête avec gratte-langue</t>
        </is>
      </c>
      <c r="D10" s="32" t="inlineStr">
        <is>
          <t>N/D</t>
        </is>
      </c>
      <c r="E10" s="35" t="inlineStr">
        <is>
          <t>N/D</t>
        </is>
      </c>
      <c r="F10" s="11" t="n">
        <v>23</v>
      </c>
      <c r="G10" s="12" t="inlineStr">
        <is>
          <t>Têtes de rechange P1 / Y1S / U3 / P4</t>
        </is>
      </c>
      <c r="H10" s="12" t="inlineStr">
        <is>
          <t>usmile</t>
        </is>
      </c>
      <c r="I10" s="12" t="inlineStr">
        <is>
          <t>Tête sonique avec brins témoins d'usure</t>
        </is>
      </c>
      <c r="J10" s="29" t="inlineStr">
        <is>
          <t>N/D</t>
        </is>
      </c>
      <c r="K10" s="29" t="inlineStr">
        <is>
          <t>N/D</t>
        </is>
      </c>
      <c r="L10" s="29" t="inlineStr">
        <is>
          <t>N/D</t>
        </is>
      </c>
      <c r="M10" s="29" t="inlineStr">
        <is>
          <t>N/D</t>
        </is>
      </c>
      <c r="N10" s="29" t="inlineStr">
        <is>
          <t>N/D</t>
        </is>
      </c>
      <c r="O10" s="29" t="inlineStr">
        <is>
          <t>N/D</t>
        </is>
      </c>
      <c r="P10" s="12" t="inlineStr">
        <is>
          <t>Non vérifié sur les marchés cibles</t>
        </is>
      </c>
      <c r="Q10" s="12" t="inlineStr">
        <is>
          <t>Marketplaces</t>
        </is>
      </c>
      <c r="R10" s="13" t="inlineStr">
        <is>
          <t>https://www.amazon.com/usmile-Replacement-Toothbrush-Electric-Reminder/dp/B09D3SHP7K</t>
        </is>
      </c>
      <c r="S10" s="13" t="inlineStr">
        <is>
          <t>https://usmile.us/products/usmile-whitening-brush-head-2-packs</t>
        </is>
      </c>
      <c r="T10" s="12" t="inlineStr">
        <is>
          <t>Rapprochement sur les têtes soniques à fonction additionnelle et le prix par tête. Brins témoins qui décolorent à l'usure, argument de renouvellement récurrent.</t>
        </is>
      </c>
      <c r="U10" s="14" t="n"/>
      <c r="V10" s="14" t="n"/>
      <c r="W10" s="15" t="n"/>
      <c r="X10" s="16" t="n"/>
      <c r="Y10" s="15" t="n"/>
      <c r="Z10" s="17">
        <f>IF(OR(V10="",U10=""),"",V10-U10)</f>
        <v/>
      </c>
      <c r="AA10" s="18">
        <f>IF(OR(V10="",U10="",U10=0),"",(V10-U10)/U10)</f>
        <v/>
      </c>
      <c r="AB10" s="19">
        <f>IF(AA10="","",IF(AA10&lt;-0.05,"Moins cher",IF(AA10&gt;0.05,"Plus cher","Équivalent")))</f>
        <v/>
      </c>
    </row>
    <row r="11">
      <c r="A11" s="20" t="inlineStr">
        <is>
          <t>SG-C108</t>
        </is>
      </c>
      <c r="B11" s="20" t="inlineStr">
        <is>
          <t>Tête de brosse</t>
        </is>
      </c>
      <c r="C11" s="20" t="inlineStr">
        <is>
          <t>Tête avec gratte-langue</t>
        </is>
      </c>
      <c r="D11" s="28" t="inlineStr">
        <is>
          <t>N/D</t>
        </is>
      </c>
      <c r="E11" s="24" t="inlineStr">
        <is>
          <t>SG-567, SG-2711 (version small hétérotype hole)</t>
        </is>
      </c>
      <c r="F11" s="25" t="n">
        <v>23</v>
      </c>
      <c r="G11" s="12" t="inlineStr">
        <is>
          <t>Têtes de rechange P1 / Y1S / U3 / P4</t>
        </is>
      </c>
      <c r="H11" s="12" t="inlineStr">
        <is>
          <t>usmile</t>
        </is>
      </c>
      <c r="I11" s="12" t="inlineStr">
        <is>
          <t>Tête sonique avec brins témoins d'usure</t>
        </is>
      </c>
      <c r="J11" s="29" t="inlineStr">
        <is>
          <t>N/D</t>
        </is>
      </c>
      <c r="K11" s="29" t="inlineStr">
        <is>
          <t>N/D</t>
        </is>
      </c>
      <c r="L11" s="29" t="inlineStr">
        <is>
          <t>N/D</t>
        </is>
      </c>
      <c r="M11" s="29" t="inlineStr">
        <is>
          <t>N/D</t>
        </is>
      </c>
      <c r="N11" s="29" t="inlineStr">
        <is>
          <t>N/D</t>
        </is>
      </c>
      <c r="O11" s="29" t="inlineStr">
        <is>
          <t>N/D</t>
        </is>
      </c>
      <c r="P11" s="12" t="inlineStr">
        <is>
          <t>Non vérifié sur les marchés cibles</t>
        </is>
      </c>
      <c r="Q11" s="12" t="inlineStr">
        <is>
          <t>Marketplaces</t>
        </is>
      </c>
      <c r="R11" s="13" t="inlineStr">
        <is>
          <t>https://www.amazon.com/usmile-Replacement-Toothbrush-Electric-Reminder/dp/B09D3SHP7K</t>
        </is>
      </c>
      <c r="S11" s="13" t="inlineStr">
        <is>
          <t>https://usmile.us/products/usmile-whitening-brush-head-2-packs</t>
        </is>
      </c>
      <c r="T11" s="12" t="inlineStr">
        <is>
          <t>Rapprochement sur les têtes soniques à fonction additionnelle et le prix par tête. Brins témoins qui décolorent à l'usure, argument de renouvellement récurrent.</t>
        </is>
      </c>
      <c r="U11" s="14" t="n"/>
      <c r="V11" s="14" t="n"/>
      <c r="W11" s="15" t="n"/>
      <c r="X11" s="16" t="n"/>
      <c r="Y11" s="15" t="n"/>
      <c r="Z11" s="17">
        <f>IF(OR(V11="",U11=""),"",V11-U11)</f>
        <v/>
      </c>
      <c r="AA11" s="18">
        <f>IF(OR(V11="",U11="",U11=0),"",(V11-U11)/U11)</f>
        <v/>
      </c>
      <c r="AB11" s="19">
        <f>IF(AA11="","",IF(AA11&lt;-0.05,"Moins cher",IF(AA11&gt;0.05,"Plus cher","Équivalent")))</f>
        <v/>
      </c>
    </row>
    <row r="12">
      <c r="A12" s="5" t="inlineStr">
        <is>
          <t>SG-C110</t>
        </is>
      </c>
      <c r="B12" s="5" t="inlineStr">
        <is>
          <t>Tête de brosse</t>
        </is>
      </c>
      <c r="C12" s="5" t="inlineStr">
        <is>
          <t>Tête avec gratte-langue</t>
        </is>
      </c>
      <c r="D12" s="32" t="inlineStr">
        <is>
          <t>N/D</t>
        </is>
      </c>
      <c r="E12" s="10" t="inlineStr">
        <is>
          <t>SG-567, SG-2711 (version medium hétérotype hole)</t>
        </is>
      </c>
      <c r="F12" s="11" t="n">
        <v>23</v>
      </c>
      <c r="G12" s="12" t="inlineStr">
        <is>
          <t>Têtes de rechange P1 / Y1S / U3 / P4</t>
        </is>
      </c>
      <c r="H12" s="12" t="inlineStr">
        <is>
          <t>usmile</t>
        </is>
      </c>
      <c r="I12" s="12" t="inlineStr">
        <is>
          <t>Tête sonique avec brins témoins d'usure</t>
        </is>
      </c>
      <c r="J12" s="29" t="inlineStr">
        <is>
          <t>N/D</t>
        </is>
      </c>
      <c r="K12" s="29" t="inlineStr">
        <is>
          <t>N/D</t>
        </is>
      </c>
      <c r="L12" s="29" t="inlineStr">
        <is>
          <t>N/D</t>
        </is>
      </c>
      <c r="M12" s="29" t="inlineStr">
        <is>
          <t>N/D</t>
        </is>
      </c>
      <c r="N12" s="29" t="inlineStr">
        <is>
          <t>N/D</t>
        </is>
      </c>
      <c r="O12" s="29" t="inlineStr">
        <is>
          <t>N/D</t>
        </is>
      </c>
      <c r="P12" s="12" t="inlineStr">
        <is>
          <t>Non vérifié sur les marchés cibles</t>
        </is>
      </c>
      <c r="Q12" s="12" t="inlineStr">
        <is>
          <t>Marketplaces</t>
        </is>
      </c>
      <c r="R12" s="13" t="inlineStr">
        <is>
          <t>https://www.amazon.com/usmile-Replacement-Toothbrush-Electric-Reminder/dp/B09D3SHP7K</t>
        </is>
      </c>
      <c r="S12" s="13" t="inlineStr">
        <is>
          <t>https://usmile.us/products/usmile-whitening-brush-head-2-packs</t>
        </is>
      </c>
      <c r="T12" s="12" t="inlineStr">
        <is>
          <t>Rapprochement sur les têtes soniques à fonction additionnelle et le prix par tête. Brins témoins qui décolorent à l'usure, argument de renouvellement récurrent.</t>
        </is>
      </c>
      <c r="U12" s="14" t="n"/>
      <c r="V12" s="14" t="n"/>
      <c r="W12" s="15" t="n"/>
      <c r="X12" s="16" t="n"/>
      <c r="Y12" s="15" t="n"/>
      <c r="Z12" s="17">
        <f>IF(OR(V12="",U12=""),"",V12-U12)</f>
        <v/>
      </c>
      <c r="AA12" s="18">
        <f>IF(OR(V12="",U12="",U12=0),"",(V12-U12)/U12)</f>
        <v/>
      </c>
      <c r="AB12" s="19">
        <f>IF(AA12="","",IF(AA12&lt;-0.05,"Moins cher",IF(AA12&gt;0.05,"Plus cher","Équivalent")))</f>
        <v/>
      </c>
    </row>
    <row r="13">
      <c r="A13" s="20" t="inlineStr">
        <is>
          <t>SG-C020</t>
        </is>
      </c>
      <c r="B13" s="20" t="inlineStr">
        <is>
          <t>Tête de brosse</t>
        </is>
      </c>
      <c r="C13" s="20" t="inlineStr">
        <is>
          <t>Tête interdentaire</t>
        </is>
      </c>
      <c r="D13" s="28" t="inlineStr">
        <is>
          <t>N/D</t>
        </is>
      </c>
      <c r="E13" s="36" t="inlineStr">
        <is>
          <t>N/D</t>
        </is>
      </c>
      <c r="F13" s="25" t="n">
        <v>23</v>
      </c>
      <c r="G13" s="12" t="inlineStr">
        <is>
          <t>Sonicare C3 Premium Plaque Control (pack de 4)</t>
        </is>
      </c>
      <c r="H13" s="12" t="inlineStr">
        <is>
          <t>Philips</t>
        </is>
      </c>
      <c r="I13" s="12" t="inlineStr">
        <is>
          <t>Tête sonique standard</t>
        </is>
      </c>
      <c r="J13" s="29" t="inlineStr">
        <is>
          <t>N/D</t>
        </is>
      </c>
      <c r="K13" s="29" t="inlineStr">
        <is>
          <t>N/D</t>
        </is>
      </c>
      <c r="L13" s="29" t="inlineStr">
        <is>
          <t>N/D</t>
        </is>
      </c>
      <c r="M13" s="29" t="inlineStr">
        <is>
          <t>N/D</t>
        </is>
      </c>
      <c r="N13" s="29" t="inlineStr">
        <is>
          <t>N/D</t>
        </is>
      </c>
      <c r="O13" s="29" t="inlineStr">
        <is>
          <t>N/D</t>
        </is>
      </c>
      <c r="P13" s="12" t="inlineStr">
        <is>
          <t>EAU (Noon, gamme Sonicare vérifiée)</t>
        </is>
      </c>
      <c r="Q13" s="12" t="inlineStr">
        <is>
          <t>Noon UAE, pharmacies</t>
        </is>
      </c>
      <c r="R13" s="13" t="inlineStr">
        <is>
          <t>https://www.usa.philips.com/c-p/HX6810_50/sonicare-protectiveclean-4100-sonic-electric-toothbrush/partsandaccessories</t>
        </is>
      </c>
      <c r="S13" s="13" t="inlineStr">
        <is>
          <t>https://www.ebay.com/itm/277611730525</t>
        </is>
      </c>
      <c r="T13" s="12" t="inlineStr">
        <is>
          <t>Rapprochement sur le segment des têtes soniques standard. La comparaison porte sur le prix par tête, pas sur la compatibilité mécanique. Tête à puce BrushSync. Benchmark du prix par tête sur le segment sonique premium.</t>
        </is>
      </c>
      <c r="U13" s="14" t="n"/>
      <c r="V13" s="14" t="n"/>
      <c r="W13" s="15" t="n"/>
      <c r="X13" s="16" t="n"/>
      <c r="Y13" s="15" t="n"/>
      <c r="Z13" s="17">
        <f>IF(OR(V13="",U13=""),"",V13-U13)</f>
        <v/>
      </c>
      <c r="AA13" s="18">
        <f>IF(OR(V13="",U13="",U13=0),"",(V13-U13)/U13)</f>
        <v/>
      </c>
      <c r="AB13" s="19">
        <f>IF(AA13="","",IF(AA13&lt;-0.05,"Moins cher",IF(AA13&gt;0.05,"Plus cher","Équivalent")))</f>
        <v/>
      </c>
    </row>
    <row r="14">
      <c r="A14" s="5" t="inlineStr">
        <is>
          <t>SG-C019</t>
        </is>
      </c>
      <c r="B14" s="5" t="inlineStr">
        <is>
          <t>Tête de brosse</t>
        </is>
      </c>
      <c r="C14" s="5" t="inlineStr">
        <is>
          <t>Tête avec gratte-langue et massage des gencives</t>
        </is>
      </c>
      <c r="D14" s="32" t="inlineStr">
        <is>
          <t>N/D</t>
        </is>
      </c>
      <c r="E14" s="35" t="inlineStr">
        <is>
          <t>N/D</t>
        </is>
      </c>
      <c r="F14" s="11" t="n">
        <v>23</v>
      </c>
      <c r="G14" s="12" t="inlineStr">
        <is>
          <t>Têtes de rechange P1 / Y1S / U3 / P4</t>
        </is>
      </c>
      <c r="H14" s="12" t="inlineStr">
        <is>
          <t>usmile</t>
        </is>
      </c>
      <c r="I14" s="12" t="inlineStr">
        <is>
          <t>Tête sonique avec brins témoins d'usure</t>
        </is>
      </c>
      <c r="J14" s="29" t="inlineStr">
        <is>
          <t>N/D</t>
        </is>
      </c>
      <c r="K14" s="29" t="inlineStr">
        <is>
          <t>N/D</t>
        </is>
      </c>
      <c r="L14" s="29" t="inlineStr">
        <is>
          <t>N/D</t>
        </is>
      </c>
      <c r="M14" s="29" t="inlineStr">
        <is>
          <t>N/D</t>
        </is>
      </c>
      <c r="N14" s="29" t="inlineStr">
        <is>
          <t>N/D</t>
        </is>
      </c>
      <c r="O14" s="29" t="inlineStr">
        <is>
          <t>N/D</t>
        </is>
      </c>
      <c r="P14" s="12" t="inlineStr">
        <is>
          <t>Non vérifié sur les marchés cibles</t>
        </is>
      </c>
      <c r="Q14" s="12" t="inlineStr">
        <is>
          <t>Marketplaces</t>
        </is>
      </c>
      <c r="R14" s="13" t="inlineStr">
        <is>
          <t>https://www.amazon.com/usmile-Replacement-Toothbrush-Electric-Reminder/dp/B09D3SHP7K</t>
        </is>
      </c>
      <c r="S14" s="13" t="inlineStr">
        <is>
          <t>https://usmile.us/products/usmile-whitening-brush-head-2-packs</t>
        </is>
      </c>
      <c r="T14" s="12" t="inlineStr">
        <is>
          <t>Rapprochement sur les têtes soniques à fonction additionnelle et le prix par tête. Brins témoins qui décolorent à l'usure, argument de renouvellement récurrent.</t>
        </is>
      </c>
      <c r="U14" s="14" t="n"/>
      <c r="V14" s="14" t="n"/>
      <c r="W14" s="15" t="n"/>
      <c r="X14" s="16" t="n"/>
      <c r="Y14" s="15" t="n"/>
      <c r="Z14" s="17">
        <f>IF(OR(V14="",U14=""),"",V14-U14)</f>
        <v/>
      </c>
      <c r="AA14" s="18">
        <f>IF(OR(V14="",U14="",U14=0),"",(V14-U14)/U14)</f>
        <v/>
      </c>
      <c r="AB14" s="19">
        <f>IF(AA14="","",IF(AA14&lt;-0.05,"Moins cher",IF(AA14&gt;0.05,"Plus cher","Équivalent")))</f>
        <v/>
      </c>
    </row>
    <row r="15">
      <c r="A15" s="20" t="inlineStr">
        <is>
          <t>SG-C099</t>
        </is>
      </c>
      <c r="B15" s="20" t="inlineStr">
        <is>
          <t>Tête de brosse</t>
        </is>
      </c>
      <c r="C15" s="20" t="inlineStr">
        <is>
          <t>Tête avec gratte-langue et massage des gencives</t>
        </is>
      </c>
      <c r="D15" s="28" t="inlineStr">
        <is>
          <t>N/D</t>
        </is>
      </c>
      <c r="E15" s="36" t="inlineStr">
        <is>
          <t>N/D</t>
        </is>
      </c>
      <c r="F15" s="25" t="n">
        <v>23</v>
      </c>
      <c r="G15" s="12" t="inlineStr">
        <is>
          <t>Têtes de rechange P1 / Y1S / U3 / P4</t>
        </is>
      </c>
      <c r="H15" s="12" t="inlineStr">
        <is>
          <t>usmile</t>
        </is>
      </c>
      <c r="I15" s="12" t="inlineStr">
        <is>
          <t>Tête sonique avec brins témoins d'usure</t>
        </is>
      </c>
      <c r="J15" s="29" t="inlineStr">
        <is>
          <t>N/D</t>
        </is>
      </c>
      <c r="K15" s="29" t="inlineStr">
        <is>
          <t>N/D</t>
        </is>
      </c>
      <c r="L15" s="29" t="inlineStr">
        <is>
          <t>N/D</t>
        </is>
      </c>
      <c r="M15" s="29" t="inlineStr">
        <is>
          <t>N/D</t>
        </is>
      </c>
      <c r="N15" s="29" t="inlineStr">
        <is>
          <t>N/D</t>
        </is>
      </c>
      <c r="O15" s="29" t="inlineStr">
        <is>
          <t>N/D</t>
        </is>
      </c>
      <c r="P15" s="12" t="inlineStr">
        <is>
          <t>Non vérifié sur les marchés cibles</t>
        </is>
      </c>
      <c r="Q15" s="12" t="inlineStr">
        <is>
          <t>Marketplaces</t>
        </is>
      </c>
      <c r="R15" s="13" t="inlineStr">
        <is>
          <t>https://www.amazon.com/usmile-Replacement-Toothbrush-Electric-Reminder/dp/B09D3SHP7K</t>
        </is>
      </c>
      <c r="S15" s="13" t="inlineStr">
        <is>
          <t>https://usmile.us/products/usmile-whitening-brush-head-2-packs</t>
        </is>
      </c>
      <c r="T15" s="12" t="inlineStr">
        <is>
          <t>Rapprochement sur les têtes soniques à fonction additionnelle et le prix par tête. Brins témoins qui décolorent à l'usure, argument de renouvellement récurrent.</t>
        </is>
      </c>
      <c r="U15" s="14" t="n"/>
      <c r="V15" s="14" t="n"/>
      <c r="W15" s="15" t="n"/>
      <c r="X15" s="16" t="n"/>
      <c r="Y15" s="15" t="n"/>
      <c r="Z15" s="17">
        <f>IF(OR(V15="",U15=""),"",V15-U15)</f>
        <v/>
      </c>
      <c r="AA15" s="18">
        <f>IF(OR(V15="",U15="",U15=0),"",(V15-U15)/U15)</f>
        <v/>
      </c>
      <c r="AB15" s="19">
        <f>IF(AA15="","",IF(AA15&lt;-0.05,"Moins cher",IF(AA15&gt;0.05,"Plus cher","Équivalent")))</f>
        <v/>
      </c>
    </row>
    <row r="16">
      <c r="A16" s="5" t="inlineStr">
        <is>
          <t>SG-112</t>
        </is>
      </c>
      <c r="B16" s="5" t="inlineStr">
        <is>
          <t>Tête de brosse</t>
        </is>
      </c>
      <c r="C16" s="5" t="inlineStr">
        <is>
          <t>Tête sans ancrage</t>
        </is>
      </c>
      <c r="D16" s="32" t="inlineStr">
        <is>
          <t>N/D</t>
        </is>
      </c>
      <c r="E16" s="35" t="inlineStr">
        <is>
          <t>N/D</t>
        </is>
      </c>
      <c r="F16" s="11" t="n">
        <v>37</v>
      </c>
      <c r="G16" s="12" t="inlineStr">
        <is>
          <t>Sonicare C3 Premium Plaque Control (pack de 4)</t>
        </is>
      </c>
      <c r="H16" s="12" t="inlineStr">
        <is>
          <t>Philips</t>
        </is>
      </c>
      <c r="I16" s="12" t="inlineStr">
        <is>
          <t>Tête sonique standard</t>
        </is>
      </c>
      <c r="J16" s="29" t="inlineStr">
        <is>
          <t>N/D</t>
        </is>
      </c>
      <c r="K16" s="29" t="inlineStr">
        <is>
          <t>N/D</t>
        </is>
      </c>
      <c r="L16" s="29" t="inlineStr">
        <is>
          <t>N/D</t>
        </is>
      </c>
      <c r="M16" s="29" t="inlineStr">
        <is>
          <t>N/D</t>
        </is>
      </c>
      <c r="N16" s="29" t="inlineStr">
        <is>
          <t>N/D</t>
        </is>
      </c>
      <c r="O16" s="29" t="inlineStr">
        <is>
          <t>N/D</t>
        </is>
      </c>
      <c r="P16" s="12" t="inlineStr">
        <is>
          <t>EAU (Noon, gamme Sonicare vérifiée)</t>
        </is>
      </c>
      <c r="Q16" s="12" t="inlineStr">
        <is>
          <t>Noon UAE, pharmacies</t>
        </is>
      </c>
      <c r="R16" s="13" t="inlineStr">
        <is>
          <t>https://www.usa.philips.com/c-p/HX6810_50/sonicare-protectiveclean-4100-sonic-electric-toothbrush/partsandaccessories</t>
        </is>
      </c>
      <c r="S16" s="13" t="inlineStr">
        <is>
          <t>https://www.ebay.com/itm/277611730525</t>
        </is>
      </c>
      <c r="T16" s="12" t="inlineStr">
        <is>
          <t>Rapprochement sur le segment des têtes soniques standard. La comparaison porte sur le prix par tête, pas sur la compatibilité mécanique. Tête à puce BrushSync. Benchmark du prix par tête sur le segment sonique premium.</t>
        </is>
      </c>
      <c r="U16" s="14" t="n"/>
      <c r="V16" s="14" t="n"/>
      <c r="W16" s="15" t="n"/>
      <c r="X16" s="16" t="n"/>
      <c r="Y16" s="15" t="n"/>
      <c r="Z16" s="17">
        <f>IF(OR(V16="",U16=""),"",V16-U16)</f>
        <v/>
      </c>
      <c r="AA16" s="18">
        <f>IF(OR(V16="",U16="",U16=0),"",(V16-U16)/U16)</f>
        <v/>
      </c>
      <c r="AB16" s="19">
        <f>IF(AA16="","",IF(AA16&lt;-0.05,"Moins cher",IF(AA16&gt;0.05,"Plus cher","Équivalent")))</f>
        <v/>
      </c>
    </row>
    <row r="17">
      <c r="A17" s="20" t="inlineStr">
        <is>
          <t>SG-011</t>
        </is>
      </c>
      <c r="B17" s="20" t="inlineStr">
        <is>
          <t>Tête de brosse</t>
        </is>
      </c>
      <c r="C17" s="20" t="inlineStr">
        <is>
          <t>Tête avec gratte-langue</t>
        </is>
      </c>
      <c r="D17" s="28" t="inlineStr">
        <is>
          <t>N/D</t>
        </is>
      </c>
      <c r="E17" s="36" t="inlineStr">
        <is>
          <t>N/D</t>
        </is>
      </c>
      <c r="F17" s="25" t="n">
        <v>37</v>
      </c>
      <c r="G17" s="12" t="inlineStr">
        <is>
          <t>Têtes de rechange P1 / Y1S / U3 / P4</t>
        </is>
      </c>
      <c r="H17" s="12" t="inlineStr">
        <is>
          <t>usmile</t>
        </is>
      </c>
      <c r="I17" s="12" t="inlineStr">
        <is>
          <t>Tête sonique avec brins témoins d'usure</t>
        </is>
      </c>
      <c r="J17" s="29" t="inlineStr">
        <is>
          <t>N/D</t>
        </is>
      </c>
      <c r="K17" s="29" t="inlineStr">
        <is>
          <t>N/D</t>
        </is>
      </c>
      <c r="L17" s="29" t="inlineStr">
        <is>
          <t>N/D</t>
        </is>
      </c>
      <c r="M17" s="29" t="inlineStr">
        <is>
          <t>N/D</t>
        </is>
      </c>
      <c r="N17" s="29" t="inlineStr">
        <is>
          <t>N/D</t>
        </is>
      </c>
      <c r="O17" s="29" t="inlineStr">
        <is>
          <t>N/D</t>
        </is>
      </c>
      <c r="P17" s="12" t="inlineStr">
        <is>
          <t>Non vérifié sur les marchés cibles</t>
        </is>
      </c>
      <c r="Q17" s="12" t="inlineStr">
        <is>
          <t>Marketplaces</t>
        </is>
      </c>
      <c r="R17" s="13" t="inlineStr">
        <is>
          <t>https://www.amazon.com/usmile-Replacement-Toothbrush-Electric-Reminder/dp/B09D3SHP7K</t>
        </is>
      </c>
      <c r="S17" s="13" t="inlineStr">
        <is>
          <t>https://usmile.us/products/usmile-whitening-brush-head-2-packs</t>
        </is>
      </c>
      <c r="T17" s="12" t="inlineStr">
        <is>
          <t>Rapprochement sur les têtes soniques à fonction additionnelle et le prix par tête. Brins témoins qui décolorent à l'usure, argument de renouvellement récurrent.</t>
        </is>
      </c>
      <c r="U17" s="14" t="n"/>
      <c r="V17" s="14" t="n"/>
      <c r="W17" s="15" t="n"/>
      <c r="X17" s="16" t="n"/>
      <c r="Y17" s="15" t="n"/>
      <c r="Z17" s="17">
        <f>IF(OR(V17="",U17=""),"",V17-U17)</f>
        <v/>
      </c>
      <c r="AA17" s="18">
        <f>IF(OR(V17="",U17="",U17=0),"",(V17-U17)/U17)</f>
        <v/>
      </c>
      <c r="AB17" s="19">
        <f>IF(AA17="","",IF(AA17&lt;-0.05,"Moins cher",IF(AA17&gt;0.05,"Plus cher","Équivalent")))</f>
        <v/>
      </c>
    </row>
    <row r="18">
      <c r="A18" s="5" t="inlineStr">
        <is>
          <t>SG-108</t>
        </is>
      </c>
      <c r="B18" s="5" t="inlineStr">
        <is>
          <t>Tête de brosse</t>
        </is>
      </c>
      <c r="C18" s="5" t="inlineStr">
        <is>
          <t>Tête standard</t>
        </is>
      </c>
      <c r="D18" s="32" t="inlineStr">
        <is>
          <t>N/D</t>
        </is>
      </c>
      <c r="E18" s="35" t="inlineStr">
        <is>
          <t>N/D</t>
        </is>
      </c>
      <c r="F18" s="11" t="n">
        <v>37</v>
      </c>
      <c r="G18" s="12" t="inlineStr">
        <is>
          <t>Sonicare C3 Premium Plaque Control (pack de 4)</t>
        </is>
      </c>
      <c r="H18" s="12" t="inlineStr">
        <is>
          <t>Philips</t>
        </is>
      </c>
      <c r="I18" s="12" t="inlineStr">
        <is>
          <t>Tête sonique standard</t>
        </is>
      </c>
      <c r="J18" s="29" t="inlineStr">
        <is>
          <t>N/D</t>
        </is>
      </c>
      <c r="K18" s="29" t="inlineStr">
        <is>
          <t>N/D</t>
        </is>
      </c>
      <c r="L18" s="29" t="inlineStr">
        <is>
          <t>N/D</t>
        </is>
      </c>
      <c r="M18" s="29" t="inlineStr">
        <is>
          <t>N/D</t>
        </is>
      </c>
      <c r="N18" s="29" t="inlineStr">
        <is>
          <t>N/D</t>
        </is>
      </c>
      <c r="O18" s="29" t="inlineStr">
        <is>
          <t>N/D</t>
        </is>
      </c>
      <c r="P18" s="12" t="inlineStr">
        <is>
          <t>EAU (Noon, gamme Sonicare vérifiée)</t>
        </is>
      </c>
      <c r="Q18" s="12" t="inlineStr">
        <is>
          <t>Noon UAE, pharmacies</t>
        </is>
      </c>
      <c r="R18" s="13" t="inlineStr">
        <is>
          <t>https://www.usa.philips.com/c-p/HX6810_50/sonicare-protectiveclean-4100-sonic-electric-toothbrush/partsandaccessories</t>
        </is>
      </c>
      <c r="S18" s="13" t="inlineStr">
        <is>
          <t>https://www.ebay.com/itm/277611730525</t>
        </is>
      </c>
      <c r="T18" s="12" t="inlineStr">
        <is>
          <t>Rapprochement sur le segment des têtes soniques standard. La comparaison porte sur le prix par tête, pas sur la compatibilité mécanique. Tête à puce BrushSync. Benchmark du prix par tête sur le segment sonique premium.</t>
        </is>
      </c>
      <c r="U18" s="14" t="n"/>
      <c r="V18" s="14" t="n"/>
      <c r="W18" s="15" t="n"/>
      <c r="X18" s="16" t="n"/>
      <c r="Y18" s="15" t="n"/>
      <c r="Z18" s="17">
        <f>IF(OR(V18="",U18=""),"",V18-U18)</f>
        <v/>
      </c>
      <c r="AA18" s="18">
        <f>IF(OR(V18="",U18="",U18=0),"",(V18-U18)/U18)</f>
        <v/>
      </c>
      <c r="AB18" s="19">
        <f>IF(AA18="","",IF(AA18&lt;-0.05,"Moins cher",IF(AA18&gt;0.05,"Plus cher","Équivalent")))</f>
        <v/>
      </c>
    </row>
    <row r="19">
      <c r="A19" s="20" t="inlineStr">
        <is>
          <t>SG-010</t>
        </is>
      </c>
      <c r="B19" s="20" t="inlineStr">
        <is>
          <t>Tête de brosse</t>
        </is>
      </c>
      <c r="C19" s="20" t="inlineStr">
        <is>
          <t>Tête standard</t>
        </is>
      </c>
      <c r="D19" s="28" t="inlineStr">
        <is>
          <t>N/D</t>
        </is>
      </c>
      <c r="E19" s="36" t="inlineStr">
        <is>
          <t>N/D</t>
        </is>
      </c>
      <c r="F19" s="25" t="n">
        <v>37</v>
      </c>
      <c r="G19" s="12" t="inlineStr">
        <is>
          <t>Sonicare C3 Premium Plaque Control (pack de 4)</t>
        </is>
      </c>
      <c r="H19" s="12" t="inlineStr">
        <is>
          <t>Philips</t>
        </is>
      </c>
      <c r="I19" s="12" t="inlineStr">
        <is>
          <t>Tête sonique standard</t>
        </is>
      </c>
      <c r="J19" s="29" t="inlineStr">
        <is>
          <t>N/D</t>
        </is>
      </c>
      <c r="K19" s="29" t="inlineStr">
        <is>
          <t>N/D</t>
        </is>
      </c>
      <c r="L19" s="29" t="inlineStr">
        <is>
          <t>N/D</t>
        </is>
      </c>
      <c r="M19" s="29" t="inlineStr">
        <is>
          <t>N/D</t>
        </is>
      </c>
      <c r="N19" s="29" t="inlineStr">
        <is>
          <t>N/D</t>
        </is>
      </c>
      <c r="O19" s="29" t="inlineStr">
        <is>
          <t>N/D</t>
        </is>
      </c>
      <c r="P19" s="12" t="inlineStr">
        <is>
          <t>EAU (Noon, gamme Sonicare vérifiée)</t>
        </is>
      </c>
      <c r="Q19" s="12" t="inlineStr">
        <is>
          <t>Noon UAE, pharmacies</t>
        </is>
      </c>
      <c r="R19" s="13" t="inlineStr">
        <is>
          <t>https://www.usa.philips.com/c-p/HX6810_50/sonicare-protectiveclean-4100-sonic-electric-toothbrush/partsandaccessories</t>
        </is>
      </c>
      <c r="S19" s="13" t="inlineStr">
        <is>
          <t>https://www.ebay.com/itm/277611730525</t>
        </is>
      </c>
      <c r="T19" s="12" t="inlineStr">
        <is>
          <t>Rapprochement sur le segment des têtes soniques standard. La comparaison porte sur le prix par tête, pas sur la compatibilité mécanique. Tête à puce BrushSync. Benchmark du prix par tête sur le segment sonique premium.</t>
        </is>
      </c>
      <c r="U19" s="14" t="n"/>
      <c r="V19" s="14" t="n"/>
      <c r="W19" s="15" t="n"/>
      <c r="X19" s="16" t="n"/>
      <c r="Y19" s="15" t="n"/>
      <c r="Z19" s="17">
        <f>IF(OR(V19="",U19=""),"",V19-U19)</f>
        <v/>
      </c>
      <c r="AA19" s="18">
        <f>IF(OR(V19="",U19="",U19=0),"",(V19-U19)/U19)</f>
        <v/>
      </c>
      <c r="AB19" s="19">
        <f>IF(AA19="","",IF(AA19&lt;-0.05,"Moins cher",IF(AA19&gt;0.05,"Plus cher","Équivalent")))</f>
        <v/>
      </c>
    </row>
    <row r="20">
      <c r="A20" s="5" t="inlineStr">
        <is>
          <t>SG-917</t>
        </is>
      </c>
      <c r="B20" s="5" t="inlineStr">
        <is>
          <t>Tête de brosse</t>
        </is>
      </c>
      <c r="C20" s="5" t="inlineStr">
        <is>
          <t>Tête standard</t>
        </is>
      </c>
      <c r="D20" s="32" t="inlineStr">
        <is>
          <t>N/D</t>
        </is>
      </c>
      <c r="E20" s="10" t="inlineStr">
        <is>
          <t>ND (référence identique à la brosse SG-917, à confirmer auprès du fournisseur)</t>
        </is>
      </c>
      <c r="F20" s="11" t="n">
        <v>37</v>
      </c>
      <c r="G20" s="12" t="inlineStr">
        <is>
          <t>Sonicare C3 Premium Plaque Control (pack de 4)</t>
        </is>
      </c>
      <c r="H20" s="12" t="inlineStr">
        <is>
          <t>Philips</t>
        </is>
      </c>
      <c r="I20" s="12" t="inlineStr">
        <is>
          <t>Tête sonique standard</t>
        </is>
      </c>
      <c r="J20" s="29" t="inlineStr">
        <is>
          <t>N/D</t>
        </is>
      </c>
      <c r="K20" s="29" t="inlineStr">
        <is>
          <t>N/D</t>
        </is>
      </c>
      <c r="L20" s="29" t="inlineStr">
        <is>
          <t>N/D</t>
        </is>
      </c>
      <c r="M20" s="29" t="inlineStr">
        <is>
          <t>N/D</t>
        </is>
      </c>
      <c r="N20" s="29" t="inlineStr">
        <is>
          <t>N/D</t>
        </is>
      </c>
      <c r="O20" s="29" t="inlineStr">
        <is>
          <t>N/D</t>
        </is>
      </c>
      <c r="P20" s="12" t="inlineStr">
        <is>
          <t>EAU (Noon, gamme Sonicare vérifiée)</t>
        </is>
      </c>
      <c r="Q20" s="12" t="inlineStr">
        <is>
          <t>Noon UAE, pharmacies</t>
        </is>
      </c>
      <c r="R20" s="13" t="inlineStr">
        <is>
          <t>https://www.usa.philips.com/c-p/HX6810_50/sonicare-protectiveclean-4100-sonic-electric-toothbrush/partsandaccessories</t>
        </is>
      </c>
      <c r="S20" s="13" t="inlineStr">
        <is>
          <t>https://www.ebay.com/itm/277611730525</t>
        </is>
      </c>
      <c r="T20" s="12" t="inlineStr">
        <is>
          <t>Rapprochement sur le segment des têtes soniques standard. La comparaison porte sur le prix par tête, pas sur la compatibilité mécanique. Tête à puce BrushSync. Benchmark du prix par tête sur le segment sonique premium.</t>
        </is>
      </c>
      <c r="U20" s="14" t="n"/>
      <c r="V20" s="14" t="n"/>
      <c r="W20" s="15" t="n"/>
      <c r="X20" s="16" t="n"/>
      <c r="Y20" s="15" t="n"/>
      <c r="Z20" s="17">
        <f>IF(OR(V20="",U20=""),"",V20-U20)</f>
        <v/>
      </c>
      <c r="AA20" s="18">
        <f>IF(OR(V20="",U20="",U20=0),"",(V20-U20)/U20)</f>
        <v/>
      </c>
      <c r="AB20" s="19">
        <f>IF(AA20="","",IF(AA20&lt;-0.05,"Moins cher",IF(AA20&gt;0.05,"Plus cher","Équivalent")))</f>
        <v/>
      </c>
    </row>
    <row r="21">
      <c r="A21" s="20" t="inlineStr">
        <is>
          <t>SG-017</t>
        </is>
      </c>
      <c r="B21" s="20" t="inlineStr">
        <is>
          <t>Tête de brosse</t>
        </is>
      </c>
      <c r="C21" s="20" t="inlineStr">
        <is>
          <t>Tête standard</t>
        </is>
      </c>
      <c r="D21" s="28" t="inlineStr">
        <is>
          <t>N/D</t>
        </is>
      </c>
      <c r="E21" s="36" t="inlineStr">
        <is>
          <t>N/D</t>
        </is>
      </c>
      <c r="F21" s="25" t="n">
        <v>37</v>
      </c>
      <c r="G21" s="12" t="inlineStr">
        <is>
          <t>Sonicare C3 Premium Plaque Control (pack de 4)</t>
        </is>
      </c>
      <c r="H21" s="12" t="inlineStr">
        <is>
          <t>Philips</t>
        </is>
      </c>
      <c r="I21" s="12" t="inlineStr">
        <is>
          <t>Tête sonique standard</t>
        </is>
      </c>
      <c r="J21" s="29" t="inlineStr">
        <is>
          <t>N/D</t>
        </is>
      </c>
      <c r="K21" s="29" t="inlineStr">
        <is>
          <t>N/D</t>
        </is>
      </c>
      <c r="L21" s="29" t="inlineStr">
        <is>
          <t>N/D</t>
        </is>
      </c>
      <c r="M21" s="29" t="inlineStr">
        <is>
          <t>N/D</t>
        </is>
      </c>
      <c r="N21" s="29" t="inlineStr">
        <is>
          <t>N/D</t>
        </is>
      </c>
      <c r="O21" s="29" t="inlineStr">
        <is>
          <t>N/D</t>
        </is>
      </c>
      <c r="P21" s="12" t="inlineStr">
        <is>
          <t>EAU (Noon, gamme Sonicare vérifiée)</t>
        </is>
      </c>
      <c r="Q21" s="12" t="inlineStr">
        <is>
          <t>Noon UAE, pharmacies</t>
        </is>
      </c>
      <c r="R21" s="13" t="inlineStr">
        <is>
          <t>https://www.usa.philips.com/c-p/HX6810_50/sonicare-protectiveclean-4100-sonic-electric-toothbrush/partsandaccessories</t>
        </is>
      </c>
      <c r="S21" s="13" t="inlineStr">
        <is>
          <t>https://www.ebay.com/itm/277611730525</t>
        </is>
      </c>
      <c r="T21" s="12" t="inlineStr">
        <is>
          <t>Rapprochement sur le segment des têtes soniques standard. La comparaison porte sur le prix par tête, pas sur la compatibilité mécanique. Tête à puce BrushSync. Benchmark du prix par tête sur le segment sonique premium.</t>
        </is>
      </c>
      <c r="U21" s="14" t="n"/>
      <c r="V21" s="14" t="n"/>
      <c r="W21" s="15" t="n"/>
      <c r="X21" s="16" t="n"/>
      <c r="Y21" s="15" t="n"/>
      <c r="Z21" s="17">
        <f>IF(OR(V21="",U21=""),"",V21-U21)</f>
        <v/>
      </c>
      <c r="AA21" s="18">
        <f>IF(OR(V21="",U21="",U21=0),"",(V21-U21)/U21)</f>
        <v/>
      </c>
      <c r="AB21" s="19">
        <f>IF(AA21="","",IF(AA21&lt;-0.05,"Moins cher",IF(AA21&gt;0.05,"Plus cher","Équivalent")))</f>
        <v/>
      </c>
    </row>
    <row r="22">
      <c r="A22" s="5" t="inlineStr">
        <is>
          <t>SG-002</t>
        </is>
      </c>
      <c r="B22" s="5" t="inlineStr">
        <is>
          <t>Tête de brosse</t>
        </is>
      </c>
      <c r="C22" s="5" t="inlineStr">
        <is>
          <t>Tête standard</t>
        </is>
      </c>
      <c r="D22" s="32" t="inlineStr">
        <is>
          <t>N/D</t>
        </is>
      </c>
      <c r="E22" s="35" t="inlineStr">
        <is>
          <t>N/D</t>
        </is>
      </c>
      <c r="F22" s="11" t="n">
        <v>37</v>
      </c>
      <c r="G22" s="12" t="inlineStr">
        <is>
          <t>Sonicare C3 Premium Plaque Control (pack de 4)</t>
        </is>
      </c>
      <c r="H22" s="12" t="inlineStr">
        <is>
          <t>Philips</t>
        </is>
      </c>
      <c r="I22" s="12" t="inlineStr">
        <is>
          <t>Tête sonique standard</t>
        </is>
      </c>
      <c r="J22" s="29" t="inlineStr">
        <is>
          <t>N/D</t>
        </is>
      </c>
      <c r="K22" s="29" t="inlineStr">
        <is>
          <t>N/D</t>
        </is>
      </c>
      <c r="L22" s="29" t="inlineStr">
        <is>
          <t>N/D</t>
        </is>
      </c>
      <c r="M22" s="29" t="inlineStr">
        <is>
          <t>N/D</t>
        </is>
      </c>
      <c r="N22" s="29" t="inlineStr">
        <is>
          <t>N/D</t>
        </is>
      </c>
      <c r="O22" s="29" t="inlineStr">
        <is>
          <t>N/D</t>
        </is>
      </c>
      <c r="P22" s="12" t="inlineStr">
        <is>
          <t>EAU (Noon, gamme Sonicare vérifiée)</t>
        </is>
      </c>
      <c r="Q22" s="12" t="inlineStr">
        <is>
          <t>Noon UAE, pharmacies</t>
        </is>
      </c>
      <c r="R22" s="13" t="inlineStr">
        <is>
          <t>https://www.usa.philips.com/c-p/HX6810_50/sonicare-protectiveclean-4100-sonic-electric-toothbrush/partsandaccessories</t>
        </is>
      </c>
      <c r="S22" s="13" t="inlineStr">
        <is>
          <t>https://www.ebay.com/itm/277611730525</t>
        </is>
      </c>
      <c r="T22" s="12" t="inlineStr">
        <is>
          <t>Rapprochement sur le segment des têtes soniques standard. La comparaison porte sur le prix par tête, pas sur la compatibilité mécanique. Tête à puce BrushSync. Benchmark du prix par tête sur le segment sonique premium.</t>
        </is>
      </c>
      <c r="U22" s="14" t="n"/>
      <c r="V22" s="14" t="n"/>
      <c r="W22" s="15" t="n"/>
      <c r="X22" s="16" t="n"/>
      <c r="Y22" s="15" t="n"/>
      <c r="Z22" s="17">
        <f>IF(OR(V22="",U22=""),"",V22-U22)</f>
        <v/>
      </c>
      <c r="AA22" s="18">
        <f>IF(OR(V22="",U22="",U22=0),"",(V22-U22)/U22)</f>
        <v/>
      </c>
      <c r="AB22" s="19">
        <f>IF(AA22="","",IF(AA22&lt;-0.05,"Moins cher",IF(AA22&gt;0.05,"Plus cher","Équivalent")))</f>
        <v/>
      </c>
    </row>
    <row r="23">
      <c r="A23" s="20" t="inlineStr">
        <is>
          <t>SG-012</t>
        </is>
      </c>
      <c r="B23" s="20" t="inlineStr">
        <is>
          <t>Tête de brosse</t>
        </is>
      </c>
      <c r="C23" s="20" t="inlineStr">
        <is>
          <t>Tête interdentaire</t>
        </is>
      </c>
      <c r="D23" s="28" t="inlineStr">
        <is>
          <t>N/D</t>
        </is>
      </c>
      <c r="E23" s="36" t="inlineStr">
        <is>
          <t>N/D</t>
        </is>
      </c>
      <c r="F23" s="25" t="n">
        <v>37</v>
      </c>
      <c r="G23" s="12" t="inlineStr">
        <is>
          <t>Sonicare C3 Premium Plaque Control (pack de 4)</t>
        </is>
      </c>
      <c r="H23" s="12" t="inlineStr">
        <is>
          <t>Philips</t>
        </is>
      </c>
      <c r="I23" s="12" t="inlineStr">
        <is>
          <t>Tête sonique standard</t>
        </is>
      </c>
      <c r="J23" s="29" t="inlineStr">
        <is>
          <t>N/D</t>
        </is>
      </c>
      <c r="K23" s="29" t="inlineStr">
        <is>
          <t>N/D</t>
        </is>
      </c>
      <c r="L23" s="29" t="inlineStr">
        <is>
          <t>N/D</t>
        </is>
      </c>
      <c r="M23" s="29" t="inlineStr">
        <is>
          <t>N/D</t>
        </is>
      </c>
      <c r="N23" s="29" t="inlineStr">
        <is>
          <t>N/D</t>
        </is>
      </c>
      <c r="O23" s="29" t="inlineStr">
        <is>
          <t>N/D</t>
        </is>
      </c>
      <c r="P23" s="12" t="inlineStr">
        <is>
          <t>EAU (Noon, gamme Sonicare vérifiée)</t>
        </is>
      </c>
      <c r="Q23" s="12" t="inlineStr">
        <is>
          <t>Noon UAE, pharmacies</t>
        </is>
      </c>
      <c r="R23" s="13" t="inlineStr">
        <is>
          <t>https://www.usa.philips.com/c-p/HX6810_50/sonicare-protectiveclean-4100-sonic-electric-toothbrush/partsandaccessories</t>
        </is>
      </c>
      <c r="S23" s="13" t="inlineStr">
        <is>
          <t>https://www.ebay.com/itm/277611730525</t>
        </is>
      </c>
      <c r="T23" s="12" t="inlineStr">
        <is>
          <t>Rapprochement sur le segment des têtes soniques standard. La comparaison porte sur le prix par tête, pas sur la compatibilité mécanique. Tête à puce BrushSync. Benchmark du prix par tête sur le segment sonique premium.</t>
        </is>
      </c>
      <c r="U23" s="14" t="n"/>
      <c r="V23" s="14" t="n"/>
      <c r="W23" s="15" t="n"/>
      <c r="X23" s="16" t="n"/>
      <c r="Y23" s="15" t="n"/>
      <c r="Z23" s="17">
        <f>IF(OR(V23="",U23=""),"",V23-U23)</f>
        <v/>
      </c>
      <c r="AA23" s="18">
        <f>IF(OR(V23="",U23="",U23=0),"",(V23-U23)/U23)</f>
        <v/>
      </c>
      <c r="AB23" s="19">
        <f>IF(AA23="","",IF(AA23&lt;-0.05,"Moins cher",IF(AA23&gt;0.05,"Plus cher","Équivalent")))</f>
        <v/>
      </c>
    </row>
    <row r="24">
      <c r="A24" s="5" t="inlineStr">
        <is>
          <t>SG-A923</t>
        </is>
      </c>
      <c r="B24" s="5" t="inlineStr">
        <is>
          <t>Tête de brosse</t>
        </is>
      </c>
      <c r="C24" s="5" t="inlineStr">
        <is>
          <t>Tête standard</t>
        </is>
      </c>
      <c r="D24" s="5" t="inlineStr">
        <is>
          <t>Tenon plastique</t>
        </is>
      </c>
      <c r="E24" s="10" t="inlineStr">
        <is>
          <t>Séries à tenon plastique</t>
        </is>
      </c>
      <c r="F24" s="11" t="n">
        <v>50</v>
      </c>
      <c r="G24" s="12" t="inlineStr">
        <is>
          <t>360 Deep Clean, têtes de rechange</t>
        </is>
      </c>
      <c r="H24" s="12" t="inlineStr">
        <is>
          <t>Colgate</t>
        </is>
      </c>
      <c r="I24" s="12" t="inlineStr">
        <is>
          <t>Tête sonique pour brosse à piles</t>
        </is>
      </c>
      <c r="J24" s="29" t="inlineStr">
        <is>
          <t>N/D</t>
        </is>
      </c>
      <c r="K24" s="29" t="inlineStr">
        <is>
          <t>N/D</t>
        </is>
      </c>
      <c r="L24" s="29" t="inlineStr">
        <is>
          <t>N/D</t>
        </is>
      </c>
      <c r="M24" s="29" t="inlineStr">
        <is>
          <t>N/D</t>
        </is>
      </c>
      <c r="N24" s="29" t="inlineStr">
        <is>
          <t>N/D</t>
        </is>
      </c>
      <c r="O24" s="29" t="inlineStr">
        <is>
          <t>N/D</t>
        </is>
      </c>
      <c r="P24" s="12" t="inlineStr">
        <is>
          <t>Non vérifié sur les marchés cibles (marque largement distribuée)</t>
        </is>
      </c>
      <c r="Q24" s="12" t="inlineStr">
        <is>
          <t>GMS, pharmacies</t>
        </is>
      </c>
      <c r="R24" s="13" t="inlineStr">
        <is>
          <t>https://www.colgate.com/en-my/products/toothbrush/colgate-proclinical-150-deepclean-battery-powered-toothbrush</t>
        </is>
      </c>
      <c r="S24" s="13" t="inlineStr">
        <is>
          <t>https://www.colgate.com/en-my/products/toothbrush/colgate-proclinical-150-charcoal-battery-powered-toothbrush</t>
        </is>
      </c>
      <c r="T24" s="12" t="inlineStr">
        <is>
          <t>Rapprochement sur le segment des têtes pour brosses à piles et le prix par tête. Tête de rechange du segment brosses à piles, benchmark du prix par tête en entrée de gamme.</t>
        </is>
      </c>
      <c r="U24" s="14" t="n"/>
      <c r="V24" s="14" t="n"/>
      <c r="W24" s="15" t="n"/>
      <c r="X24" s="16" t="n"/>
      <c r="Y24" s="15" t="n"/>
      <c r="Z24" s="17">
        <f>IF(OR(V24="",U24=""),"",V24-U24)</f>
        <v/>
      </c>
      <c r="AA24" s="18">
        <f>IF(OR(V24="",U24="",U24=0),"",(V24-U24)/U24)</f>
        <v/>
      </c>
      <c r="AB24" s="19">
        <f>IF(AA24="","",IF(AA24&lt;-0.05,"Moins cher",IF(AA24&gt;0.05,"Plus cher","Équivalent")))</f>
        <v/>
      </c>
    </row>
    <row r="25">
      <c r="A25" s="20" t="inlineStr">
        <is>
          <t>SG-A021</t>
        </is>
      </c>
      <c r="B25" s="20" t="inlineStr">
        <is>
          <t>Tête de brosse</t>
        </is>
      </c>
      <c r="C25" s="20" t="inlineStr">
        <is>
          <t>Tête standard</t>
        </is>
      </c>
      <c r="D25" s="20" t="inlineStr">
        <is>
          <t>Tenon plastique</t>
        </is>
      </c>
      <c r="E25" s="24" t="inlineStr">
        <is>
          <t>Séries à tenon plastique</t>
        </is>
      </c>
      <c r="F25" s="25" t="n">
        <v>50</v>
      </c>
      <c r="G25" s="12" t="inlineStr">
        <is>
          <t>360 Deep Clean, têtes de rechange</t>
        </is>
      </c>
      <c r="H25" s="12" t="inlineStr">
        <is>
          <t>Colgate</t>
        </is>
      </c>
      <c r="I25" s="12" t="inlineStr">
        <is>
          <t>Tête sonique pour brosse à piles</t>
        </is>
      </c>
      <c r="J25" s="29" t="inlineStr">
        <is>
          <t>N/D</t>
        </is>
      </c>
      <c r="K25" s="29" t="inlineStr">
        <is>
          <t>N/D</t>
        </is>
      </c>
      <c r="L25" s="29" t="inlineStr">
        <is>
          <t>N/D</t>
        </is>
      </c>
      <c r="M25" s="29" t="inlineStr">
        <is>
          <t>N/D</t>
        </is>
      </c>
      <c r="N25" s="29" t="inlineStr">
        <is>
          <t>N/D</t>
        </is>
      </c>
      <c r="O25" s="29" t="inlineStr">
        <is>
          <t>N/D</t>
        </is>
      </c>
      <c r="P25" s="12" t="inlineStr">
        <is>
          <t>Non vérifié sur les marchés cibles (marque largement distribuée)</t>
        </is>
      </c>
      <c r="Q25" s="12" t="inlineStr">
        <is>
          <t>GMS, pharmacies</t>
        </is>
      </c>
      <c r="R25" s="13" t="inlineStr">
        <is>
          <t>https://www.colgate.com/en-my/products/toothbrush/colgate-proclinical-150-deepclean-battery-powered-toothbrush</t>
        </is>
      </c>
      <c r="S25" s="13" t="inlineStr">
        <is>
          <t>https://www.colgate.com/en-my/products/toothbrush/colgate-proclinical-150-charcoal-battery-powered-toothbrush</t>
        </is>
      </c>
      <c r="T25" s="12" t="inlineStr">
        <is>
          <t>Rapprochement sur le segment des têtes pour brosses à piles et le prix par tête. Tête de rechange du segment brosses à piles, benchmark du prix par tête en entrée de gamme.</t>
        </is>
      </c>
      <c r="U25" s="14" t="n"/>
      <c r="V25" s="14" t="n"/>
      <c r="W25" s="15" t="n"/>
      <c r="X25" s="16" t="n"/>
      <c r="Y25" s="15" t="n"/>
      <c r="Z25" s="17">
        <f>IF(OR(V25="",U25=""),"",V25-U25)</f>
        <v/>
      </c>
      <c r="AA25" s="18">
        <f>IF(OR(V25="",U25="",U25=0),"",(V25-U25)/U25)</f>
        <v/>
      </c>
      <c r="AB25" s="19">
        <f>IF(AA25="","",IF(AA25&lt;-0.05,"Moins cher",IF(AA25&gt;0.05,"Plus cher","Équivalent")))</f>
        <v/>
      </c>
    </row>
    <row r="26">
      <c r="A26" s="5" t="inlineStr">
        <is>
          <t>SG-A022</t>
        </is>
      </c>
      <c r="B26" s="5" t="inlineStr">
        <is>
          <t>Tête de brosse</t>
        </is>
      </c>
      <c r="C26" s="5" t="inlineStr">
        <is>
          <t>Tête à brins obliques</t>
        </is>
      </c>
      <c r="D26" s="5" t="inlineStr">
        <is>
          <t>Tenon plastique</t>
        </is>
      </c>
      <c r="E26" s="10" t="inlineStr">
        <is>
          <t>Séries à tenon plastique</t>
        </is>
      </c>
      <c r="F26" s="11" t="n">
        <v>50</v>
      </c>
      <c r="G26" s="12" t="inlineStr">
        <is>
          <t>360 Deep Clean, têtes de rechange</t>
        </is>
      </c>
      <c r="H26" s="12" t="inlineStr">
        <is>
          <t>Colgate</t>
        </is>
      </c>
      <c r="I26" s="12" t="inlineStr">
        <is>
          <t>Tête sonique pour brosse à piles</t>
        </is>
      </c>
      <c r="J26" s="29" t="inlineStr">
        <is>
          <t>N/D</t>
        </is>
      </c>
      <c r="K26" s="29" t="inlineStr">
        <is>
          <t>N/D</t>
        </is>
      </c>
      <c r="L26" s="29" t="inlineStr">
        <is>
          <t>N/D</t>
        </is>
      </c>
      <c r="M26" s="29" t="inlineStr">
        <is>
          <t>N/D</t>
        </is>
      </c>
      <c r="N26" s="29" t="inlineStr">
        <is>
          <t>N/D</t>
        </is>
      </c>
      <c r="O26" s="29" t="inlineStr">
        <is>
          <t>N/D</t>
        </is>
      </c>
      <c r="P26" s="12" t="inlineStr">
        <is>
          <t>Non vérifié sur les marchés cibles (marque largement distribuée)</t>
        </is>
      </c>
      <c r="Q26" s="12" t="inlineStr">
        <is>
          <t>GMS, pharmacies</t>
        </is>
      </c>
      <c r="R26" s="13" t="inlineStr">
        <is>
          <t>https://www.colgate.com/en-my/products/toothbrush/colgate-proclinical-150-deepclean-battery-powered-toothbrush</t>
        </is>
      </c>
      <c r="S26" s="13" t="inlineStr">
        <is>
          <t>https://www.colgate.com/en-my/products/toothbrush/colgate-proclinical-150-charcoal-battery-powered-toothbrush</t>
        </is>
      </c>
      <c r="T26" s="12" t="inlineStr">
        <is>
          <t>Rapprochement sur le segment des têtes pour brosses à piles et le prix par tête. Tête de rechange du segment brosses à piles, benchmark du prix par tête en entrée de gamme.</t>
        </is>
      </c>
      <c r="U26" s="14" t="n"/>
      <c r="V26" s="14" t="n"/>
      <c r="W26" s="15" t="n"/>
      <c r="X26" s="16" t="n"/>
      <c r="Y26" s="15" t="n"/>
      <c r="Z26" s="17">
        <f>IF(OR(V26="",U26=""),"",V26-U26)</f>
        <v/>
      </c>
      <c r="AA26" s="18">
        <f>IF(OR(V26="",U26="",U26=0),"",(V26-U26)/U26)</f>
        <v/>
      </c>
      <c r="AB26" s="19">
        <f>IF(AA26="","",IF(AA26&lt;-0.05,"Moins cher",IF(AA26&gt;0.05,"Plus cher","Équivalent")))</f>
        <v/>
      </c>
    </row>
    <row r="27">
      <c r="A27" s="20" t="inlineStr">
        <is>
          <t>SG-A023</t>
        </is>
      </c>
      <c r="B27" s="20" t="inlineStr">
        <is>
          <t>Tête de brosse</t>
        </is>
      </c>
      <c r="C27" s="20" t="inlineStr">
        <is>
          <t>Tête avec gratte-langue</t>
        </is>
      </c>
      <c r="D27" s="20" t="inlineStr">
        <is>
          <t>Tenon plastique</t>
        </is>
      </c>
      <c r="E27" s="24" t="inlineStr">
        <is>
          <t>Séries à tenon plastique</t>
        </is>
      </c>
      <c r="F27" s="25" t="n">
        <v>50</v>
      </c>
      <c r="G27" s="12" t="inlineStr">
        <is>
          <t>360 Deep Clean, têtes de rechange</t>
        </is>
      </c>
      <c r="H27" s="12" t="inlineStr">
        <is>
          <t>Colgate</t>
        </is>
      </c>
      <c r="I27" s="12" t="inlineStr">
        <is>
          <t>Tête sonique pour brosse à piles</t>
        </is>
      </c>
      <c r="J27" s="29" t="inlineStr">
        <is>
          <t>N/D</t>
        </is>
      </c>
      <c r="K27" s="29" t="inlineStr">
        <is>
          <t>N/D</t>
        </is>
      </c>
      <c r="L27" s="29" t="inlineStr">
        <is>
          <t>N/D</t>
        </is>
      </c>
      <c r="M27" s="29" t="inlineStr">
        <is>
          <t>N/D</t>
        </is>
      </c>
      <c r="N27" s="29" t="inlineStr">
        <is>
          <t>N/D</t>
        </is>
      </c>
      <c r="O27" s="29" t="inlineStr">
        <is>
          <t>N/D</t>
        </is>
      </c>
      <c r="P27" s="12" t="inlineStr">
        <is>
          <t>Non vérifié sur les marchés cibles (marque largement distribuée)</t>
        </is>
      </c>
      <c r="Q27" s="12" t="inlineStr">
        <is>
          <t>GMS, pharmacies</t>
        </is>
      </c>
      <c r="R27" s="13" t="inlineStr">
        <is>
          <t>https://www.colgate.com/en-my/products/toothbrush/colgate-proclinical-150-deepclean-battery-powered-toothbrush</t>
        </is>
      </c>
      <c r="S27" s="13" t="inlineStr">
        <is>
          <t>https://www.colgate.com/en-my/products/toothbrush/colgate-proclinical-150-charcoal-battery-powered-toothbrush</t>
        </is>
      </c>
      <c r="T27" s="12" t="inlineStr">
        <is>
          <t>Rapprochement sur le segment des têtes pour brosses à piles et le prix par tête. Tête de rechange du segment brosses à piles, benchmark du prix par tête en entrée de gamme.</t>
        </is>
      </c>
      <c r="U27" s="14" t="n"/>
      <c r="V27" s="14" t="n"/>
      <c r="W27" s="15" t="n"/>
      <c r="X27" s="16" t="n"/>
      <c r="Y27" s="15" t="n"/>
      <c r="Z27" s="17">
        <f>IF(OR(V27="",U27=""),"",V27-U27)</f>
        <v/>
      </c>
      <c r="AA27" s="18">
        <f>IF(OR(V27="",U27="",U27=0),"",(V27-U27)/U27)</f>
        <v/>
      </c>
      <c r="AB27" s="19">
        <f>IF(AA27="","",IF(AA27&lt;-0.05,"Moins cher",IF(AA27&gt;0.05,"Plus cher","Équivalent")))</f>
        <v/>
      </c>
    </row>
    <row r="28">
      <c r="A28" s="5" t="inlineStr">
        <is>
          <t>SG-A032</t>
        </is>
      </c>
      <c r="B28" s="5" t="inlineStr">
        <is>
          <t>Tête de brosse</t>
        </is>
      </c>
      <c r="C28" s="5" t="inlineStr">
        <is>
          <t>Tête interdentaire</t>
        </is>
      </c>
      <c r="D28" s="5" t="inlineStr">
        <is>
          <t>Tenon plastique</t>
        </is>
      </c>
      <c r="E28" s="10" t="inlineStr">
        <is>
          <t>Séries à tenon plastique</t>
        </is>
      </c>
      <c r="F28" s="11" t="n">
        <v>50</v>
      </c>
      <c r="G28" s="12" t="inlineStr">
        <is>
          <t>360 Deep Clean, têtes de rechange</t>
        </is>
      </c>
      <c r="H28" s="12" t="inlineStr">
        <is>
          <t>Colgate</t>
        </is>
      </c>
      <c r="I28" s="12" t="inlineStr">
        <is>
          <t>Tête sonique pour brosse à piles</t>
        </is>
      </c>
      <c r="J28" s="29" t="inlineStr">
        <is>
          <t>N/D</t>
        </is>
      </c>
      <c r="K28" s="29" t="inlineStr">
        <is>
          <t>N/D</t>
        </is>
      </c>
      <c r="L28" s="29" t="inlineStr">
        <is>
          <t>N/D</t>
        </is>
      </c>
      <c r="M28" s="29" t="inlineStr">
        <is>
          <t>N/D</t>
        </is>
      </c>
      <c r="N28" s="29" t="inlineStr">
        <is>
          <t>N/D</t>
        </is>
      </c>
      <c r="O28" s="29" t="inlineStr">
        <is>
          <t>N/D</t>
        </is>
      </c>
      <c r="P28" s="12" t="inlineStr">
        <is>
          <t>Non vérifié sur les marchés cibles (marque largement distribuée)</t>
        </is>
      </c>
      <c r="Q28" s="12" t="inlineStr">
        <is>
          <t>GMS, pharmacies</t>
        </is>
      </c>
      <c r="R28" s="13" t="inlineStr">
        <is>
          <t>https://www.colgate.com/en-my/products/toothbrush/colgate-proclinical-150-deepclean-battery-powered-toothbrush</t>
        </is>
      </c>
      <c r="S28" s="13" t="inlineStr">
        <is>
          <t>https://www.colgate.com/en-my/products/toothbrush/colgate-proclinical-150-charcoal-battery-powered-toothbrush</t>
        </is>
      </c>
      <c r="T28" s="12" t="inlineStr">
        <is>
          <t>Rapprochement sur le segment des têtes pour brosses à piles et le prix par tête. Tête de rechange du segment brosses à piles, benchmark du prix par tête en entrée de gamme.</t>
        </is>
      </c>
      <c r="U28" s="14" t="n"/>
      <c r="V28" s="14" t="n"/>
      <c r="W28" s="15" t="n"/>
      <c r="X28" s="16" t="n"/>
      <c r="Y28" s="15" t="n"/>
      <c r="Z28" s="17">
        <f>IF(OR(V28="",U28=""),"",V28-U28)</f>
        <v/>
      </c>
      <c r="AA28" s="18">
        <f>IF(OR(V28="",U28="",U28=0),"",(V28-U28)/U28)</f>
        <v/>
      </c>
      <c r="AB28" s="19">
        <f>IF(AA28="","",IF(AA28&lt;-0.05,"Moins cher",IF(AA28&gt;0.05,"Plus cher","Équivalent")))</f>
        <v/>
      </c>
    </row>
    <row r="29">
      <c r="A29" s="20" t="inlineStr">
        <is>
          <t>SG-A036</t>
        </is>
      </c>
      <c r="B29" s="20" t="inlineStr">
        <is>
          <t>Tête de brosse</t>
        </is>
      </c>
      <c r="C29" s="20" t="inlineStr">
        <is>
          <t>Tête interdentaire</t>
        </is>
      </c>
      <c r="D29" s="20" t="inlineStr">
        <is>
          <t>Tenon plastique</t>
        </is>
      </c>
      <c r="E29" s="24" t="inlineStr">
        <is>
          <t>Séries à tenon plastique</t>
        </is>
      </c>
      <c r="F29" s="25" t="n">
        <v>50</v>
      </c>
      <c r="G29" s="12" t="inlineStr">
        <is>
          <t>360 Deep Clean, têtes de rechange</t>
        </is>
      </c>
      <c r="H29" s="12" t="inlineStr">
        <is>
          <t>Colgate</t>
        </is>
      </c>
      <c r="I29" s="12" t="inlineStr">
        <is>
          <t>Tête sonique pour brosse à piles</t>
        </is>
      </c>
      <c r="J29" s="29" t="inlineStr">
        <is>
          <t>N/D</t>
        </is>
      </c>
      <c r="K29" s="29" t="inlineStr">
        <is>
          <t>N/D</t>
        </is>
      </c>
      <c r="L29" s="29" t="inlineStr">
        <is>
          <t>N/D</t>
        </is>
      </c>
      <c r="M29" s="29" t="inlineStr">
        <is>
          <t>N/D</t>
        </is>
      </c>
      <c r="N29" s="29" t="inlineStr">
        <is>
          <t>N/D</t>
        </is>
      </c>
      <c r="O29" s="29" t="inlineStr">
        <is>
          <t>N/D</t>
        </is>
      </c>
      <c r="P29" s="12" t="inlineStr">
        <is>
          <t>Non vérifié sur les marchés cibles (marque largement distribuée)</t>
        </is>
      </c>
      <c r="Q29" s="12" t="inlineStr">
        <is>
          <t>GMS, pharmacies</t>
        </is>
      </c>
      <c r="R29" s="13" t="inlineStr">
        <is>
          <t>https://www.colgate.com/en-my/products/toothbrush/colgate-proclinical-150-deepclean-battery-powered-toothbrush</t>
        </is>
      </c>
      <c r="S29" s="13" t="inlineStr">
        <is>
          <t>https://www.colgate.com/en-my/products/toothbrush/colgate-proclinical-150-charcoal-battery-powered-toothbrush</t>
        </is>
      </c>
      <c r="T29" s="12" t="inlineStr">
        <is>
          <t>Rapprochement sur le segment des têtes pour brosses à piles et le prix par tête. Tête de rechange du segment brosses à piles, benchmark du prix par tête en entrée de gamme.</t>
        </is>
      </c>
      <c r="U29" s="14" t="n"/>
      <c r="V29" s="14" t="n"/>
      <c r="W29" s="15" t="n"/>
      <c r="X29" s="16" t="n"/>
      <c r="Y29" s="15" t="n"/>
      <c r="Z29" s="17">
        <f>IF(OR(V29="",U29=""),"",V29-U29)</f>
        <v/>
      </c>
      <c r="AA29" s="18">
        <f>IF(OR(V29="",U29="",U29=0),"",(V29-U29)/U29)</f>
        <v/>
      </c>
      <c r="AB29" s="19">
        <f>IF(AA29="","",IF(AA29&lt;-0.05,"Moins cher",IF(AA29&gt;0.05,"Plus cher","Équivalent")))</f>
        <v/>
      </c>
    </row>
    <row r="30">
      <c r="A30" s="5" t="inlineStr">
        <is>
          <t>SG-A100</t>
        </is>
      </c>
      <c r="B30" s="5" t="inlineStr">
        <is>
          <t>Tête de brosse</t>
        </is>
      </c>
      <c r="C30" s="5" t="inlineStr">
        <is>
          <t>Tête à implantation hétérotype</t>
        </is>
      </c>
      <c r="D30" s="5" t="inlineStr">
        <is>
          <t>Tenon plastique</t>
        </is>
      </c>
      <c r="E30" s="10" t="inlineStr">
        <is>
          <t>Séries à tenon plastique</t>
        </is>
      </c>
      <c r="F30" s="11" t="n">
        <v>50</v>
      </c>
      <c r="G30" s="12" t="inlineStr">
        <is>
          <t>360 Deep Clean, têtes de rechange</t>
        </is>
      </c>
      <c r="H30" s="12" t="inlineStr">
        <is>
          <t>Colgate</t>
        </is>
      </c>
      <c r="I30" s="12" t="inlineStr">
        <is>
          <t>Tête sonique pour brosse à piles</t>
        </is>
      </c>
      <c r="J30" s="29" t="inlineStr">
        <is>
          <t>N/D</t>
        </is>
      </c>
      <c r="K30" s="29" t="inlineStr">
        <is>
          <t>N/D</t>
        </is>
      </c>
      <c r="L30" s="29" t="inlineStr">
        <is>
          <t>N/D</t>
        </is>
      </c>
      <c r="M30" s="29" t="inlineStr">
        <is>
          <t>N/D</t>
        </is>
      </c>
      <c r="N30" s="29" t="inlineStr">
        <is>
          <t>N/D</t>
        </is>
      </c>
      <c r="O30" s="29" t="inlineStr">
        <is>
          <t>N/D</t>
        </is>
      </c>
      <c r="P30" s="12" t="inlineStr">
        <is>
          <t>Non vérifié sur les marchés cibles (marque largement distribuée)</t>
        </is>
      </c>
      <c r="Q30" s="12" t="inlineStr">
        <is>
          <t>GMS, pharmacies</t>
        </is>
      </c>
      <c r="R30" s="13" t="inlineStr">
        <is>
          <t>https://www.colgate.com/en-my/products/toothbrush/colgate-proclinical-150-deepclean-battery-powered-toothbrush</t>
        </is>
      </c>
      <c r="S30" s="13" t="inlineStr">
        <is>
          <t>https://www.colgate.com/en-my/products/toothbrush/colgate-proclinical-150-charcoal-battery-powered-toothbrush</t>
        </is>
      </c>
      <c r="T30" s="12" t="inlineStr">
        <is>
          <t>Rapprochement sur le segment des têtes pour brosses à piles et le prix par tête. Tête de rechange du segment brosses à piles, benchmark du prix par tête en entrée de gamme.</t>
        </is>
      </c>
      <c r="U30" s="14" t="n"/>
      <c r="V30" s="14" t="n"/>
      <c r="W30" s="15" t="n"/>
      <c r="X30" s="16" t="n"/>
      <c r="Y30" s="15" t="n"/>
      <c r="Z30" s="17">
        <f>IF(OR(V30="",U30=""),"",V30-U30)</f>
        <v/>
      </c>
      <c r="AA30" s="18">
        <f>IF(OR(V30="",U30="",U30=0),"",(V30-U30)/U30)</f>
        <v/>
      </c>
      <c r="AB30" s="19">
        <f>IF(AA30="","",IF(AA30&lt;-0.05,"Moins cher",IF(AA30&gt;0.05,"Plus cher","Équivalent")))</f>
        <v/>
      </c>
    </row>
    <row r="31">
      <c r="A31" s="20" t="inlineStr">
        <is>
          <t>SG-A928</t>
        </is>
      </c>
      <c r="B31" s="20" t="inlineStr">
        <is>
          <t>Tête de brosse</t>
        </is>
      </c>
      <c r="C31" s="20" t="inlineStr">
        <is>
          <t>Tête standard</t>
        </is>
      </c>
      <c r="D31" s="20" t="inlineStr">
        <is>
          <t>Tenon plastique</t>
        </is>
      </c>
      <c r="E31" s="24" t="inlineStr">
        <is>
          <t>Séries à tenon plastique</t>
        </is>
      </c>
      <c r="F31" s="25" t="n">
        <v>50</v>
      </c>
      <c r="G31" s="12" t="inlineStr">
        <is>
          <t>360 Deep Clean, têtes de rechange</t>
        </is>
      </c>
      <c r="H31" s="12" t="inlineStr">
        <is>
          <t>Colgate</t>
        </is>
      </c>
      <c r="I31" s="12" t="inlineStr">
        <is>
          <t>Tête sonique pour brosse à piles</t>
        </is>
      </c>
      <c r="J31" s="29" t="inlineStr">
        <is>
          <t>N/D</t>
        </is>
      </c>
      <c r="K31" s="29" t="inlineStr">
        <is>
          <t>N/D</t>
        </is>
      </c>
      <c r="L31" s="29" t="inlineStr">
        <is>
          <t>N/D</t>
        </is>
      </c>
      <c r="M31" s="29" t="inlineStr">
        <is>
          <t>N/D</t>
        </is>
      </c>
      <c r="N31" s="29" t="inlineStr">
        <is>
          <t>N/D</t>
        </is>
      </c>
      <c r="O31" s="29" t="inlineStr">
        <is>
          <t>N/D</t>
        </is>
      </c>
      <c r="P31" s="12" t="inlineStr">
        <is>
          <t>Non vérifié sur les marchés cibles (marque largement distribuée)</t>
        </is>
      </c>
      <c r="Q31" s="12" t="inlineStr">
        <is>
          <t>GMS, pharmacies</t>
        </is>
      </c>
      <c r="R31" s="13" t="inlineStr">
        <is>
          <t>https://www.colgate.com/en-my/products/toothbrush/colgate-proclinical-150-deepclean-battery-powered-toothbrush</t>
        </is>
      </c>
      <c r="S31" s="13" t="inlineStr">
        <is>
          <t>https://www.colgate.com/en-my/products/toothbrush/colgate-proclinical-150-charcoal-battery-powered-toothbrush</t>
        </is>
      </c>
      <c r="T31" s="12" t="inlineStr">
        <is>
          <t>Rapprochement sur le segment des têtes pour brosses à piles et le prix par tête. Tête de rechange du segment brosses à piles, benchmark du prix par tête en entrée de gamme.</t>
        </is>
      </c>
      <c r="U31" s="14" t="n"/>
      <c r="V31" s="14" t="n"/>
      <c r="W31" s="15" t="n"/>
      <c r="X31" s="16" t="n"/>
      <c r="Y31" s="15" t="n"/>
      <c r="Z31" s="17">
        <f>IF(OR(V31="",U31=""),"",V31-U31)</f>
        <v/>
      </c>
      <c r="AA31" s="18">
        <f>IF(OR(V31="",U31="",U31=0),"",(V31-U31)/U31)</f>
        <v/>
      </c>
      <c r="AB31" s="19">
        <f>IF(AA31="","",IF(AA31&lt;-0.05,"Moins cher",IF(AA31&gt;0.05,"Plus cher","Équivalent")))</f>
        <v/>
      </c>
    </row>
    <row r="32">
      <c r="A32" s="5" t="inlineStr">
        <is>
          <t>SG-G001</t>
        </is>
      </c>
      <c r="B32" s="5" t="inlineStr">
        <is>
          <t>Tête de brosse</t>
        </is>
      </c>
      <c r="C32" s="5" t="inlineStr">
        <is>
          <t>Tête standard</t>
        </is>
      </c>
      <c r="D32" s="5" t="inlineStr">
        <is>
          <t>Tenon métal</t>
        </is>
      </c>
      <c r="E32" s="10" t="inlineStr">
        <is>
          <t>Séries à tenon métal</t>
        </is>
      </c>
      <c r="F32" s="11" t="n">
        <v>50</v>
      </c>
      <c r="G32" s="12" t="inlineStr">
        <is>
          <t>360 Deep Clean, têtes de rechange</t>
        </is>
      </c>
      <c r="H32" s="12" t="inlineStr">
        <is>
          <t>Colgate</t>
        </is>
      </c>
      <c r="I32" s="12" t="inlineStr">
        <is>
          <t>Tête sonique pour brosse à piles</t>
        </is>
      </c>
      <c r="J32" s="29" t="inlineStr">
        <is>
          <t>N/D</t>
        </is>
      </c>
      <c r="K32" s="29" t="inlineStr">
        <is>
          <t>N/D</t>
        </is>
      </c>
      <c r="L32" s="29" t="inlineStr">
        <is>
          <t>N/D</t>
        </is>
      </c>
      <c r="M32" s="29" t="inlineStr">
        <is>
          <t>N/D</t>
        </is>
      </c>
      <c r="N32" s="29" t="inlineStr">
        <is>
          <t>N/D</t>
        </is>
      </c>
      <c r="O32" s="29" t="inlineStr">
        <is>
          <t>N/D</t>
        </is>
      </c>
      <c r="P32" s="12" t="inlineStr">
        <is>
          <t>Non vérifié sur les marchés cibles (marque largement distribuée)</t>
        </is>
      </c>
      <c r="Q32" s="12" t="inlineStr">
        <is>
          <t>GMS, pharmacies</t>
        </is>
      </c>
      <c r="R32" s="13" t="inlineStr">
        <is>
          <t>https://www.colgate.com/en-my/products/toothbrush/colgate-proclinical-150-deepclean-battery-powered-toothbrush</t>
        </is>
      </c>
      <c r="S32" s="13" t="inlineStr">
        <is>
          <t>https://www.colgate.com/en-my/products/toothbrush/colgate-proclinical-150-charcoal-battery-powered-toothbrush</t>
        </is>
      </c>
      <c r="T32" s="12" t="inlineStr">
        <is>
          <t>Rapprochement sur le segment des têtes pour brosses à piles et le prix par tête. Tête de rechange du segment brosses à piles, benchmark du prix par tête en entrée de gamme.</t>
        </is>
      </c>
      <c r="U32" s="14" t="n"/>
      <c r="V32" s="14" t="n"/>
      <c r="W32" s="15" t="n"/>
      <c r="X32" s="16" t="n"/>
      <c r="Y32" s="15" t="n"/>
      <c r="Z32" s="17">
        <f>IF(OR(V32="",U32=""),"",V32-U32)</f>
        <v/>
      </c>
      <c r="AA32" s="18">
        <f>IF(OR(V32="",U32="",U32=0),"",(V32-U32)/U32)</f>
        <v/>
      </c>
      <c r="AB32" s="19">
        <f>IF(AA32="","",IF(AA32&lt;-0.05,"Moins cher",IF(AA32&gt;0.05,"Plus cher","Équivalent")))</f>
        <v/>
      </c>
    </row>
    <row r="33">
      <c r="A33" s="20" t="inlineStr">
        <is>
          <t>SG-G002</t>
        </is>
      </c>
      <c r="B33" s="20" t="inlineStr">
        <is>
          <t>Tête de brosse</t>
        </is>
      </c>
      <c r="C33" s="20" t="inlineStr">
        <is>
          <t>Tête à implantation hétérotype</t>
        </is>
      </c>
      <c r="D33" s="20" t="inlineStr">
        <is>
          <t>Tenon métal</t>
        </is>
      </c>
      <c r="E33" s="24" t="inlineStr">
        <is>
          <t>Séries à tenon métal</t>
        </is>
      </c>
      <c r="F33" s="25" t="n">
        <v>50</v>
      </c>
      <c r="G33" s="12" t="inlineStr">
        <is>
          <t>360 Deep Clean, têtes de rechange</t>
        </is>
      </c>
      <c r="H33" s="12" t="inlineStr">
        <is>
          <t>Colgate</t>
        </is>
      </c>
      <c r="I33" s="12" t="inlineStr">
        <is>
          <t>Tête sonique pour brosse à piles</t>
        </is>
      </c>
      <c r="J33" s="29" t="inlineStr">
        <is>
          <t>N/D</t>
        </is>
      </c>
      <c r="K33" s="29" t="inlineStr">
        <is>
          <t>N/D</t>
        </is>
      </c>
      <c r="L33" s="29" t="inlineStr">
        <is>
          <t>N/D</t>
        </is>
      </c>
      <c r="M33" s="29" t="inlineStr">
        <is>
          <t>N/D</t>
        </is>
      </c>
      <c r="N33" s="29" t="inlineStr">
        <is>
          <t>N/D</t>
        </is>
      </c>
      <c r="O33" s="29" t="inlineStr">
        <is>
          <t>N/D</t>
        </is>
      </c>
      <c r="P33" s="12" t="inlineStr">
        <is>
          <t>Non vérifié sur les marchés cibles (marque largement distribuée)</t>
        </is>
      </c>
      <c r="Q33" s="12" t="inlineStr">
        <is>
          <t>GMS, pharmacies</t>
        </is>
      </c>
      <c r="R33" s="13" t="inlineStr">
        <is>
          <t>https://www.colgate.com/en-my/products/toothbrush/colgate-proclinical-150-deepclean-battery-powered-toothbrush</t>
        </is>
      </c>
      <c r="S33" s="13" t="inlineStr">
        <is>
          <t>https://www.colgate.com/en-my/products/toothbrush/colgate-proclinical-150-charcoal-battery-powered-toothbrush</t>
        </is>
      </c>
      <c r="T33" s="12" t="inlineStr">
        <is>
          <t>Rapprochement sur le segment des têtes pour brosses à piles et le prix par tête. Tête de rechange du segment brosses à piles, benchmark du prix par tête en entrée de gamme.</t>
        </is>
      </c>
      <c r="U33" s="14" t="n"/>
      <c r="V33" s="14" t="n"/>
      <c r="W33" s="15" t="n"/>
      <c r="X33" s="16" t="n"/>
      <c r="Y33" s="15" t="n"/>
      <c r="Z33" s="17">
        <f>IF(OR(V33="",U33=""),"",V33-U33)</f>
        <v/>
      </c>
      <c r="AA33" s="18">
        <f>IF(OR(V33="",U33="",U33=0),"",(V33-U33)/U33)</f>
        <v/>
      </c>
      <c r="AB33" s="19">
        <f>IF(AA33="","",IF(AA33&lt;-0.05,"Moins cher",IF(AA33&gt;0.05,"Plus cher","Équivalent")))</f>
        <v/>
      </c>
    </row>
    <row r="34">
      <c r="A34" s="5" t="inlineStr">
        <is>
          <t>SG-G044</t>
        </is>
      </c>
      <c r="B34" s="5" t="inlineStr">
        <is>
          <t>Tête de brosse</t>
        </is>
      </c>
      <c r="C34" s="5" t="inlineStr">
        <is>
          <t>Tête interdentaire</t>
        </is>
      </c>
      <c r="D34" s="5" t="inlineStr">
        <is>
          <t>Tenon métal</t>
        </is>
      </c>
      <c r="E34" s="10" t="inlineStr">
        <is>
          <t>Séries à tenon métal</t>
        </is>
      </c>
      <c r="F34" s="11" t="n">
        <v>50</v>
      </c>
      <c r="G34" s="12" t="inlineStr">
        <is>
          <t>360 Deep Clean, têtes de rechange</t>
        </is>
      </c>
      <c r="H34" s="12" t="inlineStr">
        <is>
          <t>Colgate</t>
        </is>
      </c>
      <c r="I34" s="12" t="inlineStr">
        <is>
          <t>Tête sonique pour brosse à piles</t>
        </is>
      </c>
      <c r="J34" s="29" t="inlineStr">
        <is>
          <t>N/D</t>
        </is>
      </c>
      <c r="K34" s="29" t="inlineStr">
        <is>
          <t>N/D</t>
        </is>
      </c>
      <c r="L34" s="29" t="inlineStr">
        <is>
          <t>N/D</t>
        </is>
      </c>
      <c r="M34" s="29" t="inlineStr">
        <is>
          <t>N/D</t>
        </is>
      </c>
      <c r="N34" s="29" t="inlineStr">
        <is>
          <t>N/D</t>
        </is>
      </c>
      <c r="O34" s="29" t="inlineStr">
        <is>
          <t>N/D</t>
        </is>
      </c>
      <c r="P34" s="12" t="inlineStr">
        <is>
          <t>Non vérifié sur les marchés cibles (marque largement distribuée)</t>
        </is>
      </c>
      <c r="Q34" s="12" t="inlineStr">
        <is>
          <t>GMS, pharmacies</t>
        </is>
      </c>
      <c r="R34" s="13" t="inlineStr">
        <is>
          <t>https://www.colgate.com/en-my/products/toothbrush/colgate-proclinical-150-deepclean-battery-powered-toothbrush</t>
        </is>
      </c>
      <c r="S34" s="13" t="inlineStr">
        <is>
          <t>https://www.colgate.com/en-my/products/toothbrush/colgate-proclinical-150-charcoal-battery-powered-toothbrush</t>
        </is>
      </c>
      <c r="T34" s="12" t="inlineStr">
        <is>
          <t>Rapprochement sur le segment des têtes pour brosses à piles et le prix par tête. Tête de rechange du segment brosses à piles, benchmark du prix par tête en entrée de gamme.</t>
        </is>
      </c>
      <c r="U34" s="14" t="n"/>
      <c r="V34" s="14" t="n"/>
      <c r="W34" s="15" t="n"/>
      <c r="X34" s="16" t="n"/>
      <c r="Y34" s="15" t="n"/>
      <c r="Z34" s="17">
        <f>IF(OR(V34="",U34=""),"",V34-U34)</f>
        <v/>
      </c>
      <c r="AA34" s="18">
        <f>IF(OR(V34="",U34="",U34=0),"",(V34-U34)/U34)</f>
        <v/>
      </c>
      <c r="AB34" s="19">
        <f>IF(AA34="","",IF(AA34&lt;-0.05,"Moins cher",IF(AA34&gt;0.05,"Plus cher","Équivalent")))</f>
        <v/>
      </c>
    </row>
    <row r="35">
      <c r="A35" s="20" t="inlineStr">
        <is>
          <t>SG-G045</t>
        </is>
      </c>
      <c r="B35" s="20" t="inlineStr">
        <is>
          <t>Tête de brosse</t>
        </is>
      </c>
      <c r="C35" s="20" t="inlineStr">
        <is>
          <t>Tête standard</t>
        </is>
      </c>
      <c r="D35" s="20" t="inlineStr">
        <is>
          <t>Tenon métal</t>
        </is>
      </c>
      <c r="E35" s="24" t="inlineStr">
        <is>
          <t>Séries à tenon métal</t>
        </is>
      </c>
      <c r="F35" s="25" t="n">
        <v>50</v>
      </c>
      <c r="G35" s="12" t="inlineStr">
        <is>
          <t>360 Deep Clean, têtes de rechange</t>
        </is>
      </c>
      <c r="H35" s="12" t="inlineStr">
        <is>
          <t>Colgate</t>
        </is>
      </c>
      <c r="I35" s="12" t="inlineStr">
        <is>
          <t>Tête sonique pour brosse à piles</t>
        </is>
      </c>
      <c r="J35" s="29" t="inlineStr">
        <is>
          <t>N/D</t>
        </is>
      </c>
      <c r="K35" s="29" t="inlineStr">
        <is>
          <t>N/D</t>
        </is>
      </c>
      <c r="L35" s="29" t="inlineStr">
        <is>
          <t>N/D</t>
        </is>
      </c>
      <c r="M35" s="29" t="inlineStr">
        <is>
          <t>N/D</t>
        </is>
      </c>
      <c r="N35" s="29" t="inlineStr">
        <is>
          <t>N/D</t>
        </is>
      </c>
      <c r="O35" s="29" t="inlineStr">
        <is>
          <t>N/D</t>
        </is>
      </c>
      <c r="P35" s="12" t="inlineStr">
        <is>
          <t>Non vérifié sur les marchés cibles (marque largement distribuée)</t>
        </is>
      </c>
      <c r="Q35" s="12" t="inlineStr">
        <is>
          <t>GMS, pharmacies</t>
        </is>
      </c>
      <c r="R35" s="13" t="inlineStr">
        <is>
          <t>https://www.colgate.com/en-my/products/toothbrush/colgate-proclinical-150-deepclean-battery-powered-toothbrush</t>
        </is>
      </c>
      <c r="S35" s="13" t="inlineStr">
        <is>
          <t>https://www.colgate.com/en-my/products/toothbrush/colgate-proclinical-150-charcoal-battery-powered-toothbrush</t>
        </is>
      </c>
      <c r="T35" s="12" t="inlineStr">
        <is>
          <t>Rapprochement sur le segment des têtes pour brosses à piles et le prix par tête. Tête de rechange du segment brosses à piles, benchmark du prix par tête en entrée de gamme.</t>
        </is>
      </c>
      <c r="U35" s="14" t="n"/>
      <c r="V35" s="14" t="n"/>
      <c r="W35" s="15" t="n"/>
      <c r="X35" s="16" t="n"/>
      <c r="Y35" s="15" t="n"/>
      <c r="Z35" s="17">
        <f>IF(OR(V35="",U35=""),"",V35-U35)</f>
        <v/>
      </c>
      <c r="AA35" s="18">
        <f>IF(OR(V35="",U35="",U35=0),"",(V35-U35)/U35)</f>
        <v/>
      </c>
      <c r="AB35" s="19">
        <f>IF(AA35="","",IF(AA35&lt;-0.05,"Moins cher",IF(AA35&gt;0.05,"Plus cher","Équivalent")))</f>
        <v/>
      </c>
    </row>
    <row r="36">
      <c r="A36" s="5" t="inlineStr">
        <is>
          <t>SG-G048</t>
        </is>
      </c>
      <c r="B36" s="5" t="inlineStr">
        <is>
          <t>Tête de brosse</t>
        </is>
      </c>
      <c r="C36" s="5" t="inlineStr">
        <is>
          <t>Tête mini</t>
        </is>
      </c>
      <c r="D36" s="5" t="inlineStr">
        <is>
          <t>Tenon métal</t>
        </is>
      </c>
      <c r="E36" s="10" t="inlineStr">
        <is>
          <t>Séries à tenon métal</t>
        </is>
      </c>
      <c r="F36" s="11" t="n">
        <v>50</v>
      </c>
      <c r="G36" s="12" t="inlineStr">
        <is>
          <t>360 Deep Clean, têtes de rechange</t>
        </is>
      </c>
      <c r="H36" s="12" t="inlineStr">
        <is>
          <t>Colgate</t>
        </is>
      </c>
      <c r="I36" s="12" t="inlineStr">
        <is>
          <t>Tête sonique pour brosse à piles</t>
        </is>
      </c>
      <c r="J36" s="29" t="inlineStr">
        <is>
          <t>N/D</t>
        </is>
      </c>
      <c r="K36" s="29" t="inlineStr">
        <is>
          <t>N/D</t>
        </is>
      </c>
      <c r="L36" s="29" t="inlineStr">
        <is>
          <t>N/D</t>
        </is>
      </c>
      <c r="M36" s="29" t="inlineStr">
        <is>
          <t>N/D</t>
        </is>
      </c>
      <c r="N36" s="29" t="inlineStr">
        <is>
          <t>N/D</t>
        </is>
      </c>
      <c r="O36" s="29" t="inlineStr">
        <is>
          <t>N/D</t>
        </is>
      </c>
      <c r="P36" s="12" t="inlineStr">
        <is>
          <t>Non vérifié sur les marchés cibles (marque largement distribuée)</t>
        </is>
      </c>
      <c r="Q36" s="12" t="inlineStr">
        <is>
          <t>GMS, pharmacies</t>
        </is>
      </c>
      <c r="R36" s="13" t="inlineStr">
        <is>
          <t>https://www.colgate.com/en-my/products/toothbrush/colgate-proclinical-150-deepclean-battery-powered-toothbrush</t>
        </is>
      </c>
      <c r="S36" s="13" t="inlineStr">
        <is>
          <t>https://www.colgate.com/en-my/products/toothbrush/colgate-proclinical-150-charcoal-battery-powered-toothbrush</t>
        </is>
      </c>
      <c r="T36" s="12" t="inlineStr">
        <is>
          <t>Rapprochement sur le segment des têtes pour brosses à piles et le prix par tête. Tête de rechange du segment brosses à piles, benchmark du prix par tête en entrée de gamme.</t>
        </is>
      </c>
      <c r="U36" s="14" t="n"/>
      <c r="V36" s="14" t="n"/>
      <c r="W36" s="15" t="n"/>
      <c r="X36" s="16" t="n"/>
      <c r="Y36" s="15" t="n"/>
      <c r="Z36" s="17">
        <f>IF(OR(V36="",U36=""),"",V36-U36)</f>
        <v/>
      </c>
      <c r="AA36" s="18">
        <f>IF(OR(V36="",U36="",U36=0),"",(V36-U36)/U36)</f>
        <v/>
      </c>
      <c r="AB36" s="19">
        <f>IF(AA36="","",IF(AA36&lt;-0.05,"Moins cher",IF(AA36&gt;0.05,"Plus cher","Équivalent")))</f>
        <v/>
      </c>
    </row>
    <row r="37">
      <c r="A37" s="20" t="inlineStr">
        <is>
          <t>SG-G049</t>
        </is>
      </c>
      <c r="B37" s="20" t="inlineStr">
        <is>
          <t>Tête de brosse</t>
        </is>
      </c>
      <c r="C37" s="20" t="inlineStr">
        <is>
          <t>Tête large</t>
        </is>
      </c>
      <c r="D37" s="20" t="inlineStr">
        <is>
          <t>Tenon métal</t>
        </is>
      </c>
      <c r="E37" s="24" t="inlineStr">
        <is>
          <t>Séries à tenon métal</t>
        </is>
      </c>
      <c r="F37" s="25" t="n">
        <v>50</v>
      </c>
      <c r="G37" s="12" t="inlineStr">
        <is>
          <t>360 Deep Clean, têtes de rechange</t>
        </is>
      </c>
      <c r="H37" s="12" t="inlineStr">
        <is>
          <t>Colgate</t>
        </is>
      </c>
      <c r="I37" s="12" t="inlineStr">
        <is>
          <t>Tête sonique pour brosse à piles</t>
        </is>
      </c>
      <c r="J37" s="29" t="inlineStr">
        <is>
          <t>N/D</t>
        </is>
      </c>
      <c r="K37" s="29" t="inlineStr">
        <is>
          <t>N/D</t>
        </is>
      </c>
      <c r="L37" s="29" t="inlineStr">
        <is>
          <t>N/D</t>
        </is>
      </c>
      <c r="M37" s="29" t="inlineStr">
        <is>
          <t>N/D</t>
        </is>
      </c>
      <c r="N37" s="29" t="inlineStr">
        <is>
          <t>N/D</t>
        </is>
      </c>
      <c r="O37" s="29" t="inlineStr">
        <is>
          <t>N/D</t>
        </is>
      </c>
      <c r="P37" s="12" t="inlineStr">
        <is>
          <t>Non vérifié sur les marchés cibles (marque largement distribuée)</t>
        </is>
      </c>
      <c r="Q37" s="12" t="inlineStr">
        <is>
          <t>GMS, pharmacies</t>
        </is>
      </c>
      <c r="R37" s="13" t="inlineStr">
        <is>
          <t>https://www.colgate.com/en-my/products/toothbrush/colgate-proclinical-150-deepclean-battery-powered-toothbrush</t>
        </is>
      </c>
      <c r="S37" s="13" t="inlineStr">
        <is>
          <t>https://www.colgate.com/en-my/products/toothbrush/colgate-proclinical-150-charcoal-battery-powered-toothbrush</t>
        </is>
      </c>
      <c r="T37" s="12" t="inlineStr">
        <is>
          <t>Rapprochement sur le segment des têtes pour brosses à piles et le prix par tête. Tête de rechange du segment brosses à piles, benchmark du prix par tête en entrée de gamme.</t>
        </is>
      </c>
      <c r="U37" s="14" t="n"/>
      <c r="V37" s="14" t="n"/>
      <c r="W37" s="15" t="n"/>
      <c r="X37" s="16" t="n"/>
      <c r="Y37" s="15" t="n"/>
      <c r="Z37" s="17">
        <f>IF(OR(V37="",U37=""),"",V37-U37)</f>
        <v/>
      </c>
      <c r="AA37" s="18">
        <f>IF(OR(V37="",U37="",U37=0),"",(V37-U37)/U37)</f>
        <v/>
      </c>
      <c r="AB37" s="19">
        <f>IF(AA37="","",IF(AA37&lt;-0.05,"Moins cher",IF(AA37&gt;0.05,"Plus cher","Équivalent")))</f>
        <v/>
      </c>
    </row>
    <row r="38">
      <c r="A38" s="5" t="inlineStr">
        <is>
          <t>SG-i026</t>
        </is>
      </c>
      <c r="B38" s="5" t="inlineStr">
        <is>
          <t>Tête de brosse</t>
        </is>
      </c>
      <c r="C38" s="5" t="inlineStr">
        <is>
          <t>Tête standard</t>
        </is>
      </c>
      <c r="D38" s="32" t="inlineStr">
        <is>
          <t>N/D</t>
        </is>
      </c>
      <c r="E38" s="10" t="inlineStr">
        <is>
          <t>SG-932, SG-956</t>
        </is>
      </c>
      <c r="F38" s="11" t="n">
        <v>50</v>
      </c>
      <c r="G38" s="12" t="inlineStr">
        <is>
          <t>Sonicare C3 Premium Plaque Control (pack de 4)</t>
        </is>
      </c>
      <c r="H38" s="12" t="inlineStr">
        <is>
          <t>Philips</t>
        </is>
      </c>
      <c r="I38" s="12" t="inlineStr">
        <is>
          <t>Tête sonique standard</t>
        </is>
      </c>
      <c r="J38" s="29" t="inlineStr">
        <is>
          <t>N/D</t>
        </is>
      </c>
      <c r="K38" s="29" t="inlineStr">
        <is>
          <t>N/D</t>
        </is>
      </c>
      <c r="L38" s="29" t="inlineStr">
        <is>
          <t>N/D</t>
        </is>
      </c>
      <c r="M38" s="29" t="inlineStr">
        <is>
          <t>N/D</t>
        </is>
      </c>
      <c r="N38" s="29" t="inlineStr">
        <is>
          <t>N/D</t>
        </is>
      </c>
      <c r="O38" s="29" t="inlineStr">
        <is>
          <t>N/D</t>
        </is>
      </c>
      <c r="P38" s="12" t="inlineStr">
        <is>
          <t>EAU (Noon, gamme Sonicare vérifiée)</t>
        </is>
      </c>
      <c r="Q38" s="12" t="inlineStr">
        <is>
          <t>Noon UAE, pharmacies</t>
        </is>
      </c>
      <c r="R38" s="13" t="inlineStr">
        <is>
          <t>https://www.usa.philips.com/c-p/HX6810_50/sonicare-protectiveclean-4100-sonic-electric-toothbrush/partsandaccessories</t>
        </is>
      </c>
      <c r="S38" s="13" t="inlineStr">
        <is>
          <t>https://www.ebay.com/itm/277611730525</t>
        </is>
      </c>
      <c r="T38" s="12" t="inlineStr">
        <is>
          <t>Rapprochement sur le segment des têtes soniques standard. La comparaison porte sur le prix par tête, pas sur la compatibilité mécanique. Tête à puce BrushSync. Benchmark du prix par tête sur le segment sonique premium.</t>
        </is>
      </c>
      <c r="U38" s="14" t="n"/>
      <c r="V38" s="14" t="n"/>
      <c r="W38" s="15" t="n"/>
      <c r="X38" s="16" t="n"/>
      <c r="Y38" s="15" t="n"/>
      <c r="Z38" s="17">
        <f>IF(OR(V38="",U38=""),"",V38-U38)</f>
        <v/>
      </c>
      <c r="AA38" s="18">
        <f>IF(OR(V38="",U38="",U38=0),"",(V38-U38)/U38)</f>
        <v/>
      </c>
      <c r="AB38" s="19">
        <f>IF(AA38="","",IF(AA38&lt;-0.05,"Moins cher",IF(AA38&gt;0.05,"Plus cher","Équivalent")))</f>
        <v/>
      </c>
    </row>
    <row r="39">
      <c r="A39" s="20" t="inlineStr">
        <is>
          <t>SG-i932</t>
        </is>
      </c>
      <c r="B39" s="20" t="inlineStr">
        <is>
          <t>Tête de brosse</t>
        </is>
      </c>
      <c r="C39" s="20" t="inlineStr">
        <is>
          <t>Tête standard</t>
        </is>
      </c>
      <c r="D39" s="28" t="inlineStr">
        <is>
          <t>N/D</t>
        </is>
      </c>
      <c r="E39" s="24" t="inlineStr">
        <is>
          <t>SG-932, SG-956</t>
        </is>
      </c>
      <c r="F39" s="25" t="n">
        <v>50</v>
      </c>
      <c r="G39" s="12" t="inlineStr">
        <is>
          <t>Sonicare C3 Premium Plaque Control (pack de 4)</t>
        </is>
      </c>
      <c r="H39" s="12" t="inlineStr">
        <is>
          <t>Philips</t>
        </is>
      </c>
      <c r="I39" s="12" t="inlineStr">
        <is>
          <t>Tête sonique standard</t>
        </is>
      </c>
      <c r="J39" s="29" t="inlineStr">
        <is>
          <t>N/D</t>
        </is>
      </c>
      <c r="K39" s="29" t="inlineStr">
        <is>
          <t>N/D</t>
        </is>
      </c>
      <c r="L39" s="29" t="inlineStr">
        <is>
          <t>N/D</t>
        </is>
      </c>
      <c r="M39" s="29" t="inlineStr">
        <is>
          <t>N/D</t>
        </is>
      </c>
      <c r="N39" s="29" t="inlineStr">
        <is>
          <t>N/D</t>
        </is>
      </c>
      <c r="O39" s="29" t="inlineStr">
        <is>
          <t>N/D</t>
        </is>
      </c>
      <c r="P39" s="12" t="inlineStr">
        <is>
          <t>EAU (Noon, gamme Sonicare vérifiée)</t>
        </is>
      </c>
      <c r="Q39" s="12" t="inlineStr">
        <is>
          <t>Noon UAE, pharmacies</t>
        </is>
      </c>
      <c r="R39" s="13" t="inlineStr">
        <is>
          <t>https://www.usa.philips.com/c-p/HX6810_50/sonicare-protectiveclean-4100-sonic-electric-toothbrush/partsandaccessories</t>
        </is>
      </c>
      <c r="S39" s="13" t="inlineStr">
        <is>
          <t>https://www.ebay.com/itm/277611730525</t>
        </is>
      </c>
      <c r="T39" s="12" t="inlineStr">
        <is>
          <t>Rapprochement sur le segment des têtes soniques standard. La comparaison porte sur le prix par tête, pas sur la compatibilité mécanique. Tête à puce BrushSync. Benchmark du prix par tête sur le segment sonique premium.</t>
        </is>
      </c>
      <c r="U39" s="14" t="n"/>
      <c r="V39" s="14" t="n"/>
      <c r="W39" s="15" t="n"/>
      <c r="X39" s="16" t="n"/>
      <c r="Y39" s="15" t="n"/>
      <c r="Z39" s="17">
        <f>IF(OR(V39="",U39=""),"",V39-U39)</f>
        <v/>
      </c>
      <c r="AA39" s="18">
        <f>IF(OR(V39="",U39="",U39=0),"",(V39-U39)/U39)</f>
        <v/>
      </c>
      <c r="AB39" s="19">
        <f>IF(AA39="","",IF(AA39&lt;-0.05,"Moins cher",IF(AA39&gt;0.05,"Plus cher","Équivalent")))</f>
        <v/>
      </c>
    </row>
    <row r="40">
      <c r="A40" s="5" t="inlineStr">
        <is>
          <t>SG-H025</t>
        </is>
      </c>
      <c r="B40" s="5" t="inlineStr">
        <is>
          <t>Tête de brosse</t>
        </is>
      </c>
      <c r="C40" s="5" t="inlineStr">
        <is>
          <t>Petite tête</t>
        </is>
      </c>
      <c r="D40" s="32" t="inlineStr">
        <is>
          <t>N/D</t>
        </is>
      </c>
      <c r="E40" s="10" t="inlineStr">
        <is>
          <t>SG-513, SG-2113, SG-976, SG-977, SG-2107, SG-921</t>
        </is>
      </c>
      <c r="F40" s="11" t="n">
        <v>61</v>
      </c>
      <c r="G40" s="12" t="inlineStr">
        <is>
          <t>Sonicare C3 Premium Plaque Control (pack de 4)</t>
        </is>
      </c>
      <c r="H40" s="12" t="inlineStr">
        <is>
          <t>Philips</t>
        </is>
      </c>
      <c r="I40" s="12" t="inlineStr">
        <is>
          <t>Tête sonique standard</t>
        </is>
      </c>
      <c r="J40" s="29" t="inlineStr">
        <is>
          <t>N/D</t>
        </is>
      </c>
      <c r="K40" s="29" t="inlineStr">
        <is>
          <t>N/D</t>
        </is>
      </c>
      <c r="L40" s="29" t="inlineStr">
        <is>
          <t>N/D</t>
        </is>
      </c>
      <c r="M40" s="29" t="inlineStr">
        <is>
          <t>N/D</t>
        </is>
      </c>
      <c r="N40" s="29" t="inlineStr">
        <is>
          <t>N/D</t>
        </is>
      </c>
      <c r="O40" s="29" t="inlineStr">
        <is>
          <t>N/D</t>
        </is>
      </c>
      <c r="P40" s="12" t="inlineStr">
        <is>
          <t>EAU (Noon, gamme Sonicare vérifiée)</t>
        </is>
      </c>
      <c r="Q40" s="12" t="inlineStr">
        <is>
          <t>Noon UAE, pharmacies</t>
        </is>
      </c>
      <c r="R40" s="13" t="inlineStr">
        <is>
          <t>https://www.usa.philips.com/c-p/HX6810_50/sonicare-protectiveclean-4100-sonic-electric-toothbrush/partsandaccessories</t>
        </is>
      </c>
      <c r="S40" s="13" t="inlineStr">
        <is>
          <t>https://www.ebay.com/itm/277611730525</t>
        </is>
      </c>
      <c r="T40" s="12" t="inlineStr">
        <is>
          <t>Rapprochement sur le segment des têtes soniques standard. La comparaison porte sur le prix par tête, pas sur la compatibilité mécanique. Tête à puce BrushSync. Benchmark du prix par tête sur le segment sonique premium.</t>
        </is>
      </c>
      <c r="U40" s="14" t="n"/>
      <c r="V40" s="14" t="n"/>
      <c r="W40" s="15" t="n"/>
      <c r="X40" s="16" t="n"/>
      <c r="Y40" s="15" t="n"/>
      <c r="Z40" s="17">
        <f>IF(OR(V40="",U40=""),"",V40-U40)</f>
        <v/>
      </c>
      <c r="AA40" s="18">
        <f>IF(OR(V40="",U40="",U40=0),"",(V40-U40)/U40)</f>
        <v/>
      </c>
      <c r="AB40" s="19">
        <f>IF(AA40="","",IF(AA40&lt;-0.05,"Moins cher",IF(AA40&gt;0.05,"Plus cher","Équivalent")))</f>
        <v/>
      </c>
    </row>
    <row r="41">
      <c r="A41" s="20" t="inlineStr">
        <is>
          <t>SG-H037</t>
        </is>
      </c>
      <c r="B41" s="20" t="inlineStr">
        <is>
          <t>Tête de brosse</t>
        </is>
      </c>
      <c r="C41" s="20" t="inlineStr">
        <is>
          <t>Tête medium</t>
        </is>
      </c>
      <c r="D41" s="28" t="inlineStr">
        <is>
          <t>N/D</t>
        </is>
      </c>
      <c r="E41" s="24" t="inlineStr">
        <is>
          <t>SG-513, SG-2113, SG-976, SG-977, SG-2107, SG-921</t>
        </is>
      </c>
      <c r="F41" s="25" t="n">
        <v>61</v>
      </c>
      <c r="G41" s="12" t="inlineStr">
        <is>
          <t>Sonicare C3 Premium Plaque Control (pack de 4)</t>
        </is>
      </c>
      <c r="H41" s="12" t="inlineStr">
        <is>
          <t>Philips</t>
        </is>
      </c>
      <c r="I41" s="12" t="inlineStr">
        <is>
          <t>Tête sonique standard</t>
        </is>
      </c>
      <c r="J41" s="29" t="inlineStr">
        <is>
          <t>N/D</t>
        </is>
      </c>
      <c r="K41" s="29" t="inlineStr">
        <is>
          <t>N/D</t>
        </is>
      </c>
      <c r="L41" s="29" t="inlineStr">
        <is>
          <t>N/D</t>
        </is>
      </c>
      <c r="M41" s="29" t="inlineStr">
        <is>
          <t>N/D</t>
        </is>
      </c>
      <c r="N41" s="29" t="inlineStr">
        <is>
          <t>N/D</t>
        </is>
      </c>
      <c r="O41" s="29" t="inlineStr">
        <is>
          <t>N/D</t>
        </is>
      </c>
      <c r="P41" s="12" t="inlineStr">
        <is>
          <t>EAU (Noon, gamme Sonicare vérifiée)</t>
        </is>
      </c>
      <c r="Q41" s="12" t="inlineStr">
        <is>
          <t>Noon UAE, pharmacies</t>
        </is>
      </c>
      <c r="R41" s="13" t="inlineStr">
        <is>
          <t>https://www.usa.philips.com/c-p/HX6810_50/sonicare-protectiveclean-4100-sonic-electric-toothbrush/partsandaccessories</t>
        </is>
      </c>
      <c r="S41" s="13" t="inlineStr">
        <is>
          <t>https://www.ebay.com/itm/277611730525</t>
        </is>
      </c>
      <c r="T41" s="12" t="inlineStr">
        <is>
          <t>Rapprochement sur le segment des têtes soniques standard. La comparaison porte sur le prix par tête, pas sur la compatibilité mécanique. Tête à puce BrushSync. Benchmark du prix par tête sur le segment sonique premium.</t>
        </is>
      </c>
      <c r="U41" s="14" t="n"/>
      <c r="V41" s="14" t="n"/>
      <c r="W41" s="15" t="n"/>
      <c r="X41" s="16" t="n"/>
      <c r="Y41" s="15" t="n"/>
      <c r="Z41" s="17">
        <f>IF(OR(V41="",U41=""),"",V41-U41)</f>
        <v/>
      </c>
      <c r="AA41" s="18">
        <f>IF(OR(V41="",U41="",U41=0),"",(V41-U41)/U41)</f>
        <v/>
      </c>
      <c r="AB41" s="19">
        <f>IF(AA41="","",IF(AA41&lt;-0.05,"Moins cher",IF(AA41&gt;0.05,"Plus cher","Équivalent")))</f>
        <v/>
      </c>
    </row>
    <row r="42">
      <c r="A42" s="5" t="inlineStr">
        <is>
          <t>SG-H047</t>
        </is>
      </c>
      <c r="B42" s="5" t="inlineStr">
        <is>
          <t>Tête de brosse</t>
        </is>
      </c>
      <c r="C42" s="5" t="inlineStr">
        <is>
          <t>Petite tête avec gratte-langue</t>
        </is>
      </c>
      <c r="D42" s="32" t="inlineStr">
        <is>
          <t>N/D</t>
        </is>
      </c>
      <c r="E42" s="10" t="inlineStr">
        <is>
          <t>SG-513, SG-2113, SG-976, SG-977, SG-2107, SG-921</t>
        </is>
      </c>
      <c r="F42" s="11" t="n">
        <v>61</v>
      </c>
      <c r="G42" s="12" t="inlineStr">
        <is>
          <t>Têtes de rechange P1 / Y1S / U3 / P4</t>
        </is>
      </c>
      <c r="H42" s="12" t="inlineStr">
        <is>
          <t>usmile</t>
        </is>
      </c>
      <c r="I42" s="12" t="inlineStr">
        <is>
          <t>Tête sonique avec brins témoins d'usure</t>
        </is>
      </c>
      <c r="J42" s="29" t="inlineStr">
        <is>
          <t>N/D</t>
        </is>
      </c>
      <c r="K42" s="29" t="inlineStr">
        <is>
          <t>N/D</t>
        </is>
      </c>
      <c r="L42" s="29" t="inlineStr">
        <is>
          <t>N/D</t>
        </is>
      </c>
      <c r="M42" s="29" t="inlineStr">
        <is>
          <t>N/D</t>
        </is>
      </c>
      <c r="N42" s="29" t="inlineStr">
        <is>
          <t>N/D</t>
        </is>
      </c>
      <c r="O42" s="29" t="inlineStr">
        <is>
          <t>N/D</t>
        </is>
      </c>
      <c r="P42" s="12" t="inlineStr">
        <is>
          <t>Non vérifié sur les marchés cibles</t>
        </is>
      </c>
      <c r="Q42" s="12" t="inlineStr">
        <is>
          <t>Marketplaces</t>
        </is>
      </c>
      <c r="R42" s="13" t="inlineStr">
        <is>
          <t>https://www.amazon.com/usmile-Replacement-Toothbrush-Electric-Reminder/dp/B09D3SHP7K</t>
        </is>
      </c>
      <c r="S42" s="13" t="inlineStr">
        <is>
          <t>https://usmile.us/products/usmile-whitening-brush-head-2-packs</t>
        </is>
      </c>
      <c r="T42" s="12" t="inlineStr">
        <is>
          <t>Rapprochement sur les têtes soniques à fonction additionnelle et le prix par tête. Brins témoins qui décolorent à l'usure, argument de renouvellement récurrent.</t>
        </is>
      </c>
      <c r="U42" s="14" t="n"/>
      <c r="V42" s="14" t="n"/>
      <c r="W42" s="15" t="n"/>
      <c r="X42" s="16" t="n"/>
      <c r="Y42" s="15" t="n"/>
      <c r="Z42" s="17">
        <f>IF(OR(V42="",U42=""),"",V42-U42)</f>
        <v/>
      </c>
      <c r="AA42" s="18">
        <f>IF(OR(V42="",U42="",U42=0),"",(V42-U42)/U42)</f>
        <v/>
      </c>
      <c r="AB42" s="19">
        <f>IF(AA42="","",IF(AA42&lt;-0.05,"Moins cher",IF(AA42&gt;0.05,"Plus cher","Équivalent")))</f>
        <v/>
      </c>
    </row>
    <row r="43">
      <c r="A43" s="20" t="inlineStr">
        <is>
          <t>SG-H923</t>
        </is>
      </c>
      <c r="B43" s="20" t="inlineStr">
        <is>
          <t>Tête de brosse</t>
        </is>
      </c>
      <c r="C43" s="20" t="inlineStr">
        <is>
          <t>Grande tête</t>
        </is>
      </c>
      <c r="D43" s="28" t="inlineStr">
        <is>
          <t>N/D</t>
        </is>
      </c>
      <c r="E43" s="24" t="inlineStr">
        <is>
          <t>SG-513, SG-2113, SG-976, SG-977, SG-2107, SG-921</t>
        </is>
      </c>
      <c r="F43" s="25" t="n">
        <v>61</v>
      </c>
      <c r="G43" s="12" t="inlineStr">
        <is>
          <t>Sonicare C3 Premium Plaque Control (pack de 4)</t>
        </is>
      </c>
      <c r="H43" s="12" t="inlineStr">
        <is>
          <t>Philips</t>
        </is>
      </c>
      <c r="I43" s="12" t="inlineStr">
        <is>
          <t>Tête sonique standard</t>
        </is>
      </c>
      <c r="J43" s="29" t="inlineStr">
        <is>
          <t>N/D</t>
        </is>
      </c>
      <c r="K43" s="29" t="inlineStr">
        <is>
          <t>N/D</t>
        </is>
      </c>
      <c r="L43" s="29" t="inlineStr">
        <is>
          <t>N/D</t>
        </is>
      </c>
      <c r="M43" s="29" t="inlineStr">
        <is>
          <t>N/D</t>
        </is>
      </c>
      <c r="N43" s="29" t="inlineStr">
        <is>
          <t>N/D</t>
        </is>
      </c>
      <c r="O43" s="29" t="inlineStr">
        <is>
          <t>N/D</t>
        </is>
      </c>
      <c r="P43" s="12" t="inlineStr">
        <is>
          <t>EAU (Noon, gamme Sonicare vérifiée)</t>
        </is>
      </c>
      <c r="Q43" s="12" t="inlineStr">
        <is>
          <t>Noon UAE, pharmacies</t>
        </is>
      </c>
      <c r="R43" s="13" t="inlineStr">
        <is>
          <t>https://www.usa.philips.com/c-p/HX6810_50/sonicare-protectiveclean-4100-sonic-electric-toothbrush/partsandaccessories</t>
        </is>
      </c>
      <c r="S43" s="13" t="inlineStr">
        <is>
          <t>https://www.ebay.com/itm/277611730525</t>
        </is>
      </c>
      <c r="T43" s="12" t="inlineStr">
        <is>
          <t>Rapprochement sur le segment des têtes soniques standard. La comparaison porte sur le prix par tête, pas sur la compatibilité mécanique. Tête à puce BrushSync. Benchmark du prix par tête sur le segment sonique premium.</t>
        </is>
      </c>
      <c r="U43" s="14" t="n"/>
      <c r="V43" s="14" t="n"/>
      <c r="W43" s="15" t="n"/>
      <c r="X43" s="16" t="n"/>
      <c r="Y43" s="15" t="n"/>
      <c r="Z43" s="17">
        <f>IF(OR(V43="",U43=""),"",V43-U43)</f>
        <v/>
      </c>
      <c r="AA43" s="18">
        <f>IF(OR(V43="",U43="",U43=0),"",(V43-U43)/U43)</f>
        <v/>
      </c>
      <c r="AB43" s="19">
        <f>IF(AA43="","",IF(AA43&lt;-0.05,"Moins cher",IF(AA43&gt;0.05,"Plus cher","Équivalent")))</f>
        <v/>
      </c>
    </row>
    <row r="44">
      <c r="A44" s="5" t="inlineStr">
        <is>
          <t>SG-H029</t>
        </is>
      </c>
      <c r="B44" s="5" t="inlineStr">
        <is>
          <t>Tête de brosse</t>
        </is>
      </c>
      <c r="C44" s="5" t="inlineStr">
        <is>
          <t>Tête interdentaire</t>
        </is>
      </c>
      <c r="D44" s="32" t="inlineStr">
        <is>
          <t>N/D</t>
        </is>
      </c>
      <c r="E44" s="10" t="inlineStr">
        <is>
          <t>SG-513, SG-2113, SG-976, SG-977, SG-2107, SG-921</t>
        </is>
      </c>
      <c r="F44" s="11" t="n">
        <v>61</v>
      </c>
      <c r="G44" s="12" t="inlineStr">
        <is>
          <t>Sonicare C3 Premium Plaque Control (pack de 4)</t>
        </is>
      </c>
      <c r="H44" s="12" t="inlineStr">
        <is>
          <t>Philips</t>
        </is>
      </c>
      <c r="I44" s="12" t="inlineStr">
        <is>
          <t>Tête sonique standard</t>
        </is>
      </c>
      <c r="J44" s="29" t="inlineStr">
        <is>
          <t>N/D</t>
        </is>
      </c>
      <c r="K44" s="29" t="inlineStr">
        <is>
          <t>N/D</t>
        </is>
      </c>
      <c r="L44" s="29" t="inlineStr">
        <is>
          <t>N/D</t>
        </is>
      </c>
      <c r="M44" s="29" t="inlineStr">
        <is>
          <t>N/D</t>
        </is>
      </c>
      <c r="N44" s="29" t="inlineStr">
        <is>
          <t>N/D</t>
        </is>
      </c>
      <c r="O44" s="29" t="inlineStr">
        <is>
          <t>N/D</t>
        </is>
      </c>
      <c r="P44" s="12" t="inlineStr">
        <is>
          <t>EAU (Noon, gamme Sonicare vérifiée)</t>
        </is>
      </c>
      <c r="Q44" s="12" t="inlineStr">
        <is>
          <t>Noon UAE, pharmacies</t>
        </is>
      </c>
      <c r="R44" s="13" t="inlineStr">
        <is>
          <t>https://www.usa.philips.com/c-p/HX6810_50/sonicare-protectiveclean-4100-sonic-electric-toothbrush/partsandaccessories</t>
        </is>
      </c>
      <c r="S44" s="13" t="inlineStr">
        <is>
          <t>https://www.ebay.com/itm/277611730525</t>
        </is>
      </c>
      <c r="T44" s="12" t="inlineStr">
        <is>
          <t>Rapprochement sur le segment des têtes soniques standard. La comparaison porte sur le prix par tête, pas sur la compatibilité mécanique. Tête à puce BrushSync. Benchmark du prix par tête sur le segment sonique premium.</t>
        </is>
      </c>
      <c r="U44" s="14" t="n"/>
      <c r="V44" s="14" t="n"/>
      <c r="W44" s="15" t="n"/>
      <c r="X44" s="16" t="n"/>
      <c r="Y44" s="15" t="n"/>
      <c r="Z44" s="17">
        <f>IF(OR(V44="",U44=""),"",V44-U44)</f>
        <v/>
      </c>
      <c r="AA44" s="18">
        <f>IF(OR(V44="",U44="",U44=0),"",(V44-U44)/U44)</f>
        <v/>
      </c>
      <c r="AB44" s="19">
        <f>IF(AA44="","",IF(AA44&lt;-0.05,"Moins cher",IF(AA44&gt;0.05,"Plus cher","Équivalent")))</f>
        <v/>
      </c>
    </row>
    <row r="45">
      <c r="A45" s="20" t="inlineStr">
        <is>
          <t>SG-H039</t>
        </is>
      </c>
      <c r="B45" s="20" t="inlineStr">
        <is>
          <t>Tête de brosse</t>
        </is>
      </c>
      <c r="C45" s="20" t="inlineStr">
        <is>
          <t>Tête gratte-langue</t>
        </is>
      </c>
      <c r="D45" s="28" t="inlineStr">
        <is>
          <t>N/D</t>
        </is>
      </c>
      <c r="E45" s="24" t="inlineStr">
        <is>
          <t>SG-513, SG-2113, SG-976, SG-977, SG-2107, SG-921</t>
        </is>
      </c>
      <c r="F45" s="25" t="n">
        <v>61</v>
      </c>
      <c r="G45" s="12" t="inlineStr">
        <is>
          <t>Têtes de rechange P1 / Y1S / U3 / P4</t>
        </is>
      </c>
      <c r="H45" s="12" t="inlineStr">
        <is>
          <t>usmile</t>
        </is>
      </c>
      <c r="I45" s="12" t="inlineStr">
        <is>
          <t>Tête sonique avec brins témoins d'usure</t>
        </is>
      </c>
      <c r="J45" s="29" t="inlineStr">
        <is>
          <t>N/D</t>
        </is>
      </c>
      <c r="K45" s="29" t="inlineStr">
        <is>
          <t>N/D</t>
        </is>
      </c>
      <c r="L45" s="29" t="inlineStr">
        <is>
          <t>N/D</t>
        </is>
      </c>
      <c r="M45" s="29" t="inlineStr">
        <is>
          <t>N/D</t>
        </is>
      </c>
      <c r="N45" s="29" t="inlineStr">
        <is>
          <t>N/D</t>
        </is>
      </c>
      <c r="O45" s="29" t="inlineStr">
        <is>
          <t>N/D</t>
        </is>
      </c>
      <c r="P45" s="12" t="inlineStr">
        <is>
          <t>Non vérifié sur les marchés cibles</t>
        </is>
      </c>
      <c r="Q45" s="12" t="inlineStr">
        <is>
          <t>Marketplaces</t>
        </is>
      </c>
      <c r="R45" s="13" t="inlineStr">
        <is>
          <t>https://www.amazon.com/usmile-Replacement-Toothbrush-Electric-Reminder/dp/B09D3SHP7K</t>
        </is>
      </c>
      <c r="S45" s="13" t="inlineStr">
        <is>
          <t>https://usmile.us/products/usmile-whitening-brush-head-2-packs</t>
        </is>
      </c>
      <c r="T45" s="12" t="inlineStr">
        <is>
          <t>Rapprochement sur les têtes soniques à fonction additionnelle et le prix par tête. Brins témoins qui décolorent à l'usure, argument de renouvellement récurrent.</t>
        </is>
      </c>
      <c r="U45" s="14" t="n"/>
      <c r="V45" s="14" t="n"/>
      <c r="W45" s="15" t="n"/>
      <c r="X45" s="16" t="n"/>
      <c r="Y45" s="15" t="n"/>
      <c r="Z45" s="17">
        <f>IF(OR(V45="",U45=""),"",V45-U45)</f>
        <v/>
      </c>
      <c r="AA45" s="18">
        <f>IF(OR(V45="",U45="",U45=0),"",(V45-U45)/U45)</f>
        <v/>
      </c>
      <c r="AB45" s="19">
        <f>IF(AA45="","",IF(AA45&lt;-0.05,"Moins cher",IF(AA45&gt;0.05,"Plus cher","Équivalent")))</f>
        <v/>
      </c>
    </row>
    <row r="46">
      <c r="A46" s="5" t="inlineStr">
        <is>
          <t>SG-H046</t>
        </is>
      </c>
      <c r="B46" s="5" t="inlineStr">
        <is>
          <t>Tête de brosse</t>
        </is>
      </c>
      <c r="C46" s="5" t="inlineStr">
        <is>
          <t>Tête massage des gencives</t>
        </is>
      </c>
      <c r="D46" s="32" t="inlineStr">
        <is>
          <t>N/D</t>
        </is>
      </c>
      <c r="E46" s="10" t="inlineStr">
        <is>
          <t>SG-513, SG-2113, SG-976, SG-977, SG-2107, SG-921</t>
        </is>
      </c>
      <c r="F46" s="11" t="n">
        <v>61</v>
      </c>
      <c r="G46" s="12" t="inlineStr">
        <is>
          <t>Sonicare C3 Premium Plaque Control (pack de 4)</t>
        </is>
      </c>
      <c r="H46" s="12" t="inlineStr">
        <is>
          <t>Philips</t>
        </is>
      </c>
      <c r="I46" s="12" t="inlineStr">
        <is>
          <t>Tête sonique standard</t>
        </is>
      </c>
      <c r="J46" s="29" t="inlineStr">
        <is>
          <t>N/D</t>
        </is>
      </c>
      <c r="K46" s="29" t="inlineStr">
        <is>
          <t>N/D</t>
        </is>
      </c>
      <c r="L46" s="29" t="inlineStr">
        <is>
          <t>N/D</t>
        </is>
      </c>
      <c r="M46" s="29" t="inlineStr">
        <is>
          <t>N/D</t>
        </is>
      </c>
      <c r="N46" s="29" t="inlineStr">
        <is>
          <t>N/D</t>
        </is>
      </c>
      <c r="O46" s="29" t="inlineStr">
        <is>
          <t>N/D</t>
        </is>
      </c>
      <c r="P46" s="12" t="inlineStr">
        <is>
          <t>EAU (Noon, gamme Sonicare vérifiée)</t>
        </is>
      </c>
      <c r="Q46" s="12" t="inlineStr">
        <is>
          <t>Noon UAE, pharmacies</t>
        </is>
      </c>
      <c r="R46" s="13" t="inlineStr">
        <is>
          <t>https://www.usa.philips.com/c-p/HX6810_50/sonicare-protectiveclean-4100-sonic-electric-toothbrush/partsandaccessories</t>
        </is>
      </c>
      <c r="S46" s="13" t="inlineStr">
        <is>
          <t>https://www.ebay.com/itm/277611730525</t>
        </is>
      </c>
      <c r="T46" s="12" t="inlineStr">
        <is>
          <t>Rapprochement sur le segment des têtes soniques standard. La comparaison porte sur le prix par tête, pas sur la compatibilité mécanique. Tête à puce BrushSync. Benchmark du prix par tête sur le segment sonique premium.</t>
        </is>
      </c>
      <c r="U46" s="14" t="n"/>
      <c r="V46" s="14" t="n"/>
      <c r="W46" s="15" t="n"/>
      <c r="X46" s="16" t="n"/>
      <c r="Y46" s="15" t="n"/>
      <c r="Z46" s="17">
        <f>IF(OR(V46="",U46=""),"",V46-U46)</f>
        <v/>
      </c>
      <c r="AA46" s="18">
        <f>IF(OR(V46="",U46="",U46=0),"",(V46-U46)/U46)</f>
        <v/>
      </c>
      <c r="AB46" s="19">
        <f>IF(AA46="","",IF(AA46&lt;-0.05,"Moins cher",IF(AA46&gt;0.05,"Plus cher","Équivalent")))</f>
        <v/>
      </c>
    </row>
    <row r="47">
      <c r="A47" s="20" t="inlineStr">
        <is>
          <t>SG-H052</t>
        </is>
      </c>
      <c r="B47" s="20" t="inlineStr">
        <is>
          <t>Tête de brosse</t>
        </is>
      </c>
      <c r="C47" s="20" t="inlineStr">
        <is>
          <t>Tête miroir d'observation</t>
        </is>
      </c>
      <c r="D47" s="28" t="inlineStr">
        <is>
          <t>N/D</t>
        </is>
      </c>
      <c r="E47" s="24" t="inlineStr">
        <is>
          <t>SG-513, SG-2113, SG-976, SG-977, SG-2107, SG-921</t>
        </is>
      </c>
      <c r="F47" s="25" t="n">
        <v>61</v>
      </c>
      <c r="G47" s="12" t="inlineStr">
        <is>
          <t>Sonicare C3 Premium Plaque Control (pack de 4)</t>
        </is>
      </c>
      <c r="H47" s="12" t="inlineStr">
        <is>
          <t>Philips</t>
        </is>
      </c>
      <c r="I47" s="12" t="inlineStr">
        <is>
          <t>Tête sonique standard</t>
        </is>
      </c>
      <c r="J47" s="29" t="inlineStr">
        <is>
          <t>N/D</t>
        </is>
      </c>
      <c r="K47" s="29" t="inlineStr">
        <is>
          <t>N/D</t>
        </is>
      </c>
      <c r="L47" s="29" t="inlineStr">
        <is>
          <t>N/D</t>
        </is>
      </c>
      <c r="M47" s="29" t="inlineStr">
        <is>
          <t>N/D</t>
        </is>
      </c>
      <c r="N47" s="29" t="inlineStr">
        <is>
          <t>N/D</t>
        </is>
      </c>
      <c r="O47" s="29" t="inlineStr">
        <is>
          <t>N/D</t>
        </is>
      </c>
      <c r="P47" s="12" t="inlineStr">
        <is>
          <t>EAU (Noon, gamme Sonicare vérifiée)</t>
        </is>
      </c>
      <c r="Q47" s="12" t="inlineStr">
        <is>
          <t>Noon UAE, pharmacies</t>
        </is>
      </c>
      <c r="R47" s="13" t="inlineStr">
        <is>
          <t>https://www.usa.philips.com/c-p/HX6810_50/sonicare-protectiveclean-4100-sonic-electric-toothbrush/partsandaccessories</t>
        </is>
      </c>
      <c r="S47" s="13" t="inlineStr">
        <is>
          <t>https://www.ebay.com/itm/277611730525</t>
        </is>
      </c>
      <c r="T47" s="12" t="inlineStr">
        <is>
          <t>Rapprochement sur le segment des têtes soniques standard. La comparaison porte sur le prix par tête, pas sur la compatibilité mécanique. Tête à puce BrushSync. Benchmark du prix par tête sur le segment sonique premium.</t>
        </is>
      </c>
      <c r="U47" s="14" t="n"/>
      <c r="V47" s="14" t="n"/>
      <c r="W47" s="15" t="n"/>
      <c r="X47" s="16" t="n"/>
      <c r="Y47" s="15" t="n"/>
      <c r="Z47" s="17">
        <f>IF(OR(V47="",U47=""),"",V47-U47)</f>
        <v/>
      </c>
      <c r="AA47" s="18">
        <f>IF(OR(V47="",U47="",U47=0),"",(V47-U47)/U47)</f>
        <v/>
      </c>
      <c r="AB47" s="19">
        <f>IF(AA47="","",IF(AA47&lt;-0.05,"Moins cher",IF(AA47&gt;0.05,"Plus cher","Équivalent")))</f>
        <v/>
      </c>
    </row>
    <row r="48">
      <c r="A48" s="5" t="inlineStr">
        <is>
          <t>SG-D011</t>
        </is>
      </c>
      <c r="B48" s="5" t="inlineStr">
        <is>
          <t>Tête de brosse</t>
        </is>
      </c>
      <c r="C48" s="5" t="inlineStr">
        <is>
          <t>Tête standard avec gratte-langue</t>
        </is>
      </c>
      <c r="D48" s="32" t="inlineStr">
        <is>
          <t>N/D</t>
        </is>
      </c>
      <c r="E48" s="10" t="inlineStr">
        <is>
          <t>SG-2001, SG-2008</t>
        </is>
      </c>
      <c r="F48" s="11" t="n">
        <v>61</v>
      </c>
      <c r="G48" s="12" t="inlineStr">
        <is>
          <t>Têtes de rechange P1 / Y1S / U3 / P4</t>
        </is>
      </c>
      <c r="H48" s="12" t="inlineStr">
        <is>
          <t>usmile</t>
        </is>
      </c>
      <c r="I48" s="12" t="inlineStr">
        <is>
          <t>Tête sonique avec brins témoins d'usure</t>
        </is>
      </c>
      <c r="J48" s="29" t="inlineStr">
        <is>
          <t>N/D</t>
        </is>
      </c>
      <c r="K48" s="29" t="inlineStr">
        <is>
          <t>N/D</t>
        </is>
      </c>
      <c r="L48" s="29" t="inlineStr">
        <is>
          <t>N/D</t>
        </is>
      </c>
      <c r="M48" s="29" t="inlineStr">
        <is>
          <t>N/D</t>
        </is>
      </c>
      <c r="N48" s="29" t="inlineStr">
        <is>
          <t>N/D</t>
        </is>
      </c>
      <c r="O48" s="29" t="inlineStr">
        <is>
          <t>N/D</t>
        </is>
      </c>
      <c r="P48" s="12" t="inlineStr">
        <is>
          <t>Non vérifié sur les marchés cibles</t>
        </is>
      </c>
      <c r="Q48" s="12" t="inlineStr">
        <is>
          <t>Marketplaces</t>
        </is>
      </c>
      <c r="R48" s="13" t="inlineStr">
        <is>
          <t>https://www.amazon.com/usmile-Replacement-Toothbrush-Electric-Reminder/dp/B09D3SHP7K</t>
        </is>
      </c>
      <c r="S48" s="13" t="inlineStr">
        <is>
          <t>https://usmile.us/products/usmile-whitening-brush-head-2-packs</t>
        </is>
      </c>
      <c r="T48" s="12" t="inlineStr">
        <is>
          <t>Rapprochement sur les têtes soniques à fonction additionnelle et le prix par tête. Brins témoins qui décolorent à l'usure, argument de renouvellement récurrent.</t>
        </is>
      </c>
      <c r="U48" s="14" t="n"/>
      <c r="V48" s="14" t="n"/>
      <c r="W48" s="15" t="n"/>
      <c r="X48" s="16" t="n"/>
      <c r="Y48" s="15" t="n"/>
      <c r="Z48" s="17">
        <f>IF(OR(V48="",U48=""),"",V48-U48)</f>
        <v/>
      </c>
      <c r="AA48" s="18">
        <f>IF(OR(V48="",U48="",U48=0),"",(V48-U48)/U48)</f>
        <v/>
      </c>
      <c r="AB48" s="19">
        <f>IF(AA48="","",IF(AA48&lt;-0.05,"Moins cher",IF(AA48&gt;0.05,"Plus cher","Équivalent")))</f>
        <v/>
      </c>
    </row>
    <row r="49">
      <c r="A49" s="20" t="inlineStr">
        <is>
          <t>SG-D917</t>
        </is>
      </c>
      <c r="B49" s="20" t="inlineStr">
        <is>
          <t>Tête de brosse</t>
        </is>
      </c>
      <c r="C49" s="20" t="inlineStr">
        <is>
          <t>Tête standard</t>
        </is>
      </c>
      <c r="D49" s="28" t="inlineStr">
        <is>
          <t>N/D</t>
        </is>
      </c>
      <c r="E49" s="24" t="inlineStr">
        <is>
          <t>SG-2001, SG-2008</t>
        </is>
      </c>
      <c r="F49" s="25" t="n">
        <v>61</v>
      </c>
      <c r="G49" s="12" t="inlineStr">
        <is>
          <t>Sonicare C3 Premium Plaque Control (pack de 4)</t>
        </is>
      </c>
      <c r="H49" s="12" t="inlineStr">
        <is>
          <t>Philips</t>
        </is>
      </c>
      <c r="I49" s="12" t="inlineStr">
        <is>
          <t>Tête sonique standard</t>
        </is>
      </c>
      <c r="J49" s="29" t="inlineStr">
        <is>
          <t>N/D</t>
        </is>
      </c>
      <c r="K49" s="29" t="inlineStr">
        <is>
          <t>N/D</t>
        </is>
      </c>
      <c r="L49" s="29" t="inlineStr">
        <is>
          <t>N/D</t>
        </is>
      </c>
      <c r="M49" s="29" t="inlineStr">
        <is>
          <t>N/D</t>
        </is>
      </c>
      <c r="N49" s="29" t="inlineStr">
        <is>
          <t>N/D</t>
        </is>
      </c>
      <c r="O49" s="29" t="inlineStr">
        <is>
          <t>N/D</t>
        </is>
      </c>
      <c r="P49" s="12" t="inlineStr">
        <is>
          <t>EAU (Noon, gamme Sonicare vérifiée)</t>
        </is>
      </c>
      <c r="Q49" s="12" t="inlineStr">
        <is>
          <t>Noon UAE, pharmacies</t>
        </is>
      </c>
      <c r="R49" s="13" t="inlineStr">
        <is>
          <t>https://www.usa.philips.com/c-p/HX6810_50/sonicare-protectiveclean-4100-sonic-electric-toothbrush/partsandaccessories</t>
        </is>
      </c>
      <c r="S49" s="13" t="inlineStr">
        <is>
          <t>https://www.ebay.com/itm/277611730525</t>
        </is>
      </c>
      <c r="T49" s="12" t="inlineStr">
        <is>
          <t>Rapprochement sur le segment des têtes soniques standard. La comparaison porte sur le prix par tête, pas sur la compatibilité mécanique. Tête à puce BrushSync. Benchmark du prix par tête sur le segment sonique premium.</t>
        </is>
      </c>
      <c r="U49" s="14" t="n"/>
      <c r="V49" s="14" t="n"/>
      <c r="W49" s="15" t="n"/>
      <c r="X49" s="16" t="n"/>
      <c r="Y49" s="15" t="n"/>
      <c r="Z49" s="17">
        <f>IF(OR(V49="",U49=""),"",V49-U49)</f>
        <v/>
      </c>
      <c r="AA49" s="18">
        <f>IF(OR(V49="",U49="",U49=0),"",(V49-U49)/U49)</f>
        <v/>
      </c>
      <c r="AB49" s="19">
        <f>IF(AA49="","",IF(AA49&lt;-0.05,"Moins cher",IF(AA49&gt;0.05,"Plus cher","Équivalent")))</f>
        <v/>
      </c>
    </row>
    <row r="50">
      <c r="A50" s="5" t="inlineStr">
        <is>
          <t>SG-C093</t>
        </is>
      </c>
      <c r="B50" s="5" t="inlineStr">
        <is>
          <t>Tête de brosse</t>
        </is>
      </c>
      <c r="C50" s="5" t="inlineStr">
        <is>
          <t>Tête standard</t>
        </is>
      </c>
      <c r="D50" s="32" t="inlineStr">
        <is>
          <t>N/D</t>
        </is>
      </c>
      <c r="E50" s="10" t="inlineStr">
        <is>
          <t>SG-567, SG-2711</t>
        </is>
      </c>
      <c r="F50" s="11" t="n">
        <v>61</v>
      </c>
      <c r="G50" s="12" t="inlineStr">
        <is>
          <t>Sonicare C3 Premium Plaque Control (pack de 4)</t>
        </is>
      </c>
      <c r="H50" s="12" t="inlineStr">
        <is>
          <t>Philips</t>
        </is>
      </c>
      <c r="I50" s="12" t="inlineStr">
        <is>
          <t>Tête sonique standard</t>
        </is>
      </c>
      <c r="J50" s="29" t="inlineStr">
        <is>
          <t>N/D</t>
        </is>
      </c>
      <c r="K50" s="29" t="inlineStr">
        <is>
          <t>N/D</t>
        </is>
      </c>
      <c r="L50" s="29" t="inlineStr">
        <is>
          <t>N/D</t>
        </is>
      </c>
      <c r="M50" s="29" t="inlineStr">
        <is>
          <t>N/D</t>
        </is>
      </c>
      <c r="N50" s="29" t="inlineStr">
        <is>
          <t>N/D</t>
        </is>
      </c>
      <c r="O50" s="29" t="inlineStr">
        <is>
          <t>N/D</t>
        </is>
      </c>
      <c r="P50" s="12" t="inlineStr">
        <is>
          <t>EAU (Noon, gamme Sonicare vérifiée)</t>
        </is>
      </c>
      <c r="Q50" s="12" t="inlineStr">
        <is>
          <t>Noon UAE, pharmacies</t>
        </is>
      </c>
      <c r="R50" s="13" t="inlineStr">
        <is>
          <t>https://www.usa.philips.com/c-p/HX6810_50/sonicare-protectiveclean-4100-sonic-electric-toothbrush/partsandaccessories</t>
        </is>
      </c>
      <c r="S50" s="13" t="inlineStr">
        <is>
          <t>https://www.ebay.com/itm/277611730525</t>
        </is>
      </c>
      <c r="T50" s="12" t="inlineStr">
        <is>
          <t>Rapprochement sur le segment des têtes soniques standard. La comparaison porte sur le prix par tête, pas sur la compatibilité mécanique. Tête à puce BrushSync. Benchmark du prix par tête sur le segment sonique premium.</t>
        </is>
      </c>
      <c r="U50" s="14" t="n"/>
      <c r="V50" s="14" t="n"/>
      <c r="W50" s="15" t="n"/>
      <c r="X50" s="16" t="n"/>
      <c r="Y50" s="15" t="n"/>
      <c r="Z50" s="17">
        <f>IF(OR(V50="",U50=""),"",V50-U50)</f>
        <v/>
      </c>
      <c r="AA50" s="18">
        <f>IF(OR(V50="",U50="",U50=0),"",(V50-U50)/U50)</f>
        <v/>
      </c>
      <c r="AB50" s="19">
        <f>IF(AA50="","",IF(AA50&lt;-0.05,"Moins cher",IF(AA50&gt;0.05,"Plus cher","Équivalent")))</f>
        <v/>
      </c>
    </row>
    <row r="51">
      <c r="A51" s="20" t="inlineStr">
        <is>
          <t>SG-E001</t>
        </is>
      </c>
      <c r="B51" s="20" t="inlineStr">
        <is>
          <t>Tête de brosse</t>
        </is>
      </c>
      <c r="C51" s="20" t="inlineStr">
        <is>
          <t>Tête rotative</t>
        </is>
      </c>
      <c r="D51" s="28" t="inlineStr">
        <is>
          <t>N/D</t>
        </is>
      </c>
      <c r="E51" s="24" t="inlineStr">
        <is>
          <t>SG-913, SG-2004</t>
        </is>
      </c>
      <c r="F51" s="25" t="n">
        <v>67</v>
      </c>
      <c r="G51" s="12" t="inlineStr">
        <is>
          <t>CrossAction X-Filaments (pack de 3)</t>
        </is>
      </c>
      <c r="H51" s="12" t="inlineStr">
        <is>
          <t>Oral-B</t>
        </is>
      </c>
      <c r="I51" s="12" t="inlineStr">
        <is>
          <t>Tête rotative</t>
        </is>
      </c>
      <c r="J51" s="29" t="inlineStr">
        <is>
          <t>N/D</t>
        </is>
      </c>
      <c r="K51" s="29" t="inlineStr">
        <is>
          <t>N/D</t>
        </is>
      </c>
      <c r="L51" s="29" t="inlineStr">
        <is>
          <t>N/D</t>
        </is>
      </c>
      <c r="M51" s="29" t="inlineStr">
        <is>
          <t>N/D</t>
        </is>
      </c>
      <c r="N51" s="29" t="inlineStr">
        <is>
          <t>N/D</t>
        </is>
      </c>
      <c r="O51" s="29" t="inlineStr">
        <is>
          <t>N/D</t>
        </is>
      </c>
      <c r="P51" s="12" t="inlineStr">
        <is>
          <t>Côte d'Ivoire (Jumia, gamme Oral-B vérifiée)</t>
        </is>
      </c>
      <c r="Q51" s="12" t="inlineStr">
        <is>
          <t>Jumia CI, pharmacies, GMS</t>
        </is>
      </c>
      <c r="R51" s="13" t="inlineStr">
        <is>
          <t>https://oralb.com/en-us/products/replacement-brush-heads/oral-b-crossaction-x-filaments-replacement-brush-heads-refill-black-3-count/</t>
        </is>
      </c>
      <c r="S51" s="13" t="inlineStr">
        <is>
          <t>https://www.amazon.com/clp/B077B5GCF8</t>
        </is>
      </c>
      <c r="T51" s="12" t="inlineStr">
        <is>
          <t>Rapprochement sur la technologie de tête rotative et le prix par tête. Brins en X inclinés à 16 degrés. Benchmark du prix par tête sur le segment rotatif.</t>
        </is>
      </c>
      <c r="U51" s="14" t="n"/>
      <c r="V51" s="14" t="n"/>
      <c r="W51" s="15" t="n"/>
      <c r="X51" s="16" t="n"/>
      <c r="Y51" s="15" t="n"/>
      <c r="Z51" s="17">
        <f>IF(OR(V51="",U51=""),"",V51-U51)</f>
        <v/>
      </c>
      <c r="AA51" s="18">
        <f>IF(OR(V51="",U51="",U51=0),"",(V51-U51)/U51)</f>
        <v/>
      </c>
      <c r="AB51" s="19">
        <f>IF(AA51="","",IF(AA51&lt;-0.05,"Moins cher",IF(AA51&gt;0.05,"Plus cher","Équivalent")))</f>
        <v/>
      </c>
    </row>
    <row r="52">
      <c r="A52" s="5" t="inlineStr">
        <is>
          <t>SG-E002</t>
        </is>
      </c>
      <c r="B52" s="5" t="inlineStr">
        <is>
          <t>Tête de brosse</t>
        </is>
      </c>
      <c r="C52" s="5" t="inlineStr">
        <is>
          <t>Tête rotative</t>
        </is>
      </c>
      <c r="D52" s="32" t="inlineStr">
        <is>
          <t>N/D</t>
        </is>
      </c>
      <c r="E52" s="10" t="inlineStr">
        <is>
          <t>SG-913, SG-2004</t>
        </is>
      </c>
      <c r="F52" s="11" t="n">
        <v>67</v>
      </c>
      <c r="G52" s="12" t="inlineStr">
        <is>
          <t>CrossAction X-Filaments (pack de 3)</t>
        </is>
      </c>
      <c r="H52" s="12" t="inlineStr">
        <is>
          <t>Oral-B</t>
        </is>
      </c>
      <c r="I52" s="12" t="inlineStr">
        <is>
          <t>Tête rotative</t>
        </is>
      </c>
      <c r="J52" s="29" t="inlineStr">
        <is>
          <t>N/D</t>
        </is>
      </c>
      <c r="K52" s="29" t="inlineStr">
        <is>
          <t>N/D</t>
        </is>
      </c>
      <c r="L52" s="29" t="inlineStr">
        <is>
          <t>N/D</t>
        </is>
      </c>
      <c r="M52" s="29" t="inlineStr">
        <is>
          <t>N/D</t>
        </is>
      </c>
      <c r="N52" s="29" t="inlineStr">
        <is>
          <t>N/D</t>
        </is>
      </c>
      <c r="O52" s="29" t="inlineStr">
        <is>
          <t>N/D</t>
        </is>
      </c>
      <c r="P52" s="12" t="inlineStr">
        <is>
          <t>Côte d'Ivoire (Jumia, gamme Oral-B vérifiée)</t>
        </is>
      </c>
      <c r="Q52" s="12" t="inlineStr">
        <is>
          <t>Jumia CI, pharmacies, GMS</t>
        </is>
      </c>
      <c r="R52" s="13" t="inlineStr">
        <is>
          <t>https://oralb.com/en-us/products/replacement-brush-heads/oral-b-crossaction-x-filaments-replacement-brush-heads-refill-black-3-count/</t>
        </is>
      </c>
      <c r="S52" s="13" t="inlineStr">
        <is>
          <t>https://www.amazon.com/clp/B077B5GCF8</t>
        </is>
      </c>
      <c r="T52" s="12" t="inlineStr">
        <is>
          <t>Rapprochement sur la technologie de tête rotative et le prix par tête. Brins en X inclinés à 16 degrés. Benchmark du prix par tête sur le segment rotatif.</t>
        </is>
      </c>
      <c r="U52" s="14" t="n"/>
      <c r="V52" s="14" t="n"/>
      <c r="W52" s="15" t="n"/>
      <c r="X52" s="16" t="n"/>
      <c r="Y52" s="15" t="n"/>
      <c r="Z52" s="17">
        <f>IF(OR(V52="",U52=""),"",V52-U52)</f>
        <v/>
      </c>
      <c r="AA52" s="18">
        <f>IF(OR(V52="",U52="",U52=0),"",(V52-U52)/U52)</f>
        <v/>
      </c>
      <c r="AB52" s="19">
        <f>IF(AA52="","",IF(AA52&lt;-0.05,"Moins cher",IF(AA52&gt;0.05,"Plus cher","Équivalent")))</f>
        <v/>
      </c>
    </row>
    <row r="53">
      <c r="A53" s="20" t="inlineStr">
        <is>
          <t>SG-F930</t>
        </is>
      </c>
      <c r="B53" s="20" t="inlineStr">
        <is>
          <t>Tête de brosse</t>
        </is>
      </c>
      <c r="C53" s="20" t="inlineStr">
        <is>
          <t>Tête rotative</t>
        </is>
      </c>
      <c r="D53" s="28" t="inlineStr">
        <is>
          <t>N/D</t>
        </is>
      </c>
      <c r="E53" s="24" t="inlineStr">
        <is>
          <t>SG-930, SG-587, SG-533, SG-2602</t>
        </is>
      </c>
      <c r="F53" s="25" t="n">
        <v>67</v>
      </c>
      <c r="G53" s="12" t="inlineStr">
        <is>
          <t>CrossAction X-Filaments (pack de 3)</t>
        </is>
      </c>
      <c r="H53" s="12" t="inlineStr">
        <is>
          <t>Oral-B</t>
        </is>
      </c>
      <c r="I53" s="12" t="inlineStr">
        <is>
          <t>Tête rotative</t>
        </is>
      </c>
      <c r="J53" s="29" t="inlineStr">
        <is>
          <t>N/D</t>
        </is>
      </c>
      <c r="K53" s="29" t="inlineStr">
        <is>
          <t>N/D</t>
        </is>
      </c>
      <c r="L53" s="29" t="inlineStr">
        <is>
          <t>N/D</t>
        </is>
      </c>
      <c r="M53" s="29" t="inlineStr">
        <is>
          <t>N/D</t>
        </is>
      </c>
      <c r="N53" s="29" t="inlineStr">
        <is>
          <t>N/D</t>
        </is>
      </c>
      <c r="O53" s="29" t="inlineStr">
        <is>
          <t>N/D</t>
        </is>
      </c>
      <c r="P53" s="12" t="inlineStr">
        <is>
          <t>Côte d'Ivoire (Jumia, gamme Oral-B vérifiée)</t>
        </is>
      </c>
      <c r="Q53" s="12" t="inlineStr">
        <is>
          <t>Jumia CI, pharmacies, GMS</t>
        </is>
      </c>
      <c r="R53" s="13" t="inlineStr">
        <is>
          <t>https://oralb.com/en-us/products/replacement-brush-heads/oral-b-crossaction-x-filaments-replacement-brush-heads-refill-black-3-count/</t>
        </is>
      </c>
      <c r="S53" s="13" t="inlineStr">
        <is>
          <t>https://www.amazon.com/clp/B077B5GCF8</t>
        </is>
      </c>
      <c r="T53" s="12" t="inlineStr">
        <is>
          <t>Rapprochement sur la technologie de tête rotative et le prix par tête. Brins en X inclinés à 16 degrés. Benchmark du prix par tête sur le segment rotatif.</t>
        </is>
      </c>
      <c r="U53" s="14" t="n"/>
      <c r="V53" s="14" t="n"/>
      <c r="W53" s="15" t="n"/>
      <c r="X53" s="16" t="n"/>
      <c r="Y53" s="15" t="n"/>
      <c r="Z53" s="17">
        <f>IF(OR(V53="",U53=""),"",V53-U53)</f>
        <v/>
      </c>
      <c r="AA53" s="18">
        <f>IF(OR(V53="",U53="",U53=0),"",(V53-U53)/U53)</f>
        <v/>
      </c>
      <c r="AB53" s="19">
        <f>IF(AA53="","",IF(AA53&lt;-0.05,"Moins cher",IF(AA53&gt;0.05,"Plus cher","Équivalent")))</f>
        <v/>
      </c>
    </row>
    <row r="54">
      <c r="A54" s="5" t="inlineStr">
        <is>
          <t>SG-F084</t>
        </is>
      </c>
      <c r="B54" s="5" t="inlineStr">
        <is>
          <t>Tête de brosse</t>
        </is>
      </c>
      <c r="C54" s="5" t="inlineStr">
        <is>
          <t>Tête rotative</t>
        </is>
      </c>
      <c r="D54" s="32" t="inlineStr">
        <is>
          <t>N/D</t>
        </is>
      </c>
      <c r="E54" s="10" t="inlineStr">
        <is>
          <t>SG-930, SG-587, SG-533, SG-2602</t>
        </is>
      </c>
      <c r="F54" s="11" t="n">
        <v>67</v>
      </c>
      <c r="G54" s="12" t="inlineStr">
        <is>
          <t>CrossAction X-Filaments (pack de 3)</t>
        </is>
      </c>
      <c r="H54" s="12" t="inlineStr">
        <is>
          <t>Oral-B</t>
        </is>
      </c>
      <c r="I54" s="12" t="inlineStr">
        <is>
          <t>Tête rotative</t>
        </is>
      </c>
      <c r="J54" s="29" t="inlineStr">
        <is>
          <t>N/D</t>
        </is>
      </c>
      <c r="K54" s="29" t="inlineStr">
        <is>
          <t>N/D</t>
        </is>
      </c>
      <c r="L54" s="29" t="inlineStr">
        <is>
          <t>N/D</t>
        </is>
      </c>
      <c r="M54" s="29" t="inlineStr">
        <is>
          <t>N/D</t>
        </is>
      </c>
      <c r="N54" s="29" t="inlineStr">
        <is>
          <t>N/D</t>
        </is>
      </c>
      <c r="O54" s="29" t="inlineStr">
        <is>
          <t>N/D</t>
        </is>
      </c>
      <c r="P54" s="12" t="inlineStr">
        <is>
          <t>Côte d'Ivoire (Jumia, gamme Oral-B vérifiée)</t>
        </is>
      </c>
      <c r="Q54" s="12" t="inlineStr">
        <is>
          <t>Jumia CI, pharmacies, GMS</t>
        </is>
      </c>
      <c r="R54" s="13" t="inlineStr">
        <is>
          <t>https://oralb.com/en-us/products/replacement-brush-heads/oral-b-crossaction-x-filaments-replacement-brush-heads-refill-black-3-count/</t>
        </is>
      </c>
      <c r="S54" s="13" t="inlineStr">
        <is>
          <t>https://www.amazon.com/clp/B077B5GCF8</t>
        </is>
      </c>
      <c r="T54" s="12" t="inlineStr">
        <is>
          <t>Rapprochement sur la technologie de tête rotative et le prix par tête. Brins en X inclinés à 16 degrés. Benchmark du prix par tête sur le segment rotatif.</t>
        </is>
      </c>
      <c r="U54" s="14" t="n"/>
      <c r="V54" s="14" t="n"/>
      <c r="W54" s="15" t="n"/>
      <c r="X54" s="16" t="n"/>
      <c r="Y54" s="15" t="n"/>
      <c r="Z54" s="17">
        <f>IF(OR(V54="",U54=""),"",V54-U54)</f>
        <v/>
      </c>
      <c r="AA54" s="18">
        <f>IF(OR(V54="",U54="",U54=0),"",(V54-U54)/U54)</f>
        <v/>
      </c>
      <c r="AB54" s="19">
        <f>IF(AA54="","",IF(AA54&lt;-0.05,"Moins cher",IF(AA54&gt;0.05,"Plus cher","Équivalent")))</f>
        <v/>
      </c>
    </row>
    <row r="55">
      <c r="A55" s="20" t="inlineStr">
        <is>
          <t>SG-P001</t>
        </is>
      </c>
      <c r="B55" s="20" t="inlineStr">
        <is>
          <t>Buse hydropulseur</t>
        </is>
      </c>
      <c r="C55" s="20" t="inlineStr">
        <is>
          <t>Buse standard (ligne gingivale, usage quotidien)</t>
        </is>
      </c>
      <c r="D55" s="28" t="inlineStr">
        <is>
          <t>N/D</t>
        </is>
      </c>
      <c r="E55" s="24" t="inlineStr">
        <is>
          <t>Hydropulseurs SEAGO</t>
        </is>
      </c>
      <c r="F55" s="25" t="n">
        <v>100</v>
      </c>
      <c r="G55" s="12" t="inlineStr">
        <is>
          <t>Buses de rechange (pack livré avec WP-560)</t>
        </is>
      </c>
      <c r="H55" s="12" t="inlineStr">
        <is>
          <t>Waterpik</t>
        </is>
      </c>
      <c r="I55" s="12" t="inlineStr">
        <is>
          <t>Buses spécialisées (standard, orthodontique, plaque, parodontale)</t>
        </is>
      </c>
      <c r="J55" s="29" t="inlineStr">
        <is>
          <t>N/D</t>
        </is>
      </c>
      <c r="K55" s="29" t="inlineStr">
        <is>
          <t>N/D</t>
        </is>
      </c>
      <c r="L55" s="29" t="inlineStr">
        <is>
          <t>N/D</t>
        </is>
      </c>
      <c r="M55" s="29" t="inlineStr">
        <is>
          <t>N/D</t>
        </is>
      </c>
      <c r="N55" s="29" t="inlineStr">
        <is>
          <t>N/D</t>
        </is>
      </c>
      <c r="O55" s="29" t="inlineStr">
        <is>
          <t>N/D</t>
        </is>
      </c>
      <c r="P55" s="12" t="inlineStr">
        <is>
          <t>Non vérifié sur les marchés cibles</t>
        </is>
      </c>
      <c r="Q55" s="12" t="inlineStr">
        <is>
          <t>Retail spécialisé, pharmacies</t>
        </is>
      </c>
      <c r="R55" s="13" t="inlineStr">
        <is>
          <t>https://www.waterpik.ch/en/oral-health/products/dental-water-flosser/WP-560/</t>
        </is>
      </c>
      <c r="S55" s="13" t="inlineStr">
        <is>
          <t>https://www.electricteeth.com/waterpik-cordless-advanced-wp560-review/</t>
        </is>
      </c>
      <c r="T55" s="12" t="inlineStr">
        <is>
          <t>Rapprochement sur la fonction de la buse et la profondeur de gamme du concurrent. Gamme de buses la plus large du marché, référence de comparaison pour les buses SEAGO SG-P0xx.</t>
        </is>
      </c>
      <c r="U55" s="14" t="n"/>
      <c r="V55" s="14" t="n"/>
      <c r="W55" s="15" t="n"/>
      <c r="X55" s="16" t="n"/>
      <c r="Y55" s="15" t="n"/>
      <c r="Z55" s="17">
        <f>IF(OR(V55="",U55=""),"",V55-U55)</f>
        <v/>
      </c>
      <c r="AA55" s="18">
        <f>IF(OR(V55="",U55="",U55=0),"",(V55-U55)/U55)</f>
        <v/>
      </c>
      <c r="AB55" s="19">
        <f>IF(AA55="","",IF(AA55&lt;-0.05,"Moins cher",IF(AA55&gt;0.05,"Plus cher","Équivalent")))</f>
        <v/>
      </c>
    </row>
    <row r="56">
      <c r="A56" s="5" t="inlineStr">
        <is>
          <t>SG-P002</t>
        </is>
      </c>
      <c r="B56" s="5" t="inlineStr">
        <is>
          <t>Buse hydropulseur</t>
        </is>
      </c>
      <c r="C56" s="5" t="inlineStr">
        <is>
          <t>Gratte-langue</t>
        </is>
      </c>
      <c r="D56" s="32" t="inlineStr">
        <is>
          <t>N/D</t>
        </is>
      </c>
      <c r="E56" s="10" t="inlineStr">
        <is>
          <t>Hydropulseurs SEAGO</t>
        </is>
      </c>
      <c r="F56" s="11" t="n">
        <v>100</v>
      </c>
      <c r="G56" s="12" t="inlineStr">
        <is>
          <t>Buses de rechange (pack livré avec WP-560)</t>
        </is>
      </c>
      <c r="H56" s="12" t="inlineStr">
        <is>
          <t>Waterpik</t>
        </is>
      </c>
      <c r="I56" s="12" t="inlineStr">
        <is>
          <t>Buses spécialisées (standard, orthodontique, plaque, parodontale)</t>
        </is>
      </c>
      <c r="J56" s="29" t="inlineStr">
        <is>
          <t>N/D</t>
        </is>
      </c>
      <c r="K56" s="29" t="inlineStr">
        <is>
          <t>N/D</t>
        </is>
      </c>
      <c r="L56" s="29" t="inlineStr">
        <is>
          <t>N/D</t>
        </is>
      </c>
      <c r="M56" s="29" t="inlineStr">
        <is>
          <t>N/D</t>
        </is>
      </c>
      <c r="N56" s="29" t="inlineStr">
        <is>
          <t>N/D</t>
        </is>
      </c>
      <c r="O56" s="29" t="inlineStr">
        <is>
          <t>N/D</t>
        </is>
      </c>
      <c r="P56" s="12" t="inlineStr">
        <is>
          <t>Non vérifié sur les marchés cibles</t>
        </is>
      </c>
      <c r="Q56" s="12" t="inlineStr">
        <is>
          <t>Retail spécialisé, pharmacies</t>
        </is>
      </c>
      <c r="R56" s="13" t="inlineStr">
        <is>
          <t>https://www.waterpik.ch/en/oral-health/products/dental-water-flosser/WP-560/</t>
        </is>
      </c>
      <c r="S56" s="13" t="inlineStr">
        <is>
          <t>https://www.electricteeth.com/waterpik-cordless-advanced-wp560-review/</t>
        </is>
      </c>
      <c r="T56" s="12" t="inlineStr">
        <is>
          <t>Rapprochement sur la fonction de la buse et la profondeur de gamme du concurrent. Gamme de buses la plus large du marché, référence de comparaison pour les buses SEAGO SG-P0xx.</t>
        </is>
      </c>
      <c r="U56" s="14" t="n"/>
      <c r="V56" s="14" t="n"/>
      <c r="W56" s="15" t="n"/>
      <c r="X56" s="16" t="n"/>
      <c r="Y56" s="15" t="n"/>
      <c r="Z56" s="17">
        <f>IF(OR(V56="",U56=""),"",V56-U56)</f>
        <v/>
      </c>
      <c r="AA56" s="18">
        <f>IF(OR(V56="",U56="",U56=0),"",(V56-U56)/U56)</f>
        <v/>
      </c>
      <c r="AB56" s="19">
        <f>IF(AA56="","",IF(AA56&lt;-0.05,"Moins cher",IF(AA56&gt;0.05,"Plus cher","Équivalent")))</f>
        <v/>
      </c>
    </row>
    <row r="57">
      <c r="A57" s="20" t="inlineStr">
        <is>
          <t>SG-P003</t>
        </is>
      </c>
      <c r="B57" s="20" t="inlineStr">
        <is>
          <t>Buse hydropulseur</t>
        </is>
      </c>
      <c r="C57" s="20" t="inlineStr">
        <is>
          <t>Buse spray nasal</t>
        </is>
      </c>
      <c r="D57" s="28" t="inlineStr">
        <is>
          <t>N/D</t>
        </is>
      </c>
      <c r="E57" s="24" t="inlineStr">
        <is>
          <t>Hydropulseurs SEAGO</t>
        </is>
      </c>
      <c r="F57" s="25" t="n">
        <v>100</v>
      </c>
      <c r="G57" s="12" t="inlineStr">
        <is>
          <t>Buses de rechange (pack livré avec WP-560)</t>
        </is>
      </c>
      <c r="H57" s="12" t="inlineStr">
        <is>
          <t>Waterpik</t>
        </is>
      </c>
      <c r="I57" s="12" t="inlineStr">
        <is>
          <t>Buses spécialisées (standard, orthodontique, plaque, parodontale)</t>
        </is>
      </c>
      <c r="J57" s="29" t="inlineStr">
        <is>
          <t>N/D</t>
        </is>
      </c>
      <c r="K57" s="29" t="inlineStr">
        <is>
          <t>N/D</t>
        </is>
      </c>
      <c r="L57" s="29" t="inlineStr">
        <is>
          <t>N/D</t>
        </is>
      </c>
      <c r="M57" s="29" t="inlineStr">
        <is>
          <t>N/D</t>
        </is>
      </c>
      <c r="N57" s="29" t="inlineStr">
        <is>
          <t>N/D</t>
        </is>
      </c>
      <c r="O57" s="29" t="inlineStr">
        <is>
          <t>N/D</t>
        </is>
      </c>
      <c r="P57" s="12" t="inlineStr">
        <is>
          <t>Non vérifié sur les marchés cibles</t>
        </is>
      </c>
      <c r="Q57" s="12" t="inlineStr">
        <is>
          <t>Retail spécialisé, pharmacies</t>
        </is>
      </c>
      <c r="R57" s="13" t="inlineStr">
        <is>
          <t>https://www.waterpik.ch/en/oral-health/products/dental-water-flosser/WP-560/</t>
        </is>
      </c>
      <c r="S57" s="13" t="inlineStr">
        <is>
          <t>https://www.electricteeth.com/waterpik-cordless-advanced-wp560-review/</t>
        </is>
      </c>
      <c r="T57" s="12" t="inlineStr">
        <is>
          <t>Rapprochement sur la fonction de la buse et la profondeur de gamme du concurrent. Gamme de buses la plus large du marché, référence de comparaison pour les buses SEAGO SG-P0xx.</t>
        </is>
      </c>
      <c r="U57" s="14" t="n"/>
      <c r="V57" s="14" t="n"/>
      <c r="W57" s="15" t="n"/>
      <c r="X57" s="16" t="n"/>
      <c r="Y57" s="15" t="n"/>
      <c r="Z57" s="17">
        <f>IF(OR(V57="",U57=""),"",V57-U57)</f>
        <v/>
      </c>
      <c r="AA57" s="18">
        <f>IF(OR(V57="",U57="",U57=0),"",(V57-U57)/U57)</f>
        <v/>
      </c>
      <c r="AB57" s="19">
        <f>IF(AA57="","",IF(AA57&lt;-0.05,"Moins cher",IF(AA57&gt;0.05,"Plus cher","Équivalent")))</f>
        <v/>
      </c>
    </row>
    <row r="58">
      <c r="A58" s="5" t="inlineStr">
        <is>
          <t>SG-P004</t>
        </is>
      </c>
      <c r="B58" s="5" t="inlineStr">
        <is>
          <t>Buse hydropulseur</t>
        </is>
      </c>
      <c r="C58" s="5" t="inlineStr">
        <is>
          <t>Buse poche parodontale</t>
        </is>
      </c>
      <c r="D58" s="32" t="inlineStr">
        <is>
          <t>N/D</t>
        </is>
      </c>
      <c r="E58" s="10" t="inlineStr">
        <is>
          <t>Hydropulseurs SEAGO</t>
        </is>
      </c>
      <c r="F58" s="11" t="n">
        <v>100</v>
      </c>
      <c r="G58" s="12" t="inlineStr">
        <is>
          <t>Buses de rechange (pack livré avec WP-560)</t>
        </is>
      </c>
      <c r="H58" s="12" t="inlineStr">
        <is>
          <t>Waterpik</t>
        </is>
      </c>
      <c r="I58" s="12" t="inlineStr">
        <is>
          <t>Buses spécialisées (standard, orthodontique, plaque, parodontale)</t>
        </is>
      </c>
      <c r="J58" s="29" t="inlineStr">
        <is>
          <t>N/D</t>
        </is>
      </c>
      <c r="K58" s="29" t="inlineStr">
        <is>
          <t>N/D</t>
        </is>
      </c>
      <c r="L58" s="29" t="inlineStr">
        <is>
          <t>N/D</t>
        </is>
      </c>
      <c r="M58" s="29" t="inlineStr">
        <is>
          <t>N/D</t>
        </is>
      </c>
      <c r="N58" s="29" t="inlineStr">
        <is>
          <t>N/D</t>
        </is>
      </c>
      <c r="O58" s="29" t="inlineStr">
        <is>
          <t>N/D</t>
        </is>
      </c>
      <c r="P58" s="12" t="inlineStr">
        <is>
          <t>Non vérifié sur les marchés cibles</t>
        </is>
      </c>
      <c r="Q58" s="12" t="inlineStr">
        <is>
          <t>Retail spécialisé, pharmacies</t>
        </is>
      </c>
      <c r="R58" s="13" t="inlineStr">
        <is>
          <t>https://www.waterpik.ch/en/oral-health/products/dental-water-flosser/WP-560/</t>
        </is>
      </c>
      <c r="S58" s="13" t="inlineStr">
        <is>
          <t>https://www.electricteeth.com/waterpik-cordless-advanced-wp560-review/</t>
        </is>
      </c>
      <c r="T58" s="12" t="inlineStr">
        <is>
          <t>Rapprochement sur la fonction de la buse et la profondeur de gamme du concurrent. Gamme de buses la plus large du marché, référence de comparaison pour les buses SEAGO SG-P0xx.</t>
        </is>
      </c>
      <c r="U58" s="14" t="n"/>
      <c r="V58" s="14" t="n"/>
      <c r="W58" s="15" t="n"/>
      <c r="X58" s="16" t="n"/>
      <c r="Y58" s="15" t="n"/>
      <c r="Z58" s="17">
        <f>IF(OR(V58="",U58=""),"",V58-U58)</f>
        <v/>
      </c>
      <c r="AA58" s="18">
        <f>IF(OR(V58="",U58="",U58=0),"",(V58-U58)/U58)</f>
        <v/>
      </c>
      <c r="AB58" s="19">
        <f>IF(AA58="","",IF(AA58&lt;-0.05,"Moins cher",IF(AA58&gt;0.05,"Plus cher","Équivalent")))</f>
        <v/>
      </c>
    </row>
    <row r="59">
      <c r="A59" s="20" t="inlineStr">
        <is>
          <t>SG-P006</t>
        </is>
      </c>
      <c r="B59" s="20" t="inlineStr">
        <is>
          <t>Buse hydropulseur</t>
        </is>
      </c>
      <c r="C59" s="20" t="inlineStr">
        <is>
          <t>Buse orthodontique (bagues, prothèses)</t>
        </is>
      </c>
      <c r="D59" s="28" t="inlineStr">
        <is>
          <t>N/D</t>
        </is>
      </c>
      <c r="E59" s="24" t="inlineStr">
        <is>
          <t>Hydropulseurs SEAGO</t>
        </is>
      </c>
      <c r="F59" s="25" t="n">
        <v>100</v>
      </c>
      <c r="G59" s="12" t="inlineStr">
        <is>
          <t>Buses de rechange (pack livré avec WP-560)</t>
        </is>
      </c>
      <c r="H59" s="12" t="inlineStr">
        <is>
          <t>Waterpik</t>
        </is>
      </c>
      <c r="I59" s="12" t="inlineStr">
        <is>
          <t>Buses spécialisées (standard, orthodontique, plaque, parodontale)</t>
        </is>
      </c>
      <c r="J59" s="29" t="inlineStr">
        <is>
          <t>N/D</t>
        </is>
      </c>
      <c r="K59" s="29" t="inlineStr">
        <is>
          <t>N/D</t>
        </is>
      </c>
      <c r="L59" s="29" t="inlineStr">
        <is>
          <t>N/D</t>
        </is>
      </c>
      <c r="M59" s="29" t="inlineStr">
        <is>
          <t>N/D</t>
        </is>
      </c>
      <c r="N59" s="29" t="inlineStr">
        <is>
          <t>N/D</t>
        </is>
      </c>
      <c r="O59" s="29" t="inlineStr">
        <is>
          <t>N/D</t>
        </is>
      </c>
      <c r="P59" s="12" t="inlineStr">
        <is>
          <t>Non vérifié sur les marchés cibles</t>
        </is>
      </c>
      <c r="Q59" s="12" t="inlineStr">
        <is>
          <t>Retail spécialisé, pharmacies</t>
        </is>
      </c>
      <c r="R59" s="13" t="inlineStr">
        <is>
          <t>https://www.waterpik.ch/en/oral-health/products/dental-water-flosser/WP-560/</t>
        </is>
      </c>
      <c r="S59" s="13" t="inlineStr">
        <is>
          <t>https://www.electricteeth.com/waterpik-cordless-advanced-wp560-review/</t>
        </is>
      </c>
      <c r="T59" s="12" t="inlineStr">
        <is>
          <t>Rapprochement sur la fonction de la buse et la profondeur de gamme du concurrent. Gamme de buses la plus large du marché, référence de comparaison pour les buses SEAGO SG-P0xx.</t>
        </is>
      </c>
      <c r="U59" s="14" t="n"/>
      <c r="V59" s="14" t="n"/>
      <c r="W59" s="15" t="n"/>
      <c r="X59" s="16" t="n"/>
      <c r="Y59" s="15" t="n"/>
      <c r="Z59" s="17">
        <f>IF(OR(V59="",U59=""),"",V59-U59)</f>
        <v/>
      </c>
      <c r="AA59" s="18">
        <f>IF(OR(V59="",U59="",U59=0),"",(V59-U59)/U59)</f>
        <v/>
      </c>
      <c r="AB59" s="19">
        <f>IF(AA59="","",IF(AA59&lt;-0.05,"Moins cher",IF(AA59&gt;0.05,"Plus cher","Équivalent")))</f>
        <v/>
      </c>
    </row>
    <row r="60">
      <c r="A60" s="5" t="inlineStr">
        <is>
          <t>SG-P010</t>
        </is>
      </c>
      <c r="B60" s="5" t="inlineStr">
        <is>
          <t>Buse hydropulseur</t>
        </is>
      </c>
      <c r="C60" s="5" t="inlineStr">
        <is>
          <t>Buse tornade (effet tourbillon)</t>
        </is>
      </c>
      <c r="D60" s="32" t="inlineStr">
        <is>
          <t>N/D</t>
        </is>
      </c>
      <c r="E60" s="10" t="inlineStr">
        <is>
          <t>Hydropulseurs SEAGO</t>
        </is>
      </c>
      <c r="F60" s="11" t="n">
        <v>100</v>
      </c>
      <c r="G60" s="12" t="inlineStr">
        <is>
          <t>Buses de rechange (pack livré avec WP-560)</t>
        </is>
      </c>
      <c r="H60" s="12" t="inlineStr">
        <is>
          <t>Waterpik</t>
        </is>
      </c>
      <c r="I60" s="12" t="inlineStr">
        <is>
          <t>Buses spécialisées (standard, orthodontique, plaque, parodontale)</t>
        </is>
      </c>
      <c r="J60" s="29" t="inlineStr">
        <is>
          <t>N/D</t>
        </is>
      </c>
      <c r="K60" s="29" t="inlineStr">
        <is>
          <t>N/D</t>
        </is>
      </c>
      <c r="L60" s="29" t="inlineStr">
        <is>
          <t>N/D</t>
        </is>
      </c>
      <c r="M60" s="29" t="inlineStr">
        <is>
          <t>N/D</t>
        </is>
      </c>
      <c r="N60" s="29" t="inlineStr">
        <is>
          <t>N/D</t>
        </is>
      </c>
      <c r="O60" s="29" t="inlineStr">
        <is>
          <t>N/D</t>
        </is>
      </c>
      <c r="P60" s="12" t="inlineStr">
        <is>
          <t>Non vérifié sur les marchés cibles</t>
        </is>
      </c>
      <c r="Q60" s="12" t="inlineStr">
        <is>
          <t>Retail spécialisé, pharmacies</t>
        </is>
      </c>
      <c r="R60" s="13" t="inlineStr">
        <is>
          <t>https://www.waterpik.ch/en/oral-health/products/dental-water-flosser/WP-560/</t>
        </is>
      </c>
      <c r="S60" s="13" t="inlineStr">
        <is>
          <t>https://www.electricteeth.com/waterpik-cordless-advanced-wp560-review/</t>
        </is>
      </c>
      <c r="T60" s="12" t="inlineStr">
        <is>
          <t>Rapprochement sur la fonction de la buse et la profondeur de gamme du concurrent. Gamme de buses la plus large du marché, référence de comparaison pour les buses SEAGO SG-P0xx.</t>
        </is>
      </c>
      <c r="U60" s="14" t="n"/>
      <c r="V60" s="14" t="n"/>
      <c r="W60" s="15" t="n"/>
      <c r="X60" s="16" t="n"/>
      <c r="Y60" s="15" t="n"/>
      <c r="Z60" s="17">
        <f>IF(OR(V60="",U60=""),"",V60-U60)</f>
        <v/>
      </c>
      <c r="AA60" s="18">
        <f>IF(OR(V60="",U60="",U60=0),"",(V60-U60)/U60)</f>
        <v/>
      </c>
      <c r="AB60" s="19">
        <f>IF(AA60="","",IF(AA60&lt;-0.05,"Moins cher",IF(AA60&gt;0.05,"Plus cher","Équivalent")))</f>
        <v/>
      </c>
    </row>
    <row r="61">
      <c r="A61" s="33" t="n"/>
      <c r="B61" s="33" t="n"/>
      <c r="C61" s="33" t="n"/>
      <c r="D61" s="33" t="n"/>
      <c r="E61" s="33" t="n"/>
      <c r="F61" s="33" t="n"/>
      <c r="G61" s="34" t="n"/>
      <c r="H61" s="34" t="n"/>
      <c r="I61" s="34" t="n"/>
      <c r="J61" s="34" t="n"/>
      <c r="K61" s="34" t="n"/>
      <c r="L61" s="34" t="n"/>
      <c r="M61" s="34" t="n"/>
      <c r="N61" s="34" t="n"/>
      <c r="O61" s="34" t="n"/>
      <c r="P61" s="34" t="n"/>
      <c r="Q61" s="34" t="n"/>
      <c r="R61" s="34" t="n"/>
      <c r="S61" s="34" t="n"/>
      <c r="T61" s="34" t="n"/>
      <c r="U61" s="14" t="n"/>
      <c r="V61" s="14" t="n"/>
      <c r="W61" s="15" t="n"/>
      <c r="X61" s="16" t="n"/>
      <c r="Y61" s="15" t="n"/>
      <c r="Z61" s="17">
        <f>IF(OR(V61="",U61=""),"",V61-U61)</f>
        <v/>
      </c>
      <c r="AA61" s="18">
        <f>IF(OR(V61="",U61="",U61=0),"",(V61-U61)/U61)</f>
        <v/>
      </c>
      <c r="AB61" s="19">
        <f>IF(AA61="","",IF(AA61&lt;-0.05,"Moins cher",IF(AA61&gt;0.05,"Plus cher","Équivalent")))</f>
        <v/>
      </c>
    </row>
    <row r="62">
      <c r="A62" s="33" t="n"/>
      <c r="B62" s="33" t="n"/>
      <c r="C62" s="33" t="n"/>
      <c r="D62" s="33" t="n"/>
      <c r="E62" s="33" t="n"/>
      <c r="F62" s="33" t="n"/>
      <c r="G62" s="34" t="n"/>
      <c r="H62" s="34" t="n"/>
      <c r="I62" s="34" t="n"/>
      <c r="J62" s="34" t="n"/>
      <c r="K62" s="34" t="n"/>
      <c r="L62" s="34" t="n"/>
      <c r="M62" s="34" t="n"/>
      <c r="N62" s="34" t="n"/>
      <c r="O62" s="34" t="n"/>
      <c r="P62" s="34" t="n"/>
      <c r="Q62" s="34" t="n"/>
      <c r="R62" s="34" t="n"/>
      <c r="S62" s="34" t="n"/>
      <c r="T62" s="34" t="n"/>
      <c r="U62" s="14" t="n"/>
      <c r="V62" s="14" t="n"/>
      <c r="W62" s="15" t="n"/>
      <c r="X62" s="16" t="n"/>
      <c r="Y62" s="15" t="n"/>
      <c r="Z62" s="17">
        <f>IF(OR(V62="",U62=""),"",V62-U62)</f>
        <v/>
      </c>
      <c r="AA62" s="18">
        <f>IF(OR(V62="",U62="",U62=0),"",(V62-U62)/U62)</f>
        <v/>
      </c>
      <c r="AB62" s="19">
        <f>IF(AA62="","",IF(AA62&lt;-0.05,"Moins cher",IF(AA62&gt;0.05,"Plus cher","Équivalent")))</f>
        <v/>
      </c>
    </row>
    <row r="63">
      <c r="A63" s="33" t="n"/>
      <c r="B63" s="33" t="n"/>
      <c r="C63" s="33" t="n"/>
      <c r="D63" s="33" t="n"/>
      <c r="E63" s="33" t="n"/>
      <c r="F63" s="33" t="n"/>
      <c r="G63" s="34" t="n"/>
      <c r="H63" s="34" t="n"/>
      <c r="I63" s="34" t="n"/>
      <c r="J63" s="34" t="n"/>
      <c r="K63" s="34" t="n"/>
      <c r="L63" s="34" t="n"/>
      <c r="M63" s="34" t="n"/>
      <c r="N63" s="34" t="n"/>
      <c r="O63" s="34" t="n"/>
      <c r="P63" s="34" t="n"/>
      <c r="Q63" s="34" t="n"/>
      <c r="R63" s="34" t="n"/>
      <c r="S63" s="34" t="n"/>
      <c r="T63" s="34" t="n"/>
      <c r="U63" s="14" t="n"/>
      <c r="V63" s="14" t="n"/>
      <c r="W63" s="15" t="n"/>
      <c r="X63" s="16" t="n"/>
      <c r="Y63" s="15" t="n"/>
      <c r="Z63" s="17">
        <f>IF(OR(V63="",U63=""),"",V63-U63)</f>
        <v/>
      </c>
      <c r="AA63" s="18">
        <f>IF(OR(V63="",U63="",U63=0),"",(V63-U63)/U63)</f>
        <v/>
      </c>
      <c r="AB63" s="19">
        <f>IF(AA63="","",IF(AA63&lt;-0.05,"Moins cher",IF(AA63&gt;0.05,"Plus cher","Équivalent")))</f>
        <v/>
      </c>
    </row>
    <row r="64">
      <c r="A64" s="33" t="n"/>
      <c r="B64" s="33" t="n"/>
      <c r="C64" s="33" t="n"/>
      <c r="D64" s="33" t="n"/>
      <c r="E64" s="33" t="n"/>
      <c r="F64" s="33" t="n"/>
      <c r="G64" s="34" t="n"/>
      <c r="H64" s="34" t="n"/>
      <c r="I64" s="34" t="n"/>
      <c r="J64" s="34" t="n"/>
      <c r="K64" s="34" t="n"/>
      <c r="L64" s="34" t="n"/>
      <c r="M64" s="34" t="n"/>
      <c r="N64" s="34" t="n"/>
      <c r="O64" s="34" t="n"/>
      <c r="P64" s="34" t="n"/>
      <c r="Q64" s="34" t="n"/>
      <c r="R64" s="34" t="n"/>
      <c r="S64" s="34" t="n"/>
      <c r="T64" s="34" t="n"/>
      <c r="U64" s="14" t="n"/>
      <c r="V64" s="14" t="n"/>
      <c r="W64" s="15" t="n"/>
      <c r="X64" s="16" t="n"/>
      <c r="Y64" s="15" t="n"/>
      <c r="Z64" s="17">
        <f>IF(OR(V64="",U64=""),"",V64-U64)</f>
        <v/>
      </c>
      <c r="AA64" s="18">
        <f>IF(OR(V64="",U64="",U64=0),"",(V64-U64)/U64)</f>
        <v/>
      </c>
      <c r="AB64" s="19">
        <f>IF(AA64="","",IF(AA64&lt;-0.05,"Moins cher",IF(AA64&gt;0.05,"Plus cher","Équivalent")))</f>
        <v/>
      </c>
    </row>
    <row r="65">
      <c r="A65" s="33" t="n"/>
      <c r="B65" s="33" t="n"/>
      <c r="C65" s="33" t="n"/>
      <c r="D65" s="33" t="n"/>
      <c r="E65" s="33" t="n"/>
      <c r="F65" s="33" t="n"/>
      <c r="G65" s="34" t="n"/>
      <c r="H65" s="34" t="n"/>
      <c r="I65" s="34" t="n"/>
      <c r="J65" s="34" t="n"/>
      <c r="K65" s="34" t="n"/>
      <c r="L65" s="34" t="n"/>
      <c r="M65" s="34" t="n"/>
      <c r="N65" s="34" t="n"/>
      <c r="O65" s="34" t="n"/>
      <c r="P65" s="34" t="n"/>
      <c r="Q65" s="34" t="n"/>
      <c r="R65" s="34" t="n"/>
      <c r="S65" s="34" t="n"/>
      <c r="T65" s="34" t="n"/>
      <c r="U65" s="14" t="n"/>
      <c r="V65" s="14" t="n"/>
      <c r="W65" s="15" t="n"/>
      <c r="X65" s="16" t="n"/>
      <c r="Y65" s="15" t="n"/>
      <c r="Z65" s="17">
        <f>IF(OR(V65="",U65=""),"",V65-U65)</f>
        <v/>
      </c>
      <c r="AA65" s="18">
        <f>IF(OR(V65="",U65="",U65=0),"",(V65-U65)/U65)</f>
        <v/>
      </c>
      <c r="AB65" s="19">
        <f>IF(AA65="","",IF(AA65&lt;-0.05,"Moins cher",IF(AA65&gt;0.05,"Plus cher","Équivalent")))</f>
        <v/>
      </c>
    </row>
    <row r="66">
      <c r="A66" s="33" t="n"/>
      <c r="B66" s="33" t="n"/>
      <c r="C66" s="33" t="n"/>
      <c r="D66" s="33" t="n"/>
      <c r="E66" s="33" t="n"/>
      <c r="F66" s="33" t="n"/>
      <c r="G66" s="34" t="n"/>
      <c r="H66" s="34" t="n"/>
      <c r="I66" s="34" t="n"/>
      <c r="J66" s="34" t="n"/>
      <c r="K66" s="34" t="n"/>
      <c r="L66" s="34" t="n"/>
      <c r="M66" s="34" t="n"/>
      <c r="N66" s="34" t="n"/>
      <c r="O66" s="34" t="n"/>
      <c r="P66" s="34" t="n"/>
      <c r="Q66" s="34" t="n"/>
      <c r="R66" s="34" t="n"/>
      <c r="S66" s="34" t="n"/>
      <c r="T66" s="34" t="n"/>
      <c r="U66" s="14" t="n"/>
      <c r="V66" s="14" t="n"/>
      <c r="W66" s="15" t="n"/>
      <c r="X66" s="16" t="n"/>
      <c r="Y66" s="15" t="n"/>
      <c r="Z66" s="17">
        <f>IF(OR(V66="",U66=""),"",V66-U66)</f>
        <v/>
      </c>
      <c r="AA66" s="18">
        <f>IF(OR(V66="",U66="",U66=0),"",(V66-U66)/U66)</f>
        <v/>
      </c>
      <c r="AB66" s="19">
        <f>IF(AA66="","",IF(AA66&lt;-0.05,"Moins cher",IF(AA66&gt;0.05,"Plus cher","Équivalent")))</f>
        <v/>
      </c>
    </row>
    <row r="67">
      <c r="A67" s="33" t="n"/>
      <c r="B67" s="33" t="n"/>
      <c r="C67" s="33" t="n"/>
      <c r="D67" s="33" t="n"/>
      <c r="E67" s="33" t="n"/>
      <c r="F67" s="33" t="n"/>
      <c r="G67" s="34" t="n"/>
      <c r="H67" s="34" t="n"/>
      <c r="I67" s="34" t="n"/>
      <c r="J67" s="34" t="n"/>
      <c r="K67" s="34" t="n"/>
      <c r="L67" s="34" t="n"/>
      <c r="M67" s="34" t="n"/>
      <c r="N67" s="34" t="n"/>
      <c r="O67" s="34" t="n"/>
      <c r="P67" s="34" t="n"/>
      <c r="Q67" s="34" t="n"/>
      <c r="R67" s="34" t="n"/>
      <c r="S67" s="34" t="n"/>
      <c r="T67" s="34" t="n"/>
      <c r="U67" s="14" t="n"/>
      <c r="V67" s="14" t="n"/>
      <c r="W67" s="15" t="n"/>
      <c r="X67" s="16" t="n"/>
      <c r="Y67" s="15" t="n"/>
      <c r="Z67" s="17">
        <f>IF(OR(V67="",U67=""),"",V67-U67)</f>
        <v/>
      </c>
      <c r="AA67" s="18">
        <f>IF(OR(V67="",U67="",U67=0),"",(V67-U67)/U67)</f>
        <v/>
      </c>
      <c r="AB67" s="19">
        <f>IF(AA67="","",IF(AA67&lt;-0.05,"Moins cher",IF(AA67&gt;0.05,"Plus cher","Équivalent")))</f>
        <v/>
      </c>
    </row>
    <row r="68">
      <c r="A68" s="33" t="n"/>
      <c r="B68" s="33" t="n"/>
      <c r="C68" s="33" t="n"/>
      <c r="D68" s="33" t="n"/>
      <c r="E68" s="33" t="n"/>
      <c r="F68" s="33" t="n"/>
      <c r="G68" s="34" t="n"/>
      <c r="H68" s="34" t="n"/>
      <c r="I68" s="34" t="n"/>
      <c r="J68" s="34" t="n"/>
      <c r="K68" s="34" t="n"/>
      <c r="L68" s="34" t="n"/>
      <c r="M68" s="34" t="n"/>
      <c r="N68" s="34" t="n"/>
      <c r="O68" s="34" t="n"/>
      <c r="P68" s="34" t="n"/>
      <c r="Q68" s="34" t="n"/>
      <c r="R68" s="34" t="n"/>
      <c r="S68" s="34" t="n"/>
      <c r="T68" s="34" t="n"/>
      <c r="U68" s="14" t="n"/>
      <c r="V68" s="14" t="n"/>
      <c r="W68" s="15" t="n"/>
      <c r="X68" s="16" t="n"/>
      <c r="Y68" s="15" t="n"/>
      <c r="Z68" s="17">
        <f>IF(OR(V68="",U68=""),"",V68-U68)</f>
        <v/>
      </c>
      <c r="AA68" s="18">
        <f>IF(OR(V68="",U68="",U68=0),"",(V68-U68)/U68)</f>
        <v/>
      </c>
      <c r="AB68" s="19">
        <f>IF(AA68="","",IF(AA68&lt;-0.05,"Moins cher",IF(AA68&gt;0.05,"Plus cher","Équivalent")))</f>
        <v/>
      </c>
    </row>
    <row r="69">
      <c r="A69" s="33" t="n"/>
      <c r="B69" s="33" t="n"/>
      <c r="C69" s="33" t="n"/>
      <c r="D69" s="33" t="n"/>
      <c r="E69" s="33" t="n"/>
      <c r="F69" s="33" t="n"/>
      <c r="G69" s="34" t="n"/>
      <c r="H69" s="34" t="n"/>
      <c r="I69" s="34" t="n"/>
      <c r="J69" s="34" t="n"/>
      <c r="K69" s="34" t="n"/>
      <c r="L69" s="34" t="n"/>
      <c r="M69" s="34" t="n"/>
      <c r="N69" s="34" t="n"/>
      <c r="O69" s="34" t="n"/>
      <c r="P69" s="34" t="n"/>
      <c r="Q69" s="34" t="n"/>
      <c r="R69" s="34" t="n"/>
      <c r="S69" s="34" t="n"/>
      <c r="T69" s="34" t="n"/>
      <c r="U69" s="14" t="n"/>
      <c r="V69" s="14" t="n"/>
      <c r="W69" s="15" t="n"/>
      <c r="X69" s="16" t="n"/>
      <c r="Y69" s="15" t="n"/>
      <c r="Z69" s="17">
        <f>IF(OR(V69="",U69=""),"",V69-U69)</f>
        <v/>
      </c>
      <c r="AA69" s="18">
        <f>IF(OR(V69="",U69="",U69=0),"",(V69-U69)/U69)</f>
        <v/>
      </c>
      <c r="AB69" s="19">
        <f>IF(AA69="","",IF(AA69&lt;-0.05,"Moins cher",IF(AA69&gt;0.05,"Plus cher","Équivalent")))</f>
        <v/>
      </c>
    </row>
    <row r="70">
      <c r="A70" s="33" t="n"/>
      <c r="B70" s="33" t="n"/>
      <c r="C70" s="33" t="n"/>
      <c r="D70" s="33" t="n"/>
      <c r="E70" s="33" t="n"/>
      <c r="F70" s="33" t="n"/>
      <c r="G70" s="34" t="n"/>
      <c r="H70" s="34" t="n"/>
      <c r="I70" s="34" t="n"/>
      <c r="J70" s="34" t="n"/>
      <c r="K70" s="34" t="n"/>
      <c r="L70" s="34" t="n"/>
      <c r="M70" s="34" t="n"/>
      <c r="N70" s="34" t="n"/>
      <c r="O70" s="34" t="n"/>
      <c r="P70" s="34" t="n"/>
      <c r="Q70" s="34" t="n"/>
      <c r="R70" s="34" t="n"/>
      <c r="S70" s="34" t="n"/>
      <c r="T70" s="34" t="n"/>
      <c r="U70" s="14" t="n"/>
      <c r="V70" s="14" t="n"/>
      <c r="W70" s="15" t="n"/>
      <c r="X70" s="16" t="n"/>
      <c r="Y70" s="15" t="n"/>
      <c r="Z70" s="17">
        <f>IF(OR(V70="",U70=""),"",V70-U70)</f>
        <v/>
      </c>
      <c r="AA70" s="18">
        <f>IF(OR(V70="",U70="",U70=0),"",(V70-U70)/U70)</f>
        <v/>
      </c>
      <c r="AB70" s="19">
        <f>IF(AA70="","",IF(AA70&lt;-0.05,"Moins cher",IF(AA70&gt;0.05,"Plus cher","Équivalent")))</f>
        <v/>
      </c>
    </row>
    <row r="71">
      <c r="A71" s="33" t="n"/>
      <c r="B71" s="33" t="n"/>
      <c r="C71" s="33" t="n"/>
      <c r="D71" s="33" t="n"/>
      <c r="E71" s="33" t="n"/>
      <c r="F71" s="33" t="n"/>
      <c r="G71" s="34" t="n"/>
      <c r="H71" s="34" t="n"/>
      <c r="I71" s="34" t="n"/>
      <c r="J71" s="34" t="n"/>
      <c r="K71" s="34" t="n"/>
      <c r="L71" s="34" t="n"/>
      <c r="M71" s="34" t="n"/>
      <c r="N71" s="34" t="n"/>
      <c r="O71" s="34" t="n"/>
      <c r="P71" s="34" t="n"/>
      <c r="Q71" s="34" t="n"/>
      <c r="R71" s="34" t="n"/>
      <c r="S71" s="34" t="n"/>
      <c r="T71" s="34" t="n"/>
      <c r="U71" s="14" t="n"/>
      <c r="V71" s="14" t="n"/>
      <c r="W71" s="15" t="n"/>
      <c r="X71" s="16" t="n"/>
      <c r="Y71" s="15" t="n"/>
      <c r="Z71" s="17">
        <f>IF(OR(V71="",U71=""),"",V71-U71)</f>
        <v/>
      </c>
      <c r="AA71" s="18">
        <f>IF(OR(V71="",U71="",U71=0),"",(V71-U71)/U71)</f>
        <v/>
      </c>
      <c r="AB71" s="19">
        <f>IF(AA71="","",IF(AA71&lt;-0.05,"Moins cher",IF(AA71&gt;0.05,"Plus cher","Équivalent")))</f>
        <v/>
      </c>
    </row>
    <row r="72">
      <c r="A72" s="33" t="n"/>
      <c r="B72" s="33" t="n"/>
      <c r="C72" s="33" t="n"/>
      <c r="D72" s="33" t="n"/>
      <c r="E72" s="33" t="n"/>
      <c r="F72" s="33" t="n"/>
      <c r="G72" s="34" t="n"/>
      <c r="H72" s="34" t="n"/>
      <c r="I72" s="34" t="n"/>
      <c r="J72" s="34" t="n"/>
      <c r="K72" s="34" t="n"/>
      <c r="L72" s="34" t="n"/>
      <c r="M72" s="34" t="n"/>
      <c r="N72" s="34" t="n"/>
      <c r="O72" s="34" t="n"/>
      <c r="P72" s="34" t="n"/>
      <c r="Q72" s="34" t="n"/>
      <c r="R72" s="34" t="n"/>
      <c r="S72" s="34" t="n"/>
      <c r="T72" s="34" t="n"/>
      <c r="U72" s="14" t="n"/>
      <c r="V72" s="14" t="n"/>
      <c r="W72" s="15" t="n"/>
      <c r="X72" s="16" t="n"/>
      <c r="Y72" s="15" t="n"/>
      <c r="Z72" s="17">
        <f>IF(OR(V72="",U72=""),"",V72-U72)</f>
        <v/>
      </c>
      <c r="AA72" s="18">
        <f>IF(OR(V72="",U72="",U72=0),"",(V72-U72)/U72)</f>
        <v/>
      </c>
      <c r="AB72" s="19">
        <f>IF(AA72="","",IF(AA72&lt;-0.05,"Moins cher",IF(AA72&gt;0.05,"Plus cher","Équivalent")))</f>
        <v/>
      </c>
    </row>
    <row r="73">
      <c r="A73" s="33" t="n"/>
      <c r="B73" s="33" t="n"/>
      <c r="C73" s="33" t="n"/>
      <c r="D73" s="33" t="n"/>
      <c r="E73" s="33" t="n"/>
      <c r="F73" s="33" t="n"/>
      <c r="G73" s="34" t="n"/>
      <c r="H73" s="34" t="n"/>
      <c r="I73" s="34" t="n"/>
      <c r="J73" s="34" t="n"/>
      <c r="K73" s="34" t="n"/>
      <c r="L73" s="34" t="n"/>
      <c r="M73" s="34" t="n"/>
      <c r="N73" s="34" t="n"/>
      <c r="O73" s="34" t="n"/>
      <c r="P73" s="34" t="n"/>
      <c r="Q73" s="34" t="n"/>
      <c r="R73" s="34" t="n"/>
      <c r="S73" s="34" t="n"/>
      <c r="T73" s="34" t="n"/>
      <c r="U73" s="14" t="n"/>
      <c r="V73" s="14" t="n"/>
      <c r="W73" s="15" t="n"/>
      <c r="X73" s="16" t="n"/>
      <c r="Y73" s="15" t="n"/>
      <c r="Z73" s="17">
        <f>IF(OR(V73="",U73=""),"",V73-U73)</f>
        <v/>
      </c>
      <c r="AA73" s="18">
        <f>IF(OR(V73="",U73="",U73=0),"",(V73-U73)/U73)</f>
        <v/>
      </c>
      <c r="AB73" s="19">
        <f>IF(AA73="","",IF(AA73&lt;-0.05,"Moins cher",IF(AA73&gt;0.05,"Plus cher","Équivalent")))</f>
        <v/>
      </c>
    </row>
    <row r="74">
      <c r="A74" s="33" t="n"/>
      <c r="B74" s="33" t="n"/>
      <c r="C74" s="33" t="n"/>
      <c r="D74" s="33" t="n"/>
      <c r="E74" s="33" t="n"/>
      <c r="F74" s="33" t="n"/>
      <c r="G74" s="34" t="n"/>
      <c r="H74" s="34" t="n"/>
      <c r="I74" s="34" t="n"/>
      <c r="J74" s="34" t="n"/>
      <c r="K74" s="34" t="n"/>
      <c r="L74" s="34" t="n"/>
      <c r="M74" s="34" t="n"/>
      <c r="N74" s="34" t="n"/>
      <c r="O74" s="34" t="n"/>
      <c r="P74" s="34" t="n"/>
      <c r="Q74" s="34" t="n"/>
      <c r="R74" s="34" t="n"/>
      <c r="S74" s="34" t="n"/>
      <c r="T74" s="34" t="n"/>
      <c r="U74" s="14" t="n"/>
      <c r="V74" s="14" t="n"/>
      <c r="W74" s="15" t="n"/>
      <c r="X74" s="16" t="n"/>
      <c r="Y74" s="15" t="n"/>
      <c r="Z74" s="17">
        <f>IF(OR(V74="",U74=""),"",V74-U74)</f>
        <v/>
      </c>
      <c r="AA74" s="18">
        <f>IF(OR(V74="",U74="",U74=0),"",(V74-U74)/U74)</f>
        <v/>
      </c>
      <c r="AB74" s="19">
        <f>IF(AA74="","",IF(AA74&lt;-0.05,"Moins cher",IF(AA74&gt;0.05,"Plus cher","Équivalent")))</f>
        <v/>
      </c>
    </row>
    <row r="75">
      <c r="A75" s="33" t="n"/>
      <c r="B75" s="33" t="n"/>
      <c r="C75" s="33" t="n"/>
      <c r="D75" s="33" t="n"/>
      <c r="E75" s="33" t="n"/>
      <c r="F75" s="33" t="n"/>
      <c r="G75" s="34" t="n"/>
      <c r="H75" s="34" t="n"/>
      <c r="I75" s="34" t="n"/>
      <c r="J75" s="34" t="n"/>
      <c r="K75" s="34" t="n"/>
      <c r="L75" s="34" t="n"/>
      <c r="M75" s="34" t="n"/>
      <c r="N75" s="34" t="n"/>
      <c r="O75" s="34" t="n"/>
      <c r="P75" s="34" t="n"/>
      <c r="Q75" s="34" t="n"/>
      <c r="R75" s="34" t="n"/>
      <c r="S75" s="34" t="n"/>
      <c r="T75" s="34" t="n"/>
      <c r="U75" s="14" t="n"/>
      <c r="V75" s="14" t="n"/>
      <c r="W75" s="15" t="n"/>
      <c r="X75" s="16" t="n"/>
      <c r="Y75" s="15" t="n"/>
      <c r="Z75" s="17">
        <f>IF(OR(V75="",U75=""),"",V75-U75)</f>
        <v/>
      </c>
      <c r="AA75" s="18">
        <f>IF(OR(V75="",U75="",U75=0),"",(V75-U75)/U75)</f>
        <v/>
      </c>
      <c r="AB75" s="19">
        <f>IF(AA75="","",IF(AA75&lt;-0.05,"Moins cher",IF(AA75&gt;0.05,"Plus cher","Équivalent")))</f>
        <v/>
      </c>
    </row>
    <row r="76">
      <c r="A76" s="33" t="n"/>
      <c r="B76" s="33" t="n"/>
      <c r="C76" s="33" t="n"/>
      <c r="D76" s="33" t="n"/>
      <c r="E76" s="33" t="n"/>
      <c r="F76" s="33" t="n"/>
      <c r="G76" s="34" t="n"/>
      <c r="H76" s="34" t="n"/>
      <c r="I76" s="34" t="n"/>
      <c r="J76" s="34" t="n"/>
      <c r="K76" s="34" t="n"/>
      <c r="L76" s="34" t="n"/>
      <c r="M76" s="34" t="n"/>
      <c r="N76" s="34" t="n"/>
      <c r="O76" s="34" t="n"/>
      <c r="P76" s="34" t="n"/>
      <c r="Q76" s="34" t="n"/>
      <c r="R76" s="34" t="n"/>
      <c r="S76" s="34" t="n"/>
      <c r="T76" s="34" t="n"/>
      <c r="U76" s="14" t="n"/>
      <c r="V76" s="14" t="n"/>
      <c r="W76" s="15" t="n"/>
      <c r="X76" s="16" t="n"/>
      <c r="Y76" s="15" t="n"/>
      <c r="Z76" s="17">
        <f>IF(OR(V76="",U76=""),"",V76-U76)</f>
        <v/>
      </c>
      <c r="AA76" s="18">
        <f>IF(OR(V76="",U76="",U76=0),"",(V76-U76)/U76)</f>
        <v/>
      </c>
      <c r="AB76" s="19">
        <f>IF(AA76="","",IF(AA76&lt;-0.05,"Moins cher",IF(AA76&gt;0.05,"Plus cher","Équivalent")))</f>
        <v/>
      </c>
    </row>
    <row r="77">
      <c r="A77" s="33" t="n"/>
      <c r="B77" s="33" t="n"/>
      <c r="C77" s="33" t="n"/>
      <c r="D77" s="33" t="n"/>
      <c r="E77" s="33" t="n"/>
      <c r="F77" s="33" t="n"/>
      <c r="G77" s="34" t="n"/>
      <c r="H77" s="34" t="n"/>
      <c r="I77" s="34" t="n"/>
      <c r="J77" s="34" t="n"/>
      <c r="K77" s="34" t="n"/>
      <c r="L77" s="34" t="n"/>
      <c r="M77" s="34" t="n"/>
      <c r="N77" s="34" t="n"/>
      <c r="O77" s="34" t="n"/>
      <c r="P77" s="34" t="n"/>
      <c r="Q77" s="34" t="n"/>
      <c r="R77" s="34" t="n"/>
      <c r="S77" s="34" t="n"/>
      <c r="T77" s="34" t="n"/>
      <c r="U77" s="14" t="n"/>
      <c r="V77" s="14" t="n"/>
      <c r="W77" s="15" t="n"/>
      <c r="X77" s="16" t="n"/>
      <c r="Y77" s="15" t="n"/>
      <c r="Z77" s="17">
        <f>IF(OR(V77="",U77=""),"",V77-U77)</f>
        <v/>
      </c>
      <c r="AA77" s="18">
        <f>IF(OR(V77="",U77="",U77=0),"",(V77-U77)/U77)</f>
        <v/>
      </c>
      <c r="AB77" s="19">
        <f>IF(AA77="","",IF(AA77&lt;-0.05,"Moins cher",IF(AA77&gt;0.05,"Plus cher","Équivalent")))</f>
        <v/>
      </c>
    </row>
    <row r="78">
      <c r="A78" s="33" t="n"/>
      <c r="B78" s="33" t="n"/>
      <c r="C78" s="33" t="n"/>
      <c r="D78" s="33" t="n"/>
      <c r="E78" s="33" t="n"/>
      <c r="F78" s="33" t="n"/>
      <c r="G78" s="34" t="n"/>
      <c r="H78" s="34" t="n"/>
      <c r="I78" s="34" t="n"/>
      <c r="J78" s="34" t="n"/>
      <c r="K78" s="34" t="n"/>
      <c r="L78" s="34" t="n"/>
      <c r="M78" s="34" t="n"/>
      <c r="N78" s="34" t="n"/>
      <c r="O78" s="34" t="n"/>
      <c r="P78" s="34" t="n"/>
      <c r="Q78" s="34" t="n"/>
      <c r="R78" s="34" t="n"/>
      <c r="S78" s="34" t="n"/>
      <c r="T78" s="34" t="n"/>
      <c r="U78" s="14" t="n"/>
      <c r="V78" s="14" t="n"/>
      <c r="W78" s="15" t="n"/>
      <c r="X78" s="16" t="n"/>
      <c r="Y78" s="15" t="n"/>
      <c r="Z78" s="17">
        <f>IF(OR(V78="",U78=""),"",V78-U78)</f>
        <v/>
      </c>
      <c r="AA78" s="18">
        <f>IF(OR(V78="",U78="",U78=0),"",(V78-U78)/U78)</f>
        <v/>
      </c>
      <c r="AB78" s="19">
        <f>IF(AA78="","",IF(AA78&lt;-0.05,"Moins cher",IF(AA78&gt;0.05,"Plus cher","Équivalent")))</f>
        <v/>
      </c>
    </row>
    <row r="79">
      <c r="A79" s="33" t="n"/>
      <c r="B79" s="33" t="n"/>
      <c r="C79" s="33" t="n"/>
      <c r="D79" s="33" t="n"/>
      <c r="E79" s="33" t="n"/>
      <c r="F79" s="33" t="n"/>
      <c r="G79" s="34" t="n"/>
      <c r="H79" s="34" t="n"/>
      <c r="I79" s="34" t="n"/>
      <c r="J79" s="34" t="n"/>
      <c r="K79" s="34" t="n"/>
      <c r="L79" s="34" t="n"/>
      <c r="M79" s="34" t="n"/>
      <c r="N79" s="34" t="n"/>
      <c r="O79" s="34" t="n"/>
      <c r="P79" s="34" t="n"/>
      <c r="Q79" s="34" t="n"/>
      <c r="R79" s="34" t="n"/>
      <c r="S79" s="34" t="n"/>
      <c r="T79" s="34" t="n"/>
      <c r="U79" s="14" t="n"/>
      <c r="V79" s="14" t="n"/>
      <c r="W79" s="15" t="n"/>
      <c r="X79" s="16" t="n"/>
      <c r="Y79" s="15" t="n"/>
      <c r="Z79" s="17">
        <f>IF(OR(V79="",U79=""),"",V79-U79)</f>
        <v/>
      </c>
      <c r="AA79" s="18">
        <f>IF(OR(V79="",U79="",U79=0),"",(V79-U79)/U79)</f>
        <v/>
      </c>
      <c r="AB79" s="19">
        <f>IF(AA79="","",IF(AA79&lt;-0.05,"Moins cher",IF(AA79&gt;0.05,"Plus cher","Équivalent")))</f>
        <v/>
      </c>
    </row>
    <row r="80">
      <c r="A80" s="33" t="n"/>
      <c r="B80" s="33" t="n"/>
      <c r="C80" s="33" t="n"/>
      <c r="D80" s="33" t="n"/>
      <c r="E80" s="33" t="n"/>
      <c r="F80" s="33" t="n"/>
      <c r="G80" s="34" t="n"/>
      <c r="H80" s="34" t="n"/>
      <c r="I80" s="34" t="n"/>
      <c r="J80" s="34" t="n"/>
      <c r="K80" s="34" t="n"/>
      <c r="L80" s="34" t="n"/>
      <c r="M80" s="34" t="n"/>
      <c r="N80" s="34" t="n"/>
      <c r="O80" s="34" t="n"/>
      <c r="P80" s="34" t="n"/>
      <c r="Q80" s="34" t="n"/>
      <c r="R80" s="34" t="n"/>
      <c r="S80" s="34" t="n"/>
      <c r="T80" s="34" t="n"/>
      <c r="U80" s="14" t="n"/>
      <c r="V80" s="14" t="n"/>
      <c r="W80" s="15" t="n"/>
      <c r="X80" s="16" t="n"/>
      <c r="Y80" s="15" t="n"/>
      <c r="Z80" s="17">
        <f>IF(OR(V80="",U80=""),"",V80-U80)</f>
        <v/>
      </c>
      <c r="AA80" s="18">
        <f>IF(OR(V80="",U80="",U80=0),"",(V80-U80)/U80)</f>
        <v/>
      </c>
      <c r="AB80" s="19">
        <f>IF(AA80="","",IF(AA80&lt;-0.05,"Moins cher",IF(AA80&gt;0.05,"Plus cher","Équivalent")))</f>
        <v/>
      </c>
    </row>
    <row r="81">
      <c r="A81" s="33" t="n"/>
      <c r="B81" s="33" t="n"/>
      <c r="C81" s="33" t="n"/>
      <c r="D81" s="33" t="n"/>
      <c r="E81" s="33" t="n"/>
      <c r="F81" s="33" t="n"/>
      <c r="G81" s="34" t="n"/>
      <c r="H81" s="34" t="n"/>
      <c r="I81" s="34" t="n"/>
      <c r="J81" s="34" t="n"/>
      <c r="K81" s="34" t="n"/>
      <c r="L81" s="34" t="n"/>
      <c r="M81" s="34" t="n"/>
      <c r="N81" s="34" t="n"/>
      <c r="O81" s="34" t="n"/>
      <c r="P81" s="34" t="n"/>
      <c r="Q81" s="34" t="n"/>
      <c r="R81" s="34" t="n"/>
      <c r="S81" s="34" t="n"/>
      <c r="T81" s="34" t="n"/>
      <c r="U81" s="14" t="n"/>
      <c r="V81" s="14" t="n"/>
      <c r="W81" s="15" t="n"/>
      <c r="X81" s="16" t="n"/>
      <c r="Y81" s="15" t="n"/>
      <c r="Z81" s="17">
        <f>IF(OR(V81="",U81=""),"",V81-U81)</f>
        <v/>
      </c>
      <c r="AA81" s="18">
        <f>IF(OR(V81="",U81="",U81=0),"",(V81-U81)/U81)</f>
        <v/>
      </c>
      <c r="AB81" s="19">
        <f>IF(AA81="","",IF(AA81&lt;-0.05,"Moins cher",IF(AA81&gt;0.05,"Plus cher","Équivalent")))</f>
        <v/>
      </c>
    </row>
    <row r="82">
      <c r="A82" s="33" t="n"/>
      <c r="B82" s="33" t="n"/>
      <c r="C82" s="33" t="n"/>
      <c r="D82" s="33" t="n"/>
      <c r="E82" s="33" t="n"/>
      <c r="F82" s="33" t="n"/>
      <c r="G82" s="34" t="n"/>
      <c r="H82" s="34" t="n"/>
      <c r="I82" s="34" t="n"/>
      <c r="J82" s="34" t="n"/>
      <c r="K82" s="34" t="n"/>
      <c r="L82" s="34" t="n"/>
      <c r="M82" s="34" t="n"/>
      <c r="N82" s="34" t="n"/>
      <c r="O82" s="34" t="n"/>
      <c r="P82" s="34" t="n"/>
      <c r="Q82" s="34" t="n"/>
      <c r="R82" s="34" t="n"/>
      <c r="S82" s="34" t="n"/>
      <c r="T82" s="34" t="n"/>
      <c r="U82" s="14" t="n"/>
      <c r="V82" s="14" t="n"/>
      <c r="W82" s="15" t="n"/>
      <c r="X82" s="16" t="n"/>
      <c r="Y82" s="15" t="n"/>
      <c r="Z82" s="17">
        <f>IF(OR(V82="",U82=""),"",V82-U82)</f>
        <v/>
      </c>
      <c r="AA82" s="18">
        <f>IF(OR(V82="",U82="",U82=0),"",(V82-U82)/U82)</f>
        <v/>
      </c>
      <c r="AB82" s="19">
        <f>IF(AA82="","",IF(AA82&lt;-0.05,"Moins cher",IF(AA82&gt;0.05,"Plus cher","Équivalent")))</f>
        <v/>
      </c>
    </row>
    <row r="83">
      <c r="A83" s="33" t="n"/>
      <c r="B83" s="33" t="n"/>
      <c r="C83" s="33" t="n"/>
      <c r="D83" s="33" t="n"/>
      <c r="E83" s="33" t="n"/>
      <c r="F83" s="33" t="n"/>
      <c r="G83" s="34" t="n"/>
      <c r="H83" s="34" t="n"/>
      <c r="I83" s="34" t="n"/>
      <c r="J83" s="34" t="n"/>
      <c r="K83" s="34" t="n"/>
      <c r="L83" s="34" t="n"/>
      <c r="M83" s="34" t="n"/>
      <c r="N83" s="34" t="n"/>
      <c r="O83" s="34" t="n"/>
      <c r="P83" s="34" t="n"/>
      <c r="Q83" s="34" t="n"/>
      <c r="R83" s="34" t="n"/>
      <c r="S83" s="34" t="n"/>
      <c r="T83" s="34" t="n"/>
      <c r="U83" s="14" t="n"/>
      <c r="V83" s="14" t="n"/>
      <c r="W83" s="15" t="n"/>
      <c r="X83" s="16" t="n"/>
      <c r="Y83" s="15" t="n"/>
      <c r="Z83" s="17">
        <f>IF(OR(V83="",U83=""),"",V83-U83)</f>
        <v/>
      </c>
      <c r="AA83" s="18">
        <f>IF(OR(V83="",U83="",U83=0),"",(V83-U83)/U83)</f>
        <v/>
      </c>
      <c r="AB83" s="19">
        <f>IF(AA83="","",IF(AA83&lt;-0.05,"Moins cher",IF(AA83&gt;0.05,"Plus cher","Équivalent")))</f>
        <v/>
      </c>
    </row>
    <row r="84">
      <c r="A84" s="33" t="n"/>
      <c r="B84" s="33" t="n"/>
      <c r="C84" s="33" t="n"/>
      <c r="D84" s="33" t="n"/>
      <c r="E84" s="33" t="n"/>
      <c r="F84" s="33" t="n"/>
      <c r="G84" s="34" t="n"/>
      <c r="H84" s="34" t="n"/>
      <c r="I84" s="34" t="n"/>
      <c r="J84" s="34" t="n"/>
      <c r="K84" s="34" t="n"/>
      <c r="L84" s="34" t="n"/>
      <c r="M84" s="34" t="n"/>
      <c r="N84" s="34" t="n"/>
      <c r="O84" s="34" t="n"/>
      <c r="P84" s="34" t="n"/>
      <c r="Q84" s="34" t="n"/>
      <c r="R84" s="34" t="n"/>
      <c r="S84" s="34" t="n"/>
      <c r="T84" s="34" t="n"/>
      <c r="U84" s="14" t="n"/>
      <c r="V84" s="14" t="n"/>
      <c r="W84" s="15" t="n"/>
      <c r="X84" s="16" t="n"/>
      <c r="Y84" s="15" t="n"/>
      <c r="Z84" s="17">
        <f>IF(OR(V84="",U84=""),"",V84-U84)</f>
        <v/>
      </c>
      <c r="AA84" s="18">
        <f>IF(OR(V84="",U84="",U84=0),"",(V84-U84)/U84)</f>
        <v/>
      </c>
      <c r="AB84" s="19">
        <f>IF(AA84="","",IF(AA84&lt;-0.05,"Moins cher",IF(AA84&gt;0.05,"Plus cher","Équivalent")))</f>
        <v/>
      </c>
    </row>
    <row r="85">
      <c r="A85" s="33" t="n"/>
      <c r="B85" s="33" t="n"/>
      <c r="C85" s="33" t="n"/>
      <c r="D85" s="33" t="n"/>
      <c r="E85" s="33" t="n"/>
      <c r="F85" s="33" t="n"/>
      <c r="G85" s="34" t="n"/>
      <c r="H85" s="34" t="n"/>
      <c r="I85" s="34" t="n"/>
      <c r="J85" s="34" t="n"/>
      <c r="K85" s="34" t="n"/>
      <c r="L85" s="34" t="n"/>
      <c r="M85" s="34" t="n"/>
      <c r="N85" s="34" t="n"/>
      <c r="O85" s="34" t="n"/>
      <c r="P85" s="34" t="n"/>
      <c r="Q85" s="34" t="n"/>
      <c r="R85" s="34" t="n"/>
      <c r="S85" s="34" t="n"/>
      <c r="T85" s="34" t="n"/>
      <c r="U85" s="14" t="n"/>
      <c r="V85" s="14" t="n"/>
      <c r="W85" s="15" t="n"/>
      <c r="X85" s="16" t="n"/>
      <c r="Y85" s="15" t="n"/>
      <c r="Z85" s="17">
        <f>IF(OR(V85="",U85=""),"",V85-U85)</f>
        <v/>
      </c>
      <c r="AA85" s="18">
        <f>IF(OR(V85="",U85="",U85=0),"",(V85-U85)/U85)</f>
        <v/>
      </c>
      <c r="AB85" s="19">
        <f>IF(AA85="","",IF(AA85&lt;-0.05,"Moins cher",IF(AA85&gt;0.05,"Plus cher","Équivalent")))</f>
        <v/>
      </c>
    </row>
    <row r="86">
      <c r="A86" s="33" t="n"/>
      <c r="B86" s="33" t="n"/>
      <c r="C86" s="33" t="n"/>
      <c r="D86" s="33" t="n"/>
      <c r="E86" s="33" t="n"/>
      <c r="F86" s="33" t="n"/>
      <c r="G86" s="34" t="n"/>
      <c r="H86" s="34" t="n"/>
      <c r="I86" s="34" t="n"/>
      <c r="J86" s="34" t="n"/>
      <c r="K86" s="34" t="n"/>
      <c r="L86" s="34" t="n"/>
      <c r="M86" s="34" t="n"/>
      <c r="N86" s="34" t="n"/>
      <c r="O86" s="34" t="n"/>
      <c r="P86" s="34" t="n"/>
      <c r="Q86" s="34" t="n"/>
      <c r="R86" s="34" t="n"/>
      <c r="S86" s="34" t="n"/>
      <c r="T86" s="34" t="n"/>
      <c r="U86" s="14" t="n"/>
      <c r="V86" s="14" t="n"/>
      <c r="W86" s="15" t="n"/>
      <c r="X86" s="16" t="n"/>
      <c r="Y86" s="15" t="n"/>
      <c r="Z86" s="17">
        <f>IF(OR(V86="",U86=""),"",V86-U86)</f>
        <v/>
      </c>
      <c r="AA86" s="18">
        <f>IF(OR(V86="",U86="",U86=0),"",(V86-U86)/U86)</f>
        <v/>
      </c>
      <c r="AB86" s="19">
        <f>IF(AA86="","",IF(AA86&lt;-0.05,"Moins cher",IF(AA86&gt;0.05,"Plus cher","Équivalent")))</f>
        <v/>
      </c>
    </row>
    <row r="87">
      <c r="A87" s="33" t="n"/>
      <c r="B87" s="33" t="n"/>
      <c r="C87" s="33" t="n"/>
      <c r="D87" s="33" t="n"/>
      <c r="E87" s="33" t="n"/>
      <c r="F87" s="33" t="n"/>
      <c r="G87" s="34" t="n"/>
      <c r="H87" s="34" t="n"/>
      <c r="I87" s="34" t="n"/>
      <c r="J87" s="34" t="n"/>
      <c r="K87" s="34" t="n"/>
      <c r="L87" s="34" t="n"/>
      <c r="M87" s="34" t="n"/>
      <c r="N87" s="34" t="n"/>
      <c r="O87" s="34" t="n"/>
      <c r="P87" s="34" t="n"/>
      <c r="Q87" s="34" t="n"/>
      <c r="R87" s="34" t="n"/>
      <c r="S87" s="34" t="n"/>
      <c r="T87" s="34" t="n"/>
      <c r="U87" s="14" t="n"/>
      <c r="V87" s="14" t="n"/>
      <c r="W87" s="15" t="n"/>
      <c r="X87" s="16" t="n"/>
      <c r="Y87" s="15" t="n"/>
      <c r="Z87" s="17">
        <f>IF(OR(V87="",U87=""),"",V87-U87)</f>
        <v/>
      </c>
      <c r="AA87" s="18">
        <f>IF(OR(V87="",U87="",U87=0),"",(V87-U87)/U87)</f>
        <v/>
      </c>
      <c r="AB87" s="19">
        <f>IF(AA87="","",IF(AA87&lt;-0.05,"Moins cher",IF(AA87&gt;0.05,"Plus cher","Équivalent")))</f>
        <v/>
      </c>
    </row>
    <row r="88">
      <c r="A88" s="33" t="n"/>
      <c r="B88" s="33" t="n"/>
      <c r="C88" s="33" t="n"/>
      <c r="D88" s="33" t="n"/>
      <c r="E88" s="33" t="n"/>
      <c r="F88" s="33" t="n"/>
      <c r="G88" s="34" t="n"/>
      <c r="H88" s="34" t="n"/>
      <c r="I88" s="34" t="n"/>
      <c r="J88" s="34" t="n"/>
      <c r="K88" s="34" t="n"/>
      <c r="L88" s="34" t="n"/>
      <c r="M88" s="34" t="n"/>
      <c r="N88" s="34" t="n"/>
      <c r="O88" s="34" t="n"/>
      <c r="P88" s="34" t="n"/>
      <c r="Q88" s="34" t="n"/>
      <c r="R88" s="34" t="n"/>
      <c r="S88" s="34" t="n"/>
      <c r="T88" s="34" t="n"/>
      <c r="U88" s="14" t="n"/>
      <c r="V88" s="14" t="n"/>
      <c r="W88" s="15" t="n"/>
      <c r="X88" s="16" t="n"/>
      <c r="Y88" s="15" t="n"/>
      <c r="Z88" s="17">
        <f>IF(OR(V88="",U88=""),"",V88-U88)</f>
        <v/>
      </c>
      <c r="AA88" s="18">
        <f>IF(OR(V88="",U88="",U88=0),"",(V88-U88)/U88)</f>
        <v/>
      </c>
      <c r="AB88" s="19">
        <f>IF(AA88="","",IF(AA88&lt;-0.05,"Moins cher",IF(AA88&gt;0.05,"Plus cher","Équivalent")))</f>
        <v/>
      </c>
    </row>
    <row r="89">
      <c r="A89" s="33" t="n"/>
      <c r="B89" s="33" t="n"/>
      <c r="C89" s="33" t="n"/>
      <c r="D89" s="33" t="n"/>
      <c r="E89" s="33" t="n"/>
      <c r="F89" s="33" t="n"/>
      <c r="G89" s="34" t="n"/>
      <c r="H89" s="34" t="n"/>
      <c r="I89" s="34" t="n"/>
      <c r="J89" s="34" t="n"/>
      <c r="K89" s="34" t="n"/>
      <c r="L89" s="34" t="n"/>
      <c r="M89" s="34" t="n"/>
      <c r="N89" s="34" t="n"/>
      <c r="O89" s="34" t="n"/>
      <c r="P89" s="34" t="n"/>
      <c r="Q89" s="34" t="n"/>
      <c r="R89" s="34" t="n"/>
      <c r="S89" s="34" t="n"/>
      <c r="T89" s="34" t="n"/>
      <c r="U89" s="14" t="n"/>
      <c r="V89" s="14" t="n"/>
      <c r="W89" s="15" t="n"/>
      <c r="X89" s="16" t="n"/>
      <c r="Y89" s="15" t="n"/>
      <c r="Z89" s="17">
        <f>IF(OR(V89="",U89=""),"",V89-U89)</f>
        <v/>
      </c>
      <c r="AA89" s="18">
        <f>IF(OR(V89="",U89="",U89=0),"",(V89-U89)/U89)</f>
        <v/>
      </c>
      <c r="AB89" s="19">
        <f>IF(AA89="","",IF(AA89&lt;-0.05,"Moins cher",IF(AA89&gt;0.05,"Plus cher","Équivalent")))</f>
        <v/>
      </c>
    </row>
    <row r="90">
      <c r="A90" s="33" t="n"/>
      <c r="B90" s="33" t="n"/>
      <c r="C90" s="33" t="n"/>
      <c r="D90" s="33" t="n"/>
      <c r="E90" s="33" t="n"/>
      <c r="F90" s="33" t="n"/>
      <c r="G90" s="34" t="n"/>
      <c r="H90" s="34" t="n"/>
      <c r="I90" s="34" t="n"/>
      <c r="J90" s="34" t="n"/>
      <c r="K90" s="34" t="n"/>
      <c r="L90" s="34" t="n"/>
      <c r="M90" s="34" t="n"/>
      <c r="N90" s="34" t="n"/>
      <c r="O90" s="34" t="n"/>
      <c r="P90" s="34" t="n"/>
      <c r="Q90" s="34" t="n"/>
      <c r="R90" s="34" t="n"/>
      <c r="S90" s="34" t="n"/>
      <c r="T90" s="34" t="n"/>
      <c r="U90" s="14" t="n"/>
      <c r="V90" s="14" t="n"/>
      <c r="W90" s="15" t="n"/>
      <c r="X90" s="16" t="n"/>
      <c r="Y90" s="15" t="n"/>
      <c r="Z90" s="17">
        <f>IF(OR(V90="",U90=""),"",V90-U90)</f>
        <v/>
      </c>
      <c r="AA90" s="18">
        <f>IF(OR(V90="",U90="",U90=0),"",(V90-U90)/U90)</f>
        <v/>
      </c>
      <c r="AB90" s="19">
        <f>IF(AA90="","",IF(AA90&lt;-0.05,"Moins cher",IF(AA90&gt;0.05,"Plus cher","Équivalent")))</f>
        <v/>
      </c>
    </row>
  </sheetData>
  <sheetProtection selectLockedCells="0" selectUnlockedCells="0" sheet="1" objects="0" insertRows="0" insertHyperlinks="1" autoFilter="0" scenarios="0" formatColumns="0" deleteColumns="1" insertColumns="1" pivotTables="1" deleteRows="0" formatCells="0" formatRows="0" sort="0"/>
  <autoFilter ref="A1:AB90"/>
  <conditionalFormatting sqref="AA2:AA90">
    <cfRule type="cellIs" priority="1" operator="greaterThan" dxfId="0">
      <formula>0.05</formula>
    </cfRule>
    <cfRule type="cellIs" priority="2" operator="lessThan" dxfId="1">
      <formula>-0.05</formula>
    </cfRule>
    <cfRule type="cellIs" priority="3" operator="between" dxfId="2">
      <formula>-0.05</formula>
      <formula>0.05</formula>
    </cfRule>
  </conditionalFormatting>
  <hyperlinks>
    <hyperlink xmlns:r="http://schemas.openxmlformats.org/officeDocument/2006/relationships" ref="R2" r:id="rId1"/>
    <hyperlink xmlns:r="http://schemas.openxmlformats.org/officeDocument/2006/relationships" ref="S2" r:id="rId2"/>
    <hyperlink xmlns:r="http://schemas.openxmlformats.org/officeDocument/2006/relationships" ref="R3" r:id="rId3"/>
    <hyperlink xmlns:r="http://schemas.openxmlformats.org/officeDocument/2006/relationships" ref="S3" r:id="rId4"/>
    <hyperlink xmlns:r="http://schemas.openxmlformats.org/officeDocument/2006/relationships" ref="R4" r:id="rId5"/>
    <hyperlink xmlns:r="http://schemas.openxmlformats.org/officeDocument/2006/relationships" ref="S4" r:id="rId6"/>
    <hyperlink xmlns:r="http://schemas.openxmlformats.org/officeDocument/2006/relationships" ref="R5" r:id="rId7"/>
    <hyperlink xmlns:r="http://schemas.openxmlformats.org/officeDocument/2006/relationships" ref="S5" r:id="rId8"/>
    <hyperlink xmlns:r="http://schemas.openxmlformats.org/officeDocument/2006/relationships" ref="R6" r:id="rId9"/>
    <hyperlink xmlns:r="http://schemas.openxmlformats.org/officeDocument/2006/relationships" ref="S6" r:id="rId10"/>
    <hyperlink xmlns:r="http://schemas.openxmlformats.org/officeDocument/2006/relationships" ref="R7" r:id="rId11"/>
    <hyperlink xmlns:r="http://schemas.openxmlformats.org/officeDocument/2006/relationships" ref="S7" r:id="rId12"/>
    <hyperlink xmlns:r="http://schemas.openxmlformats.org/officeDocument/2006/relationships" ref="R8" r:id="rId13"/>
    <hyperlink xmlns:r="http://schemas.openxmlformats.org/officeDocument/2006/relationships" ref="S8" r:id="rId14"/>
    <hyperlink xmlns:r="http://schemas.openxmlformats.org/officeDocument/2006/relationships" ref="R9" r:id="rId15"/>
    <hyperlink xmlns:r="http://schemas.openxmlformats.org/officeDocument/2006/relationships" ref="S9" r:id="rId16"/>
    <hyperlink xmlns:r="http://schemas.openxmlformats.org/officeDocument/2006/relationships" ref="R10" r:id="rId17"/>
    <hyperlink xmlns:r="http://schemas.openxmlformats.org/officeDocument/2006/relationships" ref="S10" r:id="rId18"/>
    <hyperlink xmlns:r="http://schemas.openxmlformats.org/officeDocument/2006/relationships" ref="R11" r:id="rId19"/>
    <hyperlink xmlns:r="http://schemas.openxmlformats.org/officeDocument/2006/relationships" ref="S11" r:id="rId20"/>
    <hyperlink xmlns:r="http://schemas.openxmlformats.org/officeDocument/2006/relationships" ref="R12" r:id="rId21"/>
    <hyperlink xmlns:r="http://schemas.openxmlformats.org/officeDocument/2006/relationships" ref="S12" r:id="rId22"/>
    <hyperlink xmlns:r="http://schemas.openxmlformats.org/officeDocument/2006/relationships" ref="R13" r:id="rId23"/>
    <hyperlink xmlns:r="http://schemas.openxmlformats.org/officeDocument/2006/relationships" ref="S13" r:id="rId24"/>
    <hyperlink xmlns:r="http://schemas.openxmlformats.org/officeDocument/2006/relationships" ref="R14" r:id="rId25"/>
    <hyperlink xmlns:r="http://schemas.openxmlformats.org/officeDocument/2006/relationships" ref="S14" r:id="rId26"/>
    <hyperlink xmlns:r="http://schemas.openxmlformats.org/officeDocument/2006/relationships" ref="R15" r:id="rId27"/>
    <hyperlink xmlns:r="http://schemas.openxmlformats.org/officeDocument/2006/relationships" ref="S15" r:id="rId28"/>
    <hyperlink xmlns:r="http://schemas.openxmlformats.org/officeDocument/2006/relationships" ref="R16" r:id="rId29"/>
    <hyperlink xmlns:r="http://schemas.openxmlformats.org/officeDocument/2006/relationships" ref="S16" r:id="rId30"/>
    <hyperlink xmlns:r="http://schemas.openxmlformats.org/officeDocument/2006/relationships" ref="R17" r:id="rId31"/>
    <hyperlink xmlns:r="http://schemas.openxmlformats.org/officeDocument/2006/relationships" ref="S17" r:id="rId32"/>
    <hyperlink xmlns:r="http://schemas.openxmlformats.org/officeDocument/2006/relationships" ref="R18" r:id="rId33"/>
    <hyperlink xmlns:r="http://schemas.openxmlformats.org/officeDocument/2006/relationships" ref="S18" r:id="rId34"/>
    <hyperlink xmlns:r="http://schemas.openxmlformats.org/officeDocument/2006/relationships" ref="R19" r:id="rId35"/>
    <hyperlink xmlns:r="http://schemas.openxmlformats.org/officeDocument/2006/relationships" ref="S19" r:id="rId36"/>
    <hyperlink xmlns:r="http://schemas.openxmlformats.org/officeDocument/2006/relationships" ref="R20" r:id="rId37"/>
    <hyperlink xmlns:r="http://schemas.openxmlformats.org/officeDocument/2006/relationships" ref="S20" r:id="rId38"/>
    <hyperlink xmlns:r="http://schemas.openxmlformats.org/officeDocument/2006/relationships" ref="R21" r:id="rId39"/>
    <hyperlink xmlns:r="http://schemas.openxmlformats.org/officeDocument/2006/relationships" ref="S21" r:id="rId40"/>
    <hyperlink xmlns:r="http://schemas.openxmlformats.org/officeDocument/2006/relationships" ref="R22" r:id="rId41"/>
    <hyperlink xmlns:r="http://schemas.openxmlformats.org/officeDocument/2006/relationships" ref="S22" r:id="rId42"/>
    <hyperlink xmlns:r="http://schemas.openxmlformats.org/officeDocument/2006/relationships" ref="R23" r:id="rId43"/>
    <hyperlink xmlns:r="http://schemas.openxmlformats.org/officeDocument/2006/relationships" ref="S23" r:id="rId44"/>
    <hyperlink xmlns:r="http://schemas.openxmlformats.org/officeDocument/2006/relationships" ref="R24" r:id="rId45"/>
    <hyperlink xmlns:r="http://schemas.openxmlformats.org/officeDocument/2006/relationships" ref="S24" r:id="rId46"/>
    <hyperlink xmlns:r="http://schemas.openxmlformats.org/officeDocument/2006/relationships" ref="R25" r:id="rId47"/>
    <hyperlink xmlns:r="http://schemas.openxmlformats.org/officeDocument/2006/relationships" ref="S25" r:id="rId48"/>
    <hyperlink xmlns:r="http://schemas.openxmlformats.org/officeDocument/2006/relationships" ref="R26" r:id="rId49"/>
    <hyperlink xmlns:r="http://schemas.openxmlformats.org/officeDocument/2006/relationships" ref="S26" r:id="rId50"/>
    <hyperlink xmlns:r="http://schemas.openxmlformats.org/officeDocument/2006/relationships" ref="R27" r:id="rId51"/>
    <hyperlink xmlns:r="http://schemas.openxmlformats.org/officeDocument/2006/relationships" ref="S27" r:id="rId52"/>
    <hyperlink xmlns:r="http://schemas.openxmlformats.org/officeDocument/2006/relationships" ref="R28" r:id="rId53"/>
    <hyperlink xmlns:r="http://schemas.openxmlformats.org/officeDocument/2006/relationships" ref="S28" r:id="rId54"/>
    <hyperlink xmlns:r="http://schemas.openxmlformats.org/officeDocument/2006/relationships" ref="R29" r:id="rId55"/>
    <hyperlink xmlns:r="http://schemas.openxmlformats.org/officeDocument/2006/relationships" ref="S29" r:id="rId56"/>
    <hyperlink xmlns:r="http://schemas.openxmlformats.org/officeDocument/2006/relationships" ref="R30" r:id="rId57"/>
    <hyperlink xmlns:r="http://schemas.openxmlformats.org/officeDocument/2006/relationships" ref="S30" r:id="rId58"/>
    <hyperlink xmlns:r="http://schemas.openxmlformats.org/officeDocument/2006/relationships" ref="R31" r:id="rId59"/>
    <hyperlink xmlns:r="http://schemas.openxmlformats.org/officeDocument/2006/relationships" ref="S31" r:id="rId60"/>
    <hyperlink xmlns:r="http://schemas.openxmlformats.org/officeDocument/2006/relationships" ref="R32" r:id="rId61"/>
    <hyperlink xmlns:r="http://schemas.openxmlformats.org/officeDocument/2006/relationships" ref="S32" r:id="rId62"/>
    <hyperlink xmlns:r="http://schemas.openxmlformats.org/officeDocument/2006/relationships" ref="R33" r:id="rId63"/>
    <hyperlink xmlns:r="http://schemas.openxmlformats.org/officeDocument/2006/relationships" ref="S33" r:id="rId64"/>
    <hyperlink xmlns:r="http://schemas.openxmlformats.org/officeDocument/2006/relationships" ref="R34" r:id="rId65"/>
    <hyperlink xmlns:r="http://schemas.openxmlformats.org/officeDocument/2006/relationships" ref="S34" r:id="rId66"/>
    <hyperlink xmlns:r="http://schemas.openxmlformats.org/officeDocument/2006/relationships" ref="R35" r:id="rId67"/>
    <hyperlink xmlns:r="http://schemas.openxmlformats.org/officeDocument/2006/relationships" ref="S35" r:id="rId68"/>
    <hyperlink xmlns:r="http://schemas.openxmlformats.org/officeDocument/2006/relationships" ref="R36" r:id="rId69"/>
    <hyperlink xmlns:r="http://schemas.openxmlformats.org/officeDocument/2006/relationships" ref="S36" r:id="rId70"/>
    <hyperlink xmlns:r="http://schemas.openxmlformats.org/officeDocument/2006/relationships" ref="R37" r:id="rId71"/>
    <hyperlink xmlns:r="http://schemas.openxmlformats.org/officeDocument/2006/relationships" ref="S37" r:id="rId72"/>
    <hyperlink xmlns:r="http://schemas.openxmlformats.org/officeDocument/2006/relationships" ref="R38" r:id="rId73"/>
    <hyperlink xmlns:r="http://schemas.openxmlformats.org/officeDocument/2006/relationships" ref="S38" r:id="rId74"/>
    <hyperlink xmlns:r="http://schemas.openxmlformats.org/officeDocument/2006/relationships" ref="R39" r:id="rId75"/>
    <hyperlink xmlns:r="http://schemas.openxmlformats.org/officeDocument/2006/relationships" ref="S39" r:id="rId76"/>
    <hyperlink xmlns:r="http://schemas.openxmlformats.org/officeDocument/2006/relationships" ref="R40" r:id="rId77"/>
    <hyperlink xmlns:r="http://schemas.openxmlformats.org/officeDocument/2006/relationships" ref="S40" r:id="rId78"/>
    <hyperlink xmlns:r="http://schemas.openxmlformats.org/officeDocument/2006/relationships" ref="R41" r:id="rId79"/>
    <hyperlink xmlns:r="http://schemas.openxmlformats.org/officeDocument/2006/relationships" ref="S41" r:id="rId80"/>
    <hyperlink xmlns:r="http://schemas.openxmlformats.org/officeDocument/2006/relationships" ref="R42" r:id="rId81"/>
    <hyperlink xmlns:r="http://schemas.openxmlformats.org/officeDocument/2006/relationships" ref="S42" r:id="rId82"/>
    <hyperlink xmlns:r="http://schemas.openxmlformats.org/officeDocument/2006/relationships" ref="R43" r:id="rId83"/>
    <hyperlink xmlns:r="http://schemas.openxmlformats.org/officeDocument/2006/relationships" ref="S43" r:id="rId84"/>
    <hyperlink xmlns:r="http://schemas.openxmlformats.org/officeDocument/2006/relationships" ref="R44" r:id="rId85"/>
    <hyperlink xmlns:r="http://schemas.openxmlformats.org/officeDocument/2006/relationships" ref="S44" r:id="rId86"/>
    <hyperlink xmlns:r="http://schemas.openxmlformats.org/officeDocument/2006/relationships" ref="R45" r:id="rId87"/>
    <hyperlink xmlns:r="http://schemas.openxmlformats.org/officeDocument/2006/relationships" ref="S45" r:id="rId88"/>
    <hyperlink xmlns:r="http://schemas.openxmlformats.org/officeDocument/2006/relationships" ref="R46" r:id="rId89"/>
    <hyperlink xmlns:r="http://schemas.openxmlformats.org/officeDocument/2006/relationships" ref="S46" r:id="rId90"/>
    <hyperlink xmlns:r="http://schemas.openxmlformats.org/officeDocument/2006/relationships" ref="R47" r:id="rId91"/>
    <hyperlink xmlns:r="http://schemas.openxmlformats.org/officeDocument/2006/relationships" ref="S47" r:id="rId92"/>
    <hyperlink xmlns:r="http://schemas.openxmlformats.org/officeDocument/2006/relationships" ref="R48" r:id="rId93"/>
    <hyperlink xmlns:r="http://schemas.openxmlformats.org/officeDocument/2006/relationships" ref="S48" r:id="rId94"/>
    <hyperlink xmlns:r="http://schemas.openxmlformats.org/officeDocument/2006/relationships" ref="R49" r:id="rId95"/>
    <hyperlink xmlns:r="http://schemas.openxmlformats.org/officeDocument/2006/relationships" ref="S49" r:id="rId96"/>
    <hyperlink xmlns:r="http://schemas.openxmlformats.org/officeDocument/2006/relationships" ref="R50" r:id="rId97"/>
    <hyperlink xmlns:r="http://schemas.openxmlformats.org/officeDocument/2006/relationships" ref="S50" r:id="rId98"/>
    <hyperlink xmlns:r="http://schemas.openxmlformats.org/officeDocument/2006/relationships" ref="R51" r:id="rId99"/>
    <hyperlink xmlns:r="http://schemas.openxmlformats.org/officeDocument/2006/relationships" ref="S51" r:id="rId100"/>
    <hyperlink xmlns:r="http://schemas.openxmlformats.org/officeDocument/2006/relationships" ref="R52" r:id="rId101"/>
    <hyperlink xmlns:r="http://schemas.openxmlformats.org/officeDocument/2006/relationships" ref="S52" r:id="rId102"/>
    <hyperlink xmlns:r="http://schemas.openxmlformats.org/officeDocument/2006/relationships" ref="R53" r:id="rId103"/>
    <hyperlink xmlns:r="http://schemas.openxmlformats.org/officeDocument/2006/relationships" ref="S53" r:id="rId104"/>
    <hyperlink xmlns:r="http://schemas.openxmlformats.org/officeDocument/2006/relationships" ref="R54" r:id="rId105"/>
    <hyperlink xmlns:r="http://schemas.openxmlformats.org/officeDocument/2006/relationships" ref="S54" r:id="rId106"/>
    <hyperlink xmlns:r="http://schemas.openxmlformats.org/officeDocument/2006/relationships" ref="R55" r:id="rId107"/>
    <hyperlink xmlns:r="http://schemas.openxmlformats.org/officeDocument/2006/relationships" ref="S55" r:id="rId108"/>
    <hyperlink xmlns:r="http://schemas.openxmlformats.org/officeDocument/2006/relationships" ref="R56" r:id="rId109"/>
    <hyperlink xmlns:r="http://schemas.openxmlformats.org/officeDocument/2006/relationships" ref="S56" r:id="rId110"/>
    <hyperlink xmlns:r="http://schemas.openxmlformats.org/officeDocument/2006/relationships" ref="R57" r:id="rId111"/>
    <hyperlink xmlns:r="http://schemas.openxmlformats.org/officeDocument/2006/relationships" ref="S57" r:id="rId112"/>
    <hyperlink xmlns:r="http://schemas.openxmlformats.org/officeDocument/2006/relationships" ref="R58" r:id="rId113"/>
    <hyperlink xmlns:r="http://schemas.openxmlformats.org/officeDocument/2006/relationships" ref="S58" r:id="rId114"/>
    <hyperlink xmlns:r="http://schemas.openxmlformats.org/officeDocument/2006/relationships" ref="R59" r:id="rId115"/>
    <hyperlink xmlns:r="http://schemas.openxmlformats.org/officeDocument/2006/relationships" ref="S59" r:id="rId116"/>
    <hyperlink xmlns:r="http://schemas.openxmlformats.org/officeDocument/2006/relationships" ref="R60" r:id="rId117"/>
    <hyperlink xmlns:r="http://schemas.openxmlformats.org/officeDocument/2006/relationships" ref="S60" r:id="rId118"/>
  </hyperlinks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S27"/>
  <sheetViews>
    <sheetView showGridLines="0" workbookViewId="0">
      <pane xSplit="2" ySplit="1" topLeftCell="C2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8" customWidth="1" min="1" max="1"/>
    <col width="16" customWidth="1" min="2" max="2"/>
    <col width="42" customWidth="1" min="3" max="3"/>
    <col width="18" customWidth="1" min="4" max="4"/>
    <col width="30" customWidth="1" min="5" max="5"/>
    <col width="28" customWidth="1" min="6" max="6"/>
    <col width="32" customWidth="1" min="7" max="7"/>
    <col width="14" customWidth="1" min="8" max="8"/>
    <col width="20" customWidth="1" min="9" max="9"/>
    <col width="28" customWidth="1" min="10" max="10"/>
    <col width="26" customWidth="1" min="11" max="11"/>
    <col width="14" customWidth="1" min="12" max="12"/>
    <col width="10" customWidth="1" min="13" max="13"/>
    <col width="40" customWidth="1" min="14" max="14"/>
    <col width="28" customWidth="1" min="15" max="15"/>
    <col width="56" customWidth="1" min="16" max="16"/>
    <col width="56" customWidth="1" min="17" max="17"/>
    <col width="14" customWidth="1" min="18" max="18"/>
    <col width="74" customWidth="1" min="19" max="19"/>
  </cols>
  <sheetData>
    <row r="1" ht="46" customHeight="1">
      <c r="A1" s="2" t="inlineStr">
        <is>
          <t>Clé</t>
        </is>
      </c>
      <c r="B1" s="2" t="inlineStr">
        <is>
          <t>Marque</t>
        </is>
      </c>
      <c r="C1" s="2" t="inlineStr">
        <is>
          <t>Modèle</t>
        </is>
      </c>
      <c r="D1" s="2" t="inlineStr">
        <is>
          <t>Catégorie</t>
        </is>
      </c>
      <c r="E1" s="2" t="inlineStr">
        <is>
          <t>Technologie</t>
        </is>
      </c>
      <c r="F1" s="2" t="inlineStr">
        <is>
          <t>Fréquence / débit</t>
        </is>
      </c>
      <c r="G1" s="2" t="inlineStr">
        <is>
          <t>Modes</t>
        </is>
      </c>
      <c r="H1" s="2" t="inlineStr">
        <is>
          <t>Autonomie (jours)</t>
        </is>
      </c>
      <c r="I1" s="2" t="inlineStr">
        <is>
          <t>Étanchéité</t>
        </is>
      </c>
      <c r="J1" s="2" t="inlineStr">
        <is>
          <t>Capteur de pression</t>
        </is>
      </c>
      <c r="K1" s="2" t="inlineStr">
        <is>
          <t>Alimentation / charge</t>
        </is>
      </c>
      <c r="L1" s="2" t="inlineStr">
        <is>
          <t>Prix relevé</t>
        </is>
      </c>
      <c r="M1" s="2" t="inlineStr">
        <is>
          <t>Devise</t>
        </is>
      </c>
      <c r="N1" s="2" t="inlineStr">
        <is>
          <t>Marchés où le produit est distribué</t>
        </is>
      </c>
      <c r="O1" s="2" t="inlineStr">
        <is>
          <t>Canal de distribution</t>
        </is>
      </c>
      <c r="P1" s="2" t="inlineStr">
        <is>
          <t>Lien produit</t>
        </is>
      </c>
      <c r="Q1" s="2" t="inlineStr">
        <is>
          <t>Lien source secondaire</t>
        </is>
      </c>
      <c r="R1" s="2" t="inlineStr">
        <is>
          <t>Date du relevé</t>
        </is>
      </c>
      <c r="S1" s="2" t="inlineStr">
        <is>
          <t>Remarque</t>
        </is>
      </c>
    </row>
    <row r="2">
      <c r="A2" s="37" t="inlineStr">
        <is>
          <t>ADDIGOES</t>
        </is>
      </c>
      <c r="B2" s="37" t="inlineStr">
        <is>
          <t>Addigoes (marketplace)</t>
        </is>
      </c>
      <c r="C2" s="37" t="inlineStr">
        <is>
          <t>Brosse sonique USB 6 modes, 4 têtes</t>
        </is>
      </c>
      <c r="D2" s="37" t="inlineStr">
        <is>
          <t>Brosse à dents</t>
        </is>
      </c>
      <c r="E2" s="37" t="inlineStr">
        <is>
          <t>Sonique</t>
        </is>
      </c>
      <c r="F2" s="37" t="inlineStr">
        <is>
          <t>42 000 vibrations/min</t>
        </is>
      </c>
      <c r="G2" s="37" t="inlineStr">
        <is>
          <t>6 modes</t>
        </is>
      </c>
      <c r="H2" s="37" t="n">
        <v>60</v>
      </c>
      <c r="I2" s="37" t="inlineStr">
        <is>
          <t>Étanche (indice non précisé)</t>
        </is>
      </c>
      <c r="J2" s="37" t="inlineStr">
        <is>
          <t>Non</t>
        </is>
      </c>
      <c r="K2" s="37" t="inlineStr">
        <is>
          <t>USB</t>
        </is>
      </c>
      <c r="L2" s="38" t="inlineStr">
        <is>
          <t>N/D</t>
        </is>
      </c>
      <c r="M2" s="37" t="inlineStr">
        <is>
          <t>XOF</t>
        </is>
      </c>
      <c r="N2" s="37" t="inlineStr">
        <is>
          <t>Côte d'Ivoire (Jumia, vérifié)</t>
        </is>
      </c>
      <c r="O2" s="37" t="inlineStr">
        <is>
          <t>Jumia CI</t>
        </is>
      </c>
      <c r="P2" s="39" t="inlineStr">
        <is>
          <t>https://www.jumia.ci/addigoes-brosse-a-dents-electrique-sonique-rechargeable-usb-6-modes-etanche-haute-frequence-4-tetes-de-brosse-nettoyage-dentaire-professionnel-noir-30497266.html</t>
        </is>
      </c>
      <c r="Q2" s="39" t="inlineStr">
        <is>
          <t>https://www.jumia.ci/brosse-a-dents-electrique/</t>
        </is>
      </c>
      <c r="R2" s="40" t="inlineStr">
        <is>
          <t>2026-09-03</t>
        </is>
      </c>
      <c r="S2" s="37" t="inlineStr">
        <is>
          <t>Amplitude 6 mm annoncée et pack 4 têtes, concurrent frontal des SEAGO à moteur magnétique.</t>
        </is>
      </c>
    </row>
    <row r="3">
      <c r="A3" s="41" t="inlineStr">
        <is>
          <t>COLGATE_150</t>
        </is>
      </c>
      <c r="B3" s="41" t="inlineStr">
        <is>
          <t>Colgate</t>
        </is>
      </c>
      <c r="C3" s="41" t="inlineStr">
        <is>
          <t>ProClinical 150 (Charcoal / Deep Clean)</t>
        </is>
      </c>
      <c r="D3" s="41" t="inlineStr">
        <is>
          <t>Brosse à dents</t>
        </is>
      </c>
      <c r="E3" s="41" t="inlineStr">
        <is>
          <t>Sonique à piles</t>
        </is>
      </c>
      <c r="F3" s="41" t="inlineStr">
        <is>
          <t>20 000 strokes/min</t>
        </is>
      </c>
      <c r="G3" s="41" t="inlineStr">
        <is>
          <t>1 mode</t>
        </is>
      </c>
      <c r="H3" s="42" t="inlineStr">
        <is>
          <t>N/D</t>
        </is>
      </c>
      <c r="I3" s="42" t="inlineStr">
        <is>
          <t>N/D</t>
        </is>
      </c>
      <c r="J3" s="41" t="inlineStr">
        <is>
          <t>Non</t>
        </is>
      </c>
      <c r="K3" s="41" t="inlineStr">
        <is>
          <t>2 piles AAA</t>
        </is>
      </c>
      <c r="L3" s="43" t="inlineStr">
        <is>
          <t>N/D</t>
        </is>
      </c>
      <c r="M3" s="42" t="inlineStr">
        <is>
          <t>N/D</t>
        </is>
      </c>
      <c r="N3" s="41" t="inlineStr">
        <is>
          <t>Non vérifié sur les marchés cibles (marque Colgate largement distribuée en GMS et pharmacie)</t>
        </is>
      </c>
      <c r="O3" s="41" t="inlineStr">
        <is>
          <t>GMS, pharmacies</t>
        </is>
      </c>
      <c r="P3" s="44" t="inlineStr">
        <is>
          <t>https://www.colgate.com/en-my/products/toothbrush/colgate-proclinical-150-charcoal-battery-powered-toothbrush</t>
        </is>
      </c>
      <c r="Q3" s="44" t="inlineStr">
        <is>
          <t>https://www.colgate.com/en-my/products/toothbrush/colgate-proclinical-150-deepclean-battery-powered-toothbrush</t>
        </is>
      </c>
      <c r="R3" s="45" t="inlineStr">
        <is>
          <t>2026-09-03</t>
        </is>
      </c>
      <c r="S3" s="41" t="inlineStr">
        <is>
          <t>Concurrent de référence du segment SEAGO à piles : marque installée, prix d'entrée, tête remplaçable.</t>
        </is>
      </c>
    </row>
    <row r="4">
      <c r="A4" s="37" t="inlineStr">
        <is>
          <t>FW_D7</t>
        </is>
      </c>
      <c r="B4" s="37" t="inlineStr">
        <is>
          <t>Fairywill</t>
        </is>
      </c>
      <c r="C4" s="37" t="inlineStr">
        <is>
          <t>D7 Sonic (4 têtes)</t>
        </is>
      </c>
      <c r="D4" s="37" t="inlineStr">
        <is>
          <t>Brosse à dents</t>
        </is>
      </c>
      <c r="E4" s="37" t="inlineStr">
        <is>
          <t>Sonique</t>
        </is>
      </c>
      <c r="F4" s="46" t="inlineStr">
        <is>
          <t>N/D</t>
        </is>
      </c>
      <c r="G4" s="37" t="inlineStr">
        <is>
          <t>5 modes</t>
        </is>
      </c>
      <c r="H4" s="37" t="n">
        <v>30</v>
      </c>
      <c r="I4" s="37" t="inlineStr">
        <is>
          <t>IPX7</t>
        </is>
      </c>
      <c r="J4" s="37" t="inlineStr">
        <is>
          <t>Non</t>
        </is>
      </c>
      <c r="K4" s="37" t="inlineStr">
        <is>
          <t>USB</t>
        </is>
      </c>
      <c r="L4" s="38" t="inlineStr">
        <is>
          <t>N/D</t>
        </is>
      </c>
      <c r="M4" s="46" t="inlineStr">
        <is>
          <t>N/D</t>
        </is>
      </c>
      <c r="N4" s="37" t="inlineStr">
        <is>
          <t>Maroc (Jumia, marque référencée)</t>
        </is>
      </c>
      <c r="O4" s="37" t="inlineStr">
        <is>
          <t>Jumia, Amazon</t>
        </is>
      </c>
      <c r="P4" s="39" t="inlineStr">
        <is>
          <t>https://www.fairywill.com/products/fairywill-electric-toothbrush-d7-sonic-rechargeable-4-heads-usb-ipx7-5-modes</t>
        </is>
      </c>
      <c r="Q4" s="39" t="inlineStr">
        <is>
          <t>https://www.jumia.ma/brosse-a-dents-electrique/fairywill/</t>
        </is>
      </c>
      <c r="R4" s="40" t="inlineStr">
        <is>
          <t>2026-09-03</t>
        </is>
      </c>
      <c r="S4" s="37" t="inlineStr">
        <is>
          <t>Pack manche + 4 têtes, équivalent des packs SEAGO 1 brosse + 3 têtes.</t>
        </is>
      </c>
    </row>
    <row r="5">
      <c r="A5" s="41" t="inlineStr">
        <is>
          <t>FW507</t>
        </is>
      </c>
      <c r="B5" s="41" t="inlineStr">
        <is>
          <t>Fairywill</t>
        </is>
      </c>
      <c r="C5" s="41" t="inlineStr">
        <is>
          <t>FW-507 Sonic</t>
        </is>
      </c>
      <c r="D5" s="41" t="inlineStr">
        <is>
          <t>Brosse à dents</t>
        </is>
      </c>
      <c r="E5" s="41" t="inlineStr">
        <is>
          <t>Sonique</t>
        </is>
      </c>
      <c r="F5" s="41" t="inlineStr">
        <is>
          <t>40 000 strokes/min</t>
        </is>
      </c>
      <c r="G5" s="41" t="inlineStr">
        <is>
          <t>5 modes (Clean, Sensitive, Massage, White, Polish)</t>
        </is>
      </c>
      <c r="H5" s="41" t="n">
        <v>30</v>
      </c>
      <c r="I5" s="41" t="inlineStr">
        <is>
          <t>IPX7</t>
        </is>
      </c>
      <c r="J5" s="41" t="inlineStr">
        <is>
          <t>Non</t>
        </is>
      </c>
      <c r="K5" s="41" t="inlineStr">
        <is>
          <t>USB, charge 4 h</t>
        </is>
      </c>
      <c r="L5" s="43" t="inlineStr">
        <is>
          <t>N/D</t>
        </is>
      </c>
      <c r="M5" s="42" t="inlineStr">
        <is>
          <t>N/D</t>
        </is>
      </c>
      <c r="N5" s="41" t="inlineStr">
        <is>
          <t>Maroc (Jumia, marque référencée)</t>
        </is>
      </c>
      <c r="O5" s="41" t="inlineStr">
        <is>
          <t>Jumia, Amazon, marketplaces</t>
        </is>
      </c>
      <c r="P5" s="44" t="inlineStr">
        <is>
          <t>https://www.fairywill.com/products/fairywill-electric-toothbrush-30-days-usage-5-modes-changeable-heads-timer</t>
        </is>
      </c>
      <c r="Q5" s="44" t="inlineStr">
        <is>
          <t>https://www.jumia.ma/brosse-a-dents-electrique/fairywill/</t>
        </is>
      </c>
      <c r="R5" s="45" t="inlineStr">
        <is>
          <t>2026-09-03</t>
        </is>
      </c>
      <c r="S5" s="41" t="inlineStr">
        <is>
          <t>Concurrent le plus proche du coeur de gamme SEAGO : mêmes 5 modes, même fréquence, même architecture USB.</t>
        </is>
      </c>
    </row>
    <row r="6">
      <c r="A6" s="37" t="inlineStr">
        <is>
          <t>GEN_JUMIA_CI</t>
        </is>
      </c>
      <c r="B6" s="37" t="inlineStr">
        <is>
          <t>Generic (marketplace)</t>
        </is>
      </c>
      <c r="C6" s="37" t="inlineStr">
        <is>
          <t>Brosse à dents électrique intelligente ultra sonique</t>
        </is>
      </c>
      <c r="D6" s="37" t="inlineStr">
        <is>
          <t>Brosse à dents</t>
        </is>
      </c>
      <c r="E6" s="37" t="inlineStr">
        <is>
          <t>Sonique à lévitation magnétique</t>
        </is>
      </c>
      <c r="F6" s="46" t="inlineStr">
        <is>
          <t>N/D</t>
        </is>
      </c>
      <c r="G6" s="37" t="inlineStr">
        <is>
          <t>5 modes</t>
        </is>
      </c>
      <c r="H6" s="37" t="n">
        <v>15</v>
      </c>
      <c r="I6" s="46" t="inlineStr">
        <is>
          <t>N/D</t>
        </is>
      </c>
      <c r="J6" s="37" t="inlineStr">
        <is>
          <t>Non</t>
        </is>
      </c>
      <c r="K6" s="37" t="inlineStr">
        <is>
          <t>USB rapide, 2 h</t>
        </is>
      </c>
      <c r="L6" s="38" t="inlineStr">
        <is>
          <t>N/D</t>
        </is>
      </c>
      <c r="M6" s="37" t="inlineStr">
        <is>
          <t>XOF</t>
        </is>
      </c>
      <c r="N6" s="37" t="inlineStr">
        <is>
          <t>Côte d'Ivoire (Jumia, vérifié)</t>
        </is>
      </c>
      <c r="O6" s="37" t="inlineStr">
        <is>
          <t>Jumia CI</t>
        </is>
      </c>
      <c r="P6" s="39" t="inlineStr">
        <is>
          <t>https://www.jumia.ci/generic-brosse-a-dents-electrique-intelligente-ultra-sonique-bleuvert-20003595.html</t>
        </is>
      </c>
      <c r="Q6" s="39" t="inlineStr">
        <is>
          <t>https://www.jumia.ci/generic-brosse-a-dents-electrique-a-ultrasons-intelligente-4-tetes-de-brosse-30336847.html</t>
        </is>
      </c>
      <c r="R6" s="40" t="inlineStr">
        <is>
          <t>2026-09-03</t>
        </is>
      </c>
      <c r="S6" s="37" t="inlineStr">
        <is>
          <t>Offre sans marque la plus visible sur Jumia CI, référence du plancher de prix du marché ivoirien.</t>
        </is>
      </c>
    </row>
    <row r="7">
      <c r="A7" s="41" t="inlineStr">
        <is>
          <t>OCLEAN_XPRO</t>
        </is>
      </c>
      <c r="B7" s="41" t="inlineStr">
        <is>
          <t>Oclean</t>
        </is>
      </c>
      <c r="C7" s="41" t="inlineStr">
        <is>
          <t>X Pro Elite</t>
        </is>
      </c>
      <c r="D7" s="41" t="inlineStr">
        <is>
          <t>Brosse à dents</t>
        </is>
      </c>
      <c r="E7" s="41" t="inlineStr">
        <is>
          <t>Sonique à lévitation magnétique</t>
        </is>
      </c>
      <c r="F7" s="41" t="inlineStr">
        <is>
          <t>42 000 mouvements/min</t>
        </is>
      </c>
      <c r="G7" s="41" t="inlineStr">
        <is>
          <t>4 modes x 32 intensités</t>
        </is>
      </c>
      <c r="H7" s="41" t="n">
        <v>35</v>
      </c>
      <c r="I7" s="42" t="inlineStr">
        <is>
          <t>N/D</t>
        </is>
      </c>
      <c r="J7" s="42" t="inlineStr">
        <is>
          <t>N/D</t>
        </is>
      </c>
      <c r="K7" s="41" t="inlineStr">
        <is>
          <t>Inductive, batterie 800 mAh</t>
        </is>
      </c>
      <c r="L7" s="43" t="inlineStr">
        <is>
          <t>N/D</t>
        </is>
      </c>
      <c r="M7" s="42" t="inlineStr">
        <is>
          <t>N/D</t>
        </is>
      </c>
      <c r="N7" s="41" t="inlineStr">
        <is>
          <t>Non vérifié sur les marchés cibles</t>
        </is>
      </c>
      <c r="O7" s="41" t="inlineStr">
        <is>
          <t>Marketplaces, e-commerce spécialisé</t>
        </is>
      </c>
      <c r="P7" s="44" t="inlineStr">
        <is>
          <t>https://www.electricteeth.com/oclean-x-pro-elite-review/</t>
        </is>
      </c>
      <c r="Q7" s="44" t="inlineStr">
        <is>
          <t>https://www.techradar.com/reviews/oclean-x-pro-elite</t>
        </is>
      </c>
      <c r="R7" s="45" t="inlineStr">
        <is>
          <t>2026-09-03</t>
        </is>
      </c>
      <c r="S7" s="41" t="inlineStr">
        <is>
          <t>Écran tactile couleur et pilotage par application, équivalent des SEAGO à écran LCD.</t>
        </is>
      </c>
    </row>
    <row r="8">
      <c r="A8" s="37" t="inlineStr">
        <is>
          <t>OB_KIDS_PILE</t>
        </is>
      </c>
      <c r="B8" s="37" t="inlineStr">
        <is>
          <t>Oral-B</t>
        </is>
      </c>
      <c r="C8" s="37" t="inlineStr">
        <is>
          <t>Kids Battery Disney (Frozen / Princess)</t>
        </is>
      </c>
      <c r="D8" s="37" t="inlineStr">
        <is>
          <t>Brosse à dents</t>
        </is>
      </c>
      <c r="E8" s="37" t="inlineStr">
        <is>
          <t>Oscillo-rotative enfant</t>
        </is>
      </c>
      <c r="F8" s="37" t="inlineStr">
        <is>
          <t>7 600 oscillations/min</t>
        </is>
      </c>
      <c r="G8" s="37" t="inlineStr">
        <is>
          <t>1 mode</t>
        </is>
      </c>
      <c r="H8" s="46" t="inlineStr">
        <is>
          <t>N/D</t>
        </is>
      </c>
      <c r="I8" s="46" t="inlineStr">
        <is>
          <t>N/D</t>
        </is>
      </c>
      <c r="J8" s="37" t="inlineStr">
        <is>
          <t>Non</t>
        </is>
      </c>
      <c r="K8" s="37" t="inlineStr">
        <is>
          <t>2 piles AA</t>
        </is>
      </c>
      <c r="L8" s="38" t="inlineStr">
        <is>
          <t>N/D</t>
        </is>
      </c>
      <c r="M8" s="46" t="inlineStr">
        <is>
          <t>N/D</t>
        </is>
      </c>
      <c r="N8" s="37" t="inlineStr">
        <is>
          <t>Non vérifié sur les marchés cibles</t>
        </is>
      </c>
      <c r="O8" s="37" t="inlineStr">
        <is>
          <t>Amazon, GMS</t>
        </is>
      </c>
      <c r="P8" s="39" t="inlineStr">
        <is>
          <t>https://www.amazon.com/Oral-B-Pro-Health-Battery-Toothbrush-featuring/dp/B01AKGRSCG</t>
        </is>
      </c>
      <c r="Q8" s="39" t="inlineStr">
        <is>
          <t>https://oralb.com/en-us/products/more-products/kids-products/kids-battery-toothbrush-featuring-disney-princess/</t>
        </is>
      </c>
      <c r="R8" s="40" t="inlineStr">
        <is>
          <t>2026-09-03</t>
        </is>
      </c>
      <c r="S8" s="37" t="inlineStr">
        <is>
          <t>Tête extra-souple, application Disney Magic Timer. Concurrent direct des SEAGO enfant à piles.</t>
        </is>
      </c>
    </row>
    <row r="9">
      <c r="A9" s="41" t="inlineStr">
        <is>
          <t>OB_KIDS_RECH</t>
        </is>
      </c>
      <c r="B9" s="41" t="inlineStr">
        <is>
          <t>Oral-B</t>
        </is>
      </c>
      <c r="C9" s="41" t="inlineStr">
        <is>
          <t>Kids rechargeable Disney Frozen</t>
        </is>
      </c>
      <c r="D9" s="41" t="inlineStr">
        <is>
          <t>Brosse à dents</t>
        </is>
      </c>
      <c r="E9" s="41" t="inlineStr">
        <is>
          <t>Oscillo-rotative enfant</t>
        </is>
      </c>
      <c r="F9" s="41" t="inlineStr">
        <is>
          <t>7 600 oscillations/min</t>
        </is>
      </c>
      <c r="G9" s="41" t="inlineStr">
        <is>
          <t>1 mode doux</t>
        </is>
      </c>
      <c r="H9" s="41" t="n">
        <v>8</v>
      </c>
      <c r="I9" s="42" t="inlineStr">
        <is>
          <t>N/D</t>
        </is>
      </c>
      <c r="J9" s="41" t="inlineStr">
        <is>
          <t>Non</t>
        </is>
      </c>
      <c r="K9" s="41" t="inlineStr">
        <is>
          <t>Socle</t>
        </is>
      </c>
      <c r="L9" s="43" t="inlineStr">
        <is>
          <t>N/D</t>
        </is>
      </c>
      <c r="M9" s="42" t="inlineStr">
        <is>
          <t>N/D</t>
        </is>
      </c>
      <c r="N9" s="41" t="inlineStr">
        <is>
          <t>Non vérifié sur les marchés cibles</t>
        </is>
      </c>
      <c r="O9" s="41" t="inlineStr">
        <is>
          <t>Oral-B, GMS</t>
        </is>
      </c>
      <c r="P9" s="44" t="inlineStr">
        <is>
          <t>https://oralb.com/en-us/products/kids-products/oral-b-kids-electric-toothbrush-bundle-featuring-disney-s-frozen/</t>
        </is>
      </c>
      <c r="Q9" s="44" t="inlineStr">
        <is>
          <t>https://www.livescience.com/oral-b-kids-electric-toothbrush-review</t>
        </is>
      </c>
      <c r="R9" s="45" t="inlineStr">
        <is>
          <t>2026-09-03</t>
        </is>
      </c>
      <c r="S9" s="41" t="inlineStr">
        <is>
          <t>Version rechargeable de la gamme enfant Oral-B, autonomie annoncée autour de 8 jours.</t>
        </is>
      </c>
    </row>
    <row r="10">
      <c r="A10" s="37" t="inlineStr">
        <is>
          <t>PRO3</t>
        </is>
      </c>
      <c r="B10" s="37" t="inlineStr">
        <is>
          <t>Oral-B</t>
        </is>
      </c>
      <c r="C10" s="37" t="inlineStr">
        <is>
          <t>Pro 3 3000</t>
        </is>
      </c>
      <c r="D10" s="37" t="inlineStr">
        <is>
          <t>Brosse à dents</t>
        </is>
      </c>
      <c r="E10" s="37" t="inlineStr">
        <is>
          <t>Oscillo-rotative</t>
        </is>
      </c>
      <c r="F10" s="37" t="inlineStr">
        <is>
          <t>8 800 oscillations/min</t>
        </is>
      </c>
      <c r="G10" s="37" t="inlineStr">
        <is>
          <t>2 à 3 modes selon la version régionale</t>
        </is>
      </c>
      <c r="H10" s="37" t="n">
        <v>14</v>
      </c>
      <c r="I10" s="46" t="inlineStr">
        <is>
          <t>N/D</t>
        </is>
      </c>
      <c r="J10" s="37" t="inlineStr">
        <is>
          <t>Oui (voyant lumineux, ralentissement automatique)</t>
        </is>
      </c>
      <c r="K10" s="37" t="inlineStr">
        <is>
          <t>Socle</t>
        </is>
      </c>
      <c r="L10" s="38" t="inlineStr">
        <is>
          <t>N/D</t>
        </is>
      </c>
      <c r="M10" s="46" t="inlineStr">
        <is>
          <t>N/D</t>
        </is>
      </c>
      <c r="N10" s="37" t="inlineStr">
        <is>
          <t>Non vérifié sur les marchés cibles</t>
        </is>
      </c>
      <c r="O10" s="37" t="inlineStr">
        <is>
          <t>Amazon UK, pharmacies</t>
        </is>
      </c>
      <c r="P10" s="39" t="inlineStr">
        <is>
          <t>https://www.amazon.co.uk/Oral-B-CrossAction-Electric-Toothbrush-Rechargeable/dp/B072DTPBHF</t>
        </is>
      </c>
      <c r="Q10" s="39" t="inlineStr">
        <is>
          <t>https://www.electricteeth.com/uk/oral-b-pro-3-3000-review/</t>
        </is>
      </c>
      <c r="R10" s="40" t="inlineStr">
        <is>
          <t>2026-09-03</t>
        </is>
      </c>
      <c r="S10" s="37" t="inlineStr">
        <is>
          <t>Nombre de modes variable selon le pays de commercialisation, à confirmer sur la fiche locale.</t>
        </is>
      </c>
    </row>
    <row r="11">
      <c r="A11" s="41" t="inlineStr">
        <is>
          <t>VITALITY</t>
        </is>
      </c>
      <c r="B11" s="41" t="inlineStr">
        <is>
          <t>Oral-B</t>
        </is>
      </c>
      <c r="C11" s="41" t="inlineStr">
        <is>
          <t>Vitality 100 CrossAction</t>
        </is>
      </c>
      <c r="D11" s="41" t="inlineStr">
        <is>
          <t>Brosse à dents</t>
        </is>
      </c>
      <c r="E11" s="41" t="inlineStr">
        <is>
          <t>Oscillo-rotative (2D)</t>
        </is>
      </c>
      <c r="F11" s="41" t="inlineStr">
        <is>
          <t>7 600 oscillations/min</t>
        </is>
      </c>
      <c r="G11" s="41" t="inlineStr">
        <is>
          <t>1 mode</t>
        </is>
      </c>
      <c r="H11" s="42" t="inlineStr">
        <is>
          <t>N/D</t>
        </is>
      </c>
      <c r="I11" s="42" t="inlineStr">
        <is>
          <t>N/D</t>
        </is>
      </c>
      <c r="J11" s="41" t="inlineStr">
        <is>
          <t>Non</t>
        </is>
      </c>
      <c r="K11" s="41" t="inlineStr">
        <is>
          <t>Socle</t>
        </is>
      </c>
      <c r="L11" s="43" t="inlineStr">
        <is>
          <t>N/D</t>
        </is>
      </c>
      <c r="M11" s="42" t="inlineStr">
        <is>
          <t>N/D</t>
        </is>
      </c>
      <c r="N11" s="41" t="inlineStr">
        <is>
          <t>Côte d'Ivoire (Jumia, vérifié)</t>
        </is>
      </c>
      <c r="O11" s="41" t="inlineStr">
        <is>
          <t>Jumia CI, pharmacies, GMS</t>
        </is>
      </c>
      <c r="P11" s="44" t="inlineStr">
        <is>
          <t>https://www.oral-b.co.in/en-in/products/electric-toothbrushes/or/vitality-cross-action</t>
        </is>
      </c>
      <c r="Q11" s="44" t="inlineStr">
        <is>
          <t>https://www.jumia.ci/mlp-oral-b-brosse-a-dent/</t>
        </is>
      </c>
      <c r="R11" s="45" t="inlineStr">
        <is>
          <t>2026-09-03</t>
        </is>
      </c>
      <c r="S11" s="41" t="inlineStr">
        <is>
          <t>Entrée de gamme rotative la plus distribuée. Minuteur 2 min avec quadpacer 30 s.</t>
        </is>
      </c>
    </row>
    <row r="12">
      <c r="A12" s="37" t="inlineStr">
        <is>
          <t>IO3</t>
        </is>
      </c>
      <c r="B12" s="37" t="inlineStr">
        <is>
          <t>Oral-B</t>
        </is>
      </c>
      <c r="C12" s="37" t="inlineStr">
        <is>
          <t>iO Series 3</t>
        </is>
      </c>
      <c r="D12" s="37" t="inlineStr">
        <is>
          <t>Brosse à dents</t>
        </is>
      </c>
      <c r="E12" s="37" t="inlineStr">
        <is>
          <t>Oscillo-rotative + micro-vibrations</t>
        </is>
      </c>
      <c r="F12" s="46" t="inlineStr">
        <is>
          <t>N/D</t>
        </is>
      </c>
      <c r="G12" s="37" t="inlineStr">
        <is>
          <t>3 modes (Daily Clean, Sensitive, Whitening)</t>
        </is>
      </c>
      <c r="H12" s="46" t="inlineStr">
        <is>
          <t>N/D</t>
        </is>
      </c>
      <c r="I12" s="46" t="inlineStr">
        <is>
          <t>N/D</t>
        </is>
      </c>
      <c r="J12" s="37" t="inlineStr">
        <is>
          <t>Oui (anneau lumineux blanc / vert / rouge)</t>
        </is>
      </c>
      <c r="K12" s="37" t="inlineStr">
        <is>
          <t>Socle magnétique</t>
        </is>
      </c>
      <c r="L12" s="38" t="inlineStr">
        <is>
          <t>N/D</t>
        </is>
      </c>
      <c r="M12" s="46" t="inlineStr">
        <is>
          <t>N/D</t>
        </is>
      </c>
      <c r="N12" s="37" t="inlineStr">
        <is>
          <t>Côte d'Ivoire (Jumia, gamme iO référencée)</t>
        </is>
      </c>
      <c r="O12" s="37" t="inlineStr">
        <is>
          <t>Jumia CI, pharmacies</t>
        </is>
      </c>
      <c r="P12" s="39" t="inlineStr">
        <is>
          <t>https://oralb.com/en-us/products/io-series-3-rechargeable-electric-toothbrush-white/</t>
        </is>
      </c>
      <c r="Q12" s="39" t="inlineStr">
        <is>
          <t>https://www.jumia.ci/slp/brosse-a-dents-electrique-oral-b-io3</t>
        </is>
      </c>
      <c r="R12" s="40" t="inlineStr">
        <is>
          <t>2026-09-03</t>
        </is>
      </c>
      <c r="S12" s="37" t="inlineStr">
        <is>
          <t>Capteur de pression tricolore, équivalent direct des modèles SEAGO à écran et capteur.</t>
        </is>
      </c>
    </row>
    <row r="13">
      <c r="A13" s="41" t="inlineStr">
        <is>
          <t>SONICARE_KIDS</t>
        </is>
      </c>
      <c r="B13" s="41" t="inlineStr">
        <is>
          <t>Philips</t>
        </is>
      </c>
      <c r="C13" s="41" t="inlineStr">
        <is>
          <t>Sonicare For Kids HX6321/02</t>
        </is>
      </c>
      <c r="D13" s="41" t="inlineStr">
        <is>
          <t>Brosse à dents</t>
        </is>
      </c>
      <c r="E13" s="41" t="inlineStr">
        <is>
          <t>Sonique enfant</t>
        </is>
      </c>
      <c r="F13" s="41" t="inlineStr">
        <is>
          <t>62 000 mouvements/min</t>
        </is>
      </c>
      <c r="G13" s="41" t="inlineStr">
        <is>
          <t>2 modes</t>
        </is>
      </c>
      <c r="H13" s="41" t="n">
        <v>21</v>
      </c>
      <c r="I13" s="42" t="inlineStr">
        <is>
          <t>N/D</t>
        </is>
      </c>
      <c r="J13" s="41" t="inlineStr">
        <is>
          <t>Non</t>
        </is>
      </c>
      <c r="K13" s="41" t="inlineStr">
        <is>
          <t>Socle inductif</t>
        </is>
      </c>
      <c r="L13" s="43" t="inlineStr">
        <is>
          <t>N/D</t>
        </is>
      </c>
      <c r="M13" s="42" t="inlineStr">
        <is>
          <t>N/D</t>
        </is>
      </c>
      <c r="N13" s="41" t="inlineStr">
        <is>
          <t>EAU (Noon, gamme Sonicare vérifiée)</t>
        </is>
      </c>
      <c r="O13" s="41" t="inlineStr">
        <is>
          <t>Noon UAE, pharmacies</t>
        </is>
      </c>
      <c r="P13" s="44" t="inlineStr">
        <is>
          <t>https://www.usa.philips.com/c-p/HX6321_02/sonicare-for-kids-sonic-electric-toothbrush</t>
        </is>
      </c>
      <c r="Q13" s="44" t="inlineStr">
        <is>
          <t>https://www.philips.com/c-dam/b2c/category-pages/personal-care/POHC/resource-library-docs/HX6321-03%20LEAFLET-Sonicare-%20For-Kids-%20Connected-Electric-Toothbrush.pdf</t>
        </is>
      </c>
      <c r="R13" s="45" t="inlineStr">
        <is>
          <t>2026-09-03</t>
        </is>
      </c>
      <c r="S13" s="41" t="inlineStr">
        <is>
          <t>Connectivité Bluetooth et application de coaching enfant. Indicateur de batterie.</t>
        </is>
      </c>
    </row>
    <row r="14">
      <c r="A14" s="37" t="inlineStr">
        <is>
          <t>SONICARE_4100</t>
        </is>
      </c>
      <c r="B14" s="37" t="inlineStr">
        <is>
          <t>Philips</t>
        </is>
      </c>
      <c r="C14" s="37" t="inlineStr">
        <is>
          <t>Sonicare ProtectiveClean 4100 (HX6817)</t>
        </is>
      </c>
      <c r="D14" s="37" t="inlineStr">
        <is>
          <t>Brosse à dents</t>
        </is>
      </c>
      <c r="E14" s="37" t="inlineStr">
        <is>
          <t>Sonique</t>
        </is>
      </c>
      <c r="F14" s="37" t="inlineStr">
        <is>
          <t>31 000 strokes/min (62 000 mouvements/min)</t>
        </is>
      </c>
      <c r="G14" s="37" t="inlineStr">
        <is>
          <t>1 mode Clean (2 intensités selon version)</t>
        </is>
      </c>
      <c r="H14" s="37" t="n">
        <v>14</v>
      </c>
      <c r="I14" s="37" t="inlineStr">
        <is>
          <t>IPX7</t>
        </is>
      </c>
      <c r="J14" s="37" t="inlineStr">
        <is>
          <t>Oui (alerte sonore)</t>
        </is>
      </c>
      <c r="K14" s="37" t="inlineStr">
        <is>
          <t>Socle inductif</t>
        </is>
      </c>
      <c r="L14" s="38" t="inlineStr">
        <is>
          <t>N/D</t>
        </is>
      </c>
      <c r="M14" s="46" t="inlineStr">
        <is>
          <t>N/D</t>
        </is>
      </c>
      <c r="N14" s="37" t="inlineStr">
        <is>
          <t>EAU (Noon, vérifié)</t>
        </is>
      </c>
      <c r="O14" s="37" t="inlineStr">
        <is>
          <t>Noon UAE, pharmacies et GMS</t>
        </is>
      </c>
      <c r="P14" s="39" t="inlineStr">
        <is>
          <t>https://www.usa.philips.com/c-p/HX6817_01/sonicare-protectiveclean-4100-sonic-electric-toothbrush</t>
        </is>
      </c>
      <c r="Q14" s="39" t="inlineStr">
        <is>
          <t>https://www.noon.com/uae-en/beauty/personal-care-16343/oral-hygiene/power-toothbrushes/philips_sonicare/</t>
        </is>
      </c>
      <c r="R14" s="40" t="inlineStr">
        <is>
          <t>2026-09-03</t>
        </is>
      </c>
      <c r="S14" s="37" t="inlineStr">
        <is>
          <t>Technologie BrushSync (rappel de remplacement de tête). Référence premium du segment sonique.</t>
        </is>
      </c>
    </row>
    <row r="15">
      <c r="A15" s="41" t="inlineStr">
        <is>
          <t>SURI_JUMIA</t>
        </is>
      </c>
      <c r="B15" s="41" t="inlineStr">
        <is>
          <t>Suri (marketplace)</t>
        </is>
      </c>
      <c r="C15" s="41" t="inlineStr">
        <is>
          <t>Brosse à dents électrique sonique durable</t>
        </is>
      </c>
      <c r="D15" s="41" t="inlineStr">
        <is>
          <t>Brosse à dents</t>
        </is>
      </c>
      <c r="E15" s="41" t="inlineStr">
        <is>
          <t>Sonique</t>
        </is>
      </c>
      <c r="F15" s="41" t="inlineStr">
        <is>
          <t>40 000 VPM</t>
        </is>
      </c>
      <c r="G15" s="41" t="inlineStr">
        <is>
          <t>5 modes (Clean, White, Polish, Soft, Gum Care)</t>
        </is>
      </c>
      <c r="H15" s="41" t="n">
        <v>30</v>
      </c>
      <c r="I15" s="42" t="inlineStr">
        <is>
          <t>N/D</t>
        </is>
      </c>
      <c r="J15" s="41" t="inlineStr">
        <is>
          <t>Non</t>
        </is>
      </c>
      <c r="K15" s="41" t="inlineStr">
        <is>
          <t>Li-ion, charge rapide 4 h</t>
        </is>
      </c>
      <c r="L15" s="43" t="inlineStr">
        <is>
          <t>N/D</t>
        </is>
      </c>
      <c r="M15" s="41" t="inlineStr">
        <is>
          <t>XOF</t>
        </is>
      </c>
      <c r="N15" s="41" t="inlineStr">
        <is>
          <t>Côte d'Ivoire (Jumia, vérifié)</t>
        </is>
      </c>
      <c r="O15" s="41" t="inlineStr">
        <is>
          <t>Jumia CI</t>
        </is>
      </c>
      <c r="P15" s="44" t="inlineStr">
        <is>
          <t>https://www.jumia.ci/slp/brosse-a-dents-electrique-durable-suri</t>
        </is>
      </c>
      <c r="Q15" s="44" t="inlineStr">
        <is>
          <t>https://www.jumia.ci/brosse-a-dents-electrique/</t>
        </is>
      </c>
      <c r="R15" s="45" t="inlineStr">
        <is>
          <t>2026-09-03</t>
        </is>
      </c>
      <c r="S15" s="41" t="inlineStr">
        <is>
          <t>Offre marketplace au positionnement identique à SEAGO : mêmes specs annoncées, marque non installée.</t>
        </is>
      </c>
    </row>
    <row r="16">
      <c r="A16" s="37" t="inlineStr">
        <is>
          <t>XIAOMI_T500</t>
        </is>
      </c>
      <c r="B16" s="37" t="inlineStr">
        <is>
          <t>Xiaomi</t>
        </is>
      </c>
      <c r="C16" s="37" t="inlineStr">
        <is>
          <t>Mi Smart Electric Toothbrush T500</t>
        </is>
      </c>
      <c r="D16" s="37" t="inlineStr">
        <is>
          <t>Brosse à dents</t>
        </is>
      </c>
      <c r="E16" s="37" t="inlineStr">
        <is>
          <t>Sonique à lévitation magnétique</t>
        </is>
      </c>
      <c r="F16" s="37" t="inlineStr">
        <is>
          <t>31 000 vibrations/min</t>
        </is>
      </c>
      <c r="G16" s="37" t="inlineStr">
        <is>
          <t>3 modes (Standard, Gentle, Custom)</t>
        </is>
      </c>
      <c r="H16" s="37" t="n">
        <v>18</v>
      </c>
      <c r="I16" s="37" t="inlineStr">
        <is>
          <t>IPX7</t>
        </is>
      </c>
      <c r="J16" s="37" t="inlineStr">
        <is>
          <t>Oui (protection de surpression, réduction automatique)</t>
        </is>
      </c>
      <c r="K16" s="37" t="inlineStr">
        <is>
          <t>USB</t>
        </is>
      </c>
      <c r="L16" s="38" t="inlineStr">
        <is>
          <t>N/D</t>
        </is>
      </c>
      <c r="M16" s="46" t="inlineStr">
        <is>
          <t>N/D</t>
        </is>
      </c>
      <c r="N16" s="37" t="inlineStr">
        <is>
          <t>Non vérifié sur les marchés cibles</t>
        </is>
      </c>
      <c r="O16" s="37" t="inlineStr">
        <is>
          <t>Marketplaces, distribution Xiaomi</t>
        </is>
      </c>
      <c r="P16" s="39" t="inlineStr">
        <is>
          <t>https://www.mi.com/global/product/mi-smart-electric-toothbrush-t500/specs/</t>
        </is>
      </c>
      <c r="Q16" s="39" t="inlineStr">
        <is>
          <t>https://www.electricteeth.com/uk/xiaomi-mi-review/</t>
        </is>
      </c>
      <c r="R16" s="40" t="inlineStr">
        <is>
          <t>2026-09-03</t>
        </is>
      </c>
      <c r="S16" s="37" t="inlineStr">
        <is>
          <t>Pilotage par application et protection de surpression, positionnement milieu de gamme connecté.</t>
        </is>
      </c>
    </row>
    <row r="17">
      <c r="A17" s="41" t="inlineStr">
        <is>
          <t>USMILE_Y1S</t>
        </is>
      </c>
      <c r="B17" s="41" t="inlineStr">
        <is>
          <t>usmile</t>
        </is>
      </c>
      <c r="C17" s="41" t="inlineStr">
        <is>
          <t>Y1S Sonic</t>
        </is>
      </c>
      <c r="D17" s="41" t="inlineStr">
        <is>
          <t>Brosse à dents</t>
        </is>
      </c>
      <c r="E17" s="41" t="inlineStr">
        <is>
          <t>Sonique</t>
        </is>
      </c>
      <c r="F17" s="41" t="inlineStr">
        <is>
          <t>38 000 vibrations/min</t>
        </is>
      </c>
      <c r="G17" s="41" t="inlineStr">
        <is>
          <t>3 modes (Clean, White, Soft)</t>
        </is>
      </c>
      <c r="H17" s="41" t="n">
        <v>180</v>
      </c>
      <c r="I17" s="41" t="inlineStr">
        <is>
          <t>IPX7</t>
        </is>
      </c>
      <c r="J17" s="41" t="inlineStr">
        <is>
          <t>Non</t>
        </is>
      </c>
      <c r="K17" s="41" t="inlineStr">
        <is>
          <t>USB Type-C</t>
        </is>
      </c>
      <c r="L17" s="43" t="inlineStr">
        <is>
          <t>N/D</t>
        </is>
      </c>
      <c r="M17" s="42" t="inlineStr">
        <is>
          <t>N/D</t>
        </is>
      </c>
      <c r="N17" s="41" t="inlineStr">
        <is>
          <t>Non vérifié sur les marchés cibles</t>
        </is>
      </c>
      <c r="O17" s="41" t="inlineStr">
        <is>
          <t>Marketplaces, retail spécialisé</t>
        </is>
      </c>
      <c r="P17" s="44" t="inlineStr">
        <is>
          <t>https://www.usmile.com/electrictoothbrush/info.html?id=4</t>
        </is>
      </c>
      <c r="Q17" s="44" t="inlineStr">
        <is>
          <t>https://www.ada.org/resources/research/science/ada-seal-of-acceptance/product-search/a065e00000BWImYAAX/usmile-sonic-electric-toothbrush-y1s</t>
        </is>
      </c>
      <c r="R17" s="45" t="inlineStr">
        <is>
          <t>2026-09-03</t>
        </is>
      </c>
      <c r="S17" s="41" t="inlineStr">
        <is>
          <t>Référence de l'argument longue autonomie (180 jours), acceptée par l'American Dental Association.</t>
        </is>
      </c>
    </row>
    <row r="18">
      <c r="A18" s="37" t="inlineStr">
        <is>
          <t>WP_TIPS</t>
        </is>
      </c>
      <c r="B18" s="37" t="inlineStr">
        <is>
          <t>Waterpik</t>
        </is>
      </c>
      <c r="C18" s="37" t="inlineStr">
        <is>
          <t>Buses de rechange (pack livré avec WP-560)</t>
        </is>
      </c>
      <c r="D18" s="37" t="inlineStr">
        <is>
          <t>Buse hydropulseur</t>
        </is>
      </c>
      <c r="E18" s="37" t="inlineStr">
        <is>
          <t>Buses spécialisées (standard, orthodontique, plaque, parodontale)</t>
        </is>
      </c>
      <c r="F18" s="46" t="inlineStr">
        <is>
          <t>N/D</t>
        </is>
      </c>
      <c r="G18" s="46" t="inlineStr">
        <is>
          <t>N/D</t>
        </is>
      </c>
      <c r="H18" s="46" t="inlineStr">
        <is>
          <t>N/D</t>
        </is>
      </c>
      <c r="I18" s="46" t="inlineStr">
        <is>
          <t>N/D</t>
        </is>
      </c>
      <c r="J18" s="46" t="inlineStr">
        <is>
          <t>N/D</t>
        </is>
      </c>
      <c r="K18" s="46" t="inlineStr">
        <is>
          <t>N/D</t>
        </is>
      </c>
      <c r="L18" s="38" t="inlineStr">
        <is>
          <t>N/D</t>
        </is>
      </c>
      <c r="M18" s="46" t="inlineStr">
        <is>
          <t>N/D</t>
        </is>
      </c>
      <c r="N18" s="37" t="inlineStr">
        <is>
          <t>Non vérifié sur les marchés cibles</t>
        </is>
      </c>
      <c r="O18" s="37" t="inlineStr">
        <is>
          <t>Retail spécialisé, pharmacies</t>
        </is>
      </c>
      <c r="P18" s="39" t="inlineStr">
        <is>
          <t>https://www.waterpik.ch/en/oral-health/products/dental-water-flosser/WP-560/</t>
        </is>
      </c>
      <c r="Q18" s="39" t="inlineStr">
        <is>
          <t>https://www.electricteeth.com/waterpik-cordless-advanced-wp560-review/</t>
        </is>
      </c>
      <c r="R18" s="40" t="inlineStr">
        <is>
          <t>2026-09-03</t>
        </is>
      </c>
      <c r="S18" s="37" t="inlineStr">
        <is>
          <t>Gamme de buses la plus large du marché, référence de comparaison pour les buses SEAGO SG-P0xx.</t>
        </is>
      </c>
    </row>
    <row r="19">
      <c r="A19" s="41" t="inlineStr">
        <is>
          <t>GEN_HYDRO_CI</t>
        </is>
      </c>
      <c r="B19" s="41" t="inlineStr">
        <is>
          <t>Generic (marketplace)</t>
        </is>
      </c>
      <c r="C19" s="41" t="inlineStr">
        <is>
          <t>Hydropulseur portatif rechargeable USB 280 mL</t>
        </is>
      </c>
      <c r="D19" s="41" t="inlineStr">
        <is>
          <t>Hydropulseur</t>
        </is>
      </c>
      <c r="E19" s="41" t="inlineStr">
        <is>
          <t>Hydropulseur portable sans fil</t>
        </is>
      </c>
      <c r="F19" s="42" t="inlineStr">
        <is>
          <t>N/D</t>
        </is>
      </c>
      <c r="G19" s="41" t="inlineStr">
        <is>
          <t>3 modes (Normal, Soft, Pulse)</t>
        </is>
      </c>
      <c r="H19" s="42" t="inlineStr">
        <is>
          <t>N/D</t>
        </is>
      </c>
      <c r="I19" s="41" t="inlineStr">
        <is>
          <t>Étanche (indice non précisé)</t>
        </is>
      </c>
      <c r="J19" s="42" t="inlineStr">
        <is>
          <t>N/D</t>
        </is>
      </c>
      <c r="K19" s="41" t="inlineStr">
        <is>
          <t>USB</t>
        </is>
      </c>
      <c r="L19" s="43" t="inlineStr">
        <is>
          <t>N/D</t>
        </is>
      </c>
      <c r="M19" s="41" t="inlineStr">
        <is>
          <t>XOF</t>
        </is>
      </c>
      <c r="N19" s="41" t="inlineStr">
        <is>
          <t>Côte d'Ivoire (Jumia, vérifié)</t>
        </is>
      </c>
      <c r="O19" s="41" t="inlineStr">
        <is>
          <t>Jumia CI</t>
        </is>
      </c>
      <c r="P19" s="44" t="inlineStr">
        <is>
          <t>https://www.jumia.ci/generic-1-piece-hydropulseur-portatif-rechargeable-usb-irrigateur-oral-280-ml-31831284.html</t>
        </is>
      </c>
      <c r="Q19" s="44" t="inlineStr">
        <is>
          <t>https://www.jumia.ci/soins-bucco-dentaires-power-flosser-dentaire/</t>
        </is>
      </c>
      <c r="R19" s="45" t="inlineStr">
        <is>
          <t>2026-09-03</t>
        </is>
      </c>
      <c r="S19" s="41" t="inlineStr">
        <is>
          <t>Réservoir 280 mL, buse rotative 360 degrés. Plancher de prix du segment sur Jumia CI.</t>
        </is>
      </c>
    </row>
    <row r="20">
      <c r="A20" s="37" t="inlineStr">
        <is>
          <t>GEN_HYDRO_CI2</t>
        </is>
      </c>
      <c r="B20" s="37" t="inlineStr">
        <is>
          <t>Generic (marketplace)</t>
        </is>
      </c>
      <c r="C20" s="37" t="inlineStr">
        <is>
          <t>Jet dentaire électrique portable rechargeable</t>
        </is>
      </c>
      <c r="D20" s="37" t="inlineStr">
        <is>
          <t>Hydropulseur</t>
        </is>
      </c>
      <c r="E20" s="37" t="inlineStr">
        <is>
          <t>Hydropulseur portable sans fil</t>
        </is>
      </c>
      <c r="F20" s="46" t="inlineStr">
        <is>
          <t>N/D</t>
        </is>
      </c>
      <c r="G20" s="37" t="inlineStr">
        <is>
          <t>3 modes</t>
        </is>
      </c>
      <c r="H20" s="46" t="inlineStr">
        <is>
          <t>N/D</t>
        </is>
      </c>
      <c r="I20" s="37" t="inlineStr">
        <is>
          <t>Étanche (indice non précisé)</t>
        </is>
      </c>
      <c r="J20" s="46" t="inlineStr">
        <is>
          <t>N/D</t>
        </is>
      </c>
      <c r="K20" s="37" t="inlineStr">
        <is>
          <t>USB</t>
        </is>
      </c>
      <c r="L20" s="38" t="inlineStr">
        <is>
          <t>N/D</t>
        </is>
      </c>
      <c r="M20" s="37" t="inlineStr">
        <is>
          <t>XOF</t>
        </is>
      </c>
      <c r="N20" s="37" t="inlineStr">
        <is>
          <t>Côte d'Ivoire (Jumia, vérifié)</t>
        </is>
      </c>
      <c r="O20" s="37" t="inlineStr">
        <is>
          <t>Jumia CI</t>
        </is>
      </c>
      <c r="P20" s="39" t="inlineStr">
        <is>
          <t>https://www.jumia.ci/jet-dentaire-electrique-portable-hydropulseur-rechargeable-etanche-generic-mpg1033399.html</t>
        </is>
      </c>
      <c r="Q20" s="39" t="inlineStr">
        <is>
          <t>https://www.jumia.ci/generic-irrigateur-oral-portable-nettoyeur-dentaire-hydropulseur-puissant-pour-le-soin-buccal-31064524.html</t>
        </is>
      </c>
      <c r="R20" s="40" t="inlineStr">
        <is>
          <t>2026-09-03</t>
        </is>
      </c>
      <c r="S20" s="37" t="inlineStr">
        <is>
          <t>Deuxième référence marketplace du segment, utile pour borner la fourchette de prix locale.</t>
        </is>
      </c>
    </row>
    <row r="21">
      <c r="A21" s="41" t="inlineStr">
        <is>
          <t>PANA_DJ10</t>
        </is>
      </c>
      <c r="B21" s="41" t="inlineStr">
        <is>
          <t>Panasonic</t>
        </is>
      </c>
      <c r="C21" s="41" t="inlineStr">
        <is>
          <t>EW-DJ10 Dentacare</t>
        </is>
      </c>
      <c r="D21" s="41" t="inlineStr">
        <is>
          <t>Hydropulseur</t>
        </is>
      </c>
      <c r="E21" s="41" t="inlineStr">
        <is>
          <t>Hydropulseur portable pliable</t>
        </is>
      </c>
      <c r="F21" s="41" t="inlineStr">
        <is>
          <t>1 400 pulsations/min</t>
        </is>
      </c>
      <c r="G21" s="41" t="inlineStr">
        <is>
          <t>2 vitesses</t>
        </is>
      </c>
      <c r="H21" s="42" t="inlineStr">
        <is>
          <t>N/D</t>
        </is>
      </c>
      <c r="I21" s="41" t="inlineStr">
        <is>
          <t>100 % lavable</t>
        </is>
      </c>
      <c r="J21" s="42" t="inlineStr">
        <is>
          <t>N/D</t>
        </is>
      </c>
      <c r="K21" s="41" t="inlineStr">
        <is>
          <t>2 piles AA</t>
        </is>
      </c>
      <c r="L21" s="43" t="inlineStr">
        <is>
          <t>N/D</t>
        </is>
      </c>
      <c r="M21" s="42" t="inlineStr">
        <is>
          <t>N/D</t>
        </is>
      </c>
      <c r="N21" s="41" t="inlineStr">
        <is>
          <t>Non vérifié sur les marchés cibles</t>
        </is>
      </c>
      <c r="O21" s="41" t="inlineStr">
        <is>
          <t>Retail spécialisé</t>
        </is>
      </c>
      <c r="P21" s="44" t="inlineStr">
        <is>
          <t>https://www.panasonic.com/uk/support/discontinued-products/personal-care/ew-dj10.specs.html</t>
        </is>
      </c>
      <c r="Q21" s="44" t="inlineStr">
        <is>
          <t>https://www.amazon.com/Panasonic-EW-DJ10-A-Portable-Oral-Irrigator/dp/B00H2H9J4C</t>
        </is>
      </c>
      <c r="R21" s="45" t="inlineStr">
        <is>
          <t>2026-09-03</t>
        </is>
      </c>
      <c r="S21" s="41" t="inlineStr">
        <is>
          <t>Réservoir 165 mL, environ 40 s d'autonomie d'eau, design pliable. Équivalent des SEAGO mini pliables.</t>
        </is>
      </c>
    </row>
    <row r="22">
      <c r="A22" s="37" t="inlineStr">
        <is>
          <t>WP560</t>
        </is>
      </c>
      <c r="B22" s="37" t="inlineStr">
        <is>
          <t>Waterpik</t>
        </is>
      </c>
      <c r="C22" s="37" t="inlineStr">
        <is>
          <t>Cordless Advanced WP-560</t>
        </is>
      </c>
      <c r="D22" s="37" t="inlineStr">
        <is>
          <t>Hydropulseur</t>
        </is>
      </c>
      <c r="E22" s="37" t="inlineStr">
        <is>
          <t>Hydropulseur portable sans fil</t>
        </is>
      </c>
      <c r="F22" s="46" t="inlineStr">
        <is>
          <t>N/D</t>
        </is>
      </c>
      <c r="G22" s="37" t="inlineStr">
        <is>
          <t>3 réglages de pression</t>
        </is>
      </c>
      <c r="H22" s="46" t="inlineStr">
        <is>
          <t>N/D</t>
        </is>
      </c>
      <c r="I22" s="46" t="inlineStr">
        <is>
          <t>N/D</t>
        </is>
      </c>
      <c r="J22" s="46" t="inlineStr">
        <is>
          <t>N/D</t>
        </is>
      </c>
      <c r="K22" s="37" t="inlineStr">
        <is>
          <t>Charge magnétique, 4 h</t>
        </is>
      </c>
      <c r="L22" s="38" t="inlineStr">
        <is>
          <t>N/D</t>
        </is>
      </c>
      <c r="M22" s="46" t="inlineStr">
        <is>
          <t>N/D</t>
        </is>
      </c>
      <c r="N22" s="37" t="inlineStr">
        <is>
          <t>Non vérifié sur les marchés cibles</t>
        </is>
      </c>
      <c r="O22" s="37" t="inlineStr">
        <is>
          <t>Retail spécialisé, pharmacies</t>
        </is>
      </c>
      <c r="P22" s="39" t="inlineStr">
        <is>
          <t>https://www.waterpik.ch/en/oral-health/products/dental-water-flosser/WP-560/</t>
        </is>
      </c>
      <c r="Q22" s="39" t="inlineStr">
        <is>
          <t>https://www.electricteeth.com/waterpik-cordless-advanced-wp560-review/</t>
        </is>
      </c>
      <c r="R22" s="40" t="inlineStr">
        <is>
          <t>2026-09-03</t>
        </is>
      </c>
      <c r="S22" s="37" t="inlineStr">
        <is>
          <t>Pression 45-75 PSI, réservoir 207 mL (7 oz), 4 buses, rotation 360 degrés. Référence du segment.</t>
        </is>
      </c>
    </row>
    <row r="23">
      <c r="A23" s="41" t="inlineStr">
        <is>
          <t>WP450</t>
        </is>
      </c>
      <c r="B23" s="41" t="inlineStr">
        <is>
          <t>Waterpik</t>
        </is>
      </c>
      <c r="C23" s="41" t="inlineStr">
        <is>
          <t>Cordless Plus WP-450</t>
        </is>
      </c>
      <c r="D23" s="41" t="inlineStr">
        <is>
          <t>Hydropulseur</t>
        </is>
      </c>
      <c r="E23" s="41" t="inlineStr">
        <is>
          <t>Hydropulseur portable sans fil</t>
        </is>
      </c>
      <c r="F23" s="41" t="inlineStr">
        <is>
          <t>1 200 pulsations/min (20 Hz)</t>
        </is>
      </c>
      <c r="G23" s="41" t="inlineStr">
        <is>
          <t>2 réglages de pression</t>
        </is>
      </c>
      <c r="H23" s="41" t="n">
        <v>7</v>
      </c>
      <c r="I23" s="42" t="inlineStr">
        <is>
          <t>N/D</t>
        </is>
      </c>
      <c r="J23" s="42" t="inlineStr">
        <is>
          <t>N/D</t>
        </is>
      </c>
      <c r="K23" s="41" t="inlineStr">
        <is>
          <t>Batterie Ni-MH rechargeable</t>
        </is>
      </c>
      <c r="L23" s="43" t="inlineStr">
        <is>
          <t>N/D</t>
        </is>
      </c>
      <c r="M23" s="42" t="inlineStr">
        <is>
          <t>N/D</t>
        </is>
      </c>
      <c r="N23" s="41" t="inlineStr">
        <is>
          <t>Non vérifié sur les marchés cibles</t>
        </is>
      </c>
      <c r="O23" s="41" t="inlineStr">
        <is>
          <t>Retail spécialisé, pharmacies</t>
        </is>
      </c>
      <c r="P23" s="44" t="inlineStr">
        <is>
          <t>https://www.amazon.com/Waterpik-Ultra-Cordless-Water-Flosser/dp/B000UWAWQU</t>
        </is>
      </c>
      <c r="Q23" s="44" t="inlineStr">
        <is>
          <t>https://www.bestbuy.com/site/waterpik-cordless-plus-water-flosser-white/9984479.p?skuId=9984479</t>
        </is>
      </c>
      <c r="R23" s="45" t="inlineStr">
        <is>
          <t>2026-09-03</t>
        </is>
      </c>
      <c r="S23" s="41" t="inlineStr">
        <is>
          <t>Pression 2,8 à 5,8 bar (environ 40 à 84 PSI), réservoir 207 mL, 4 buses. Autonomie une semaine.</t>
        </is>
      </c>
    </row>
    <row r="24">
      <c r="A24" s="37" t="inlineStr">
        <is>
          <t>COLGATE_HEADS</t>
        </is>
      </c>
      <c r="B24" s="37" t="inlineStr">
        <is>
          <t>Colgate</t>
        </is>
      </c>
      <c r="C24" s="37" t="inlineStr">
        <is>
          <t>360 Deep Clean, têtes de rechange</t>
        </is>
      </c>
      <c r="D24" s="37" t="inlineStr">
        <is>
          <t>Tête de rechange</t>
        </is>
      </c>
      <c r="E24" s="37" t="inlineStr">
        <is>
          <t>Tête sonique pour brosse à piles</t>
        </is>
      </c>
      <c r="F24" s="46" t="inlineStr">
        <is>
          <t>N/D</t>
        </is>
      </c>
      <c r="G24" s="46" t="inlineStr">
        <is>
          <t>N/D</t>
        </is>
      </c>
      <c r="H24" s="46" t="inlineStr">
        <is>
          <t>N/D</t>
        </is>
      </c>
      <c r="I24" s="46" t="inlineStr">
        <is>
          <t>N/D</t>
        </is>
      </c>
      <c r="J24" s="46" t="inlineStr">
        <is>
          <t>N/D</t>
        </is>
      </c>
      <c r="K24" s="46" t="inlineStr">
        <is>
          <t>N/D</t>
        </is>
      </c>
      <c r="L24" s="38" t="inlineStr">
        <is>
          <t>N/D</t>
        </is>
      </c>
      <c r="M24" s="46" t="inlineStr">
        <is>
          <t>N/D</t>
        </is>
      </c>
      <c r="N24" s="37" t="inlineStr">
        <is>
          <t>Non vérifié sur les marchés cibles (marque largement distribuée)</t>
        </is>
      </c>
      <c r="O24" s="37" t="inlineStr">
        <is>
          <t>GMS, pharmacies</t>
        </is>
      </c>
      <c r="P24" s="39" t="inlineStr">
        <is>
          <t>https://www.colgate.com/en-my/products/toothbrush/colgate-proclinical-150-deepclean-battery-powered-toothbrush</t>
        </is>
      </c>
      <c r="Q24" s="39" t="inlineStr">
        <is>
          <t>https://www.colgate.com/en-my/products/toothbrush/colgate-proclinical-150-charcoal-battery-powered-toothbrush</t>
        </is>
      </c>
      <c r="R24" s="40" t="inlineStr">
        <is>
          <t>2026-09-03</t>
        </is>
      </c>
      <c r="S24" s="37" t="inlineStr">
        <is>
          <t>Tête de rechange du segment brosses à piles, benchmark du prix par tête en entrée de gamme.</t>
        </is>
      </c>
    </row>
    <row r="25">
      <c r="A25" s="41" t="inlineStr">
        <is>
          <t>OB_CROSSACTION</t>
        </is>
      </c>
      <c r="B25" s="41" t="inlineStr">
        <is>
          <t>Oral-B</t>
        </is>
      </c>
      <c r="C25" s="41" t="inlineStr">
        <is>
          <t>CrossAction X-Filaments (pack de 3)</t>
        </is>
      </c>
      <c r="D25" s="41" t="inlineStr">
        <is>
          <t>Tête de rechange</t>
        </is>
      </c>
      <c r="E25" s="41" t="inlineStr">
        <is>
          <t>Tête rotative</t>
        </is>
      </c>
      <c r="F25" s="42" t="inlineStr">
        <is>
          <t>N/D</t>
        </is>
      </c>
      <c r="G25" s="42" t="inlineStr">
        <is>
          <t>N/D</t>
        </is>
      </c>
      <c r="H25" s="42" t="inlineStr">
        <is>
          <t>N/D</t>
        </is>
      </c>
      <c r="I25" s="42" t="inlineStr">
        <is>
          <t>N/D</t>
        </is>
      </c>
      <c r="J25" s="42" t="inlineStr">
        <is>
          <t>N/D</t>
        </is>
      </c>
      <c r="K25" s="42" t="inlineStr">
        <is>
          <t>N/D</t>
        </is>
      </c>
      <c r="L25" s="43" t="inlineStr">
        <is>
          <t>N/D</t>
        </is>
      </c>
      <c r="M25" s="42" t="inlineStr">
        <is>
          <t>N/D</t>
        </is>
      </c>
      <c r="N25" s="41" t="inlineStr">
        <is>
          <t>Côte d'Ivoire (Jumia, gamme Oral-B vérifiée)</t>
        </is>
      </c>
      <c r="O25" s="41" t="inlineStr">
        <is>
          <t>Jumia CI, pharmacies, GMS</t>
        </is>
      </c>
      <c r="P25" s="44" t="inlineStr">
        <is>
          <t>https://oralb.com/en-us/products/replacement-brush-heads/oral-b-crossaction-x-filaments-replacement-brush-heads-refill-black-3-count/</t>
        </is>
      </c>
      <c r="Q25" s="44" t="inlineStr">
        <is>
          <t>https://www.amazon.com/clp/B077B5GCF8</t>
        </is>
      </c>
      <c r="R25" s="45" t="inlineStr">
        <is>
          <t>2026-09-03</t>
        </is>
      </c>
      <c r="S25" s="41" t="inlineStr">
        <is>
          <t>Brins en X inclinés à 16 degrés. Benchmark du prix par tête sur le segment rotatif.</t>
        </is>
      </c>
    </row>
    <row r="26">
      <c r="A26" s="37" t="inlineStr">
        <is>
          <t>SONICARE_C3</t>
        </is>
      </c>
      <c r="B26" s="37" t="inlineStr">
        <is>
          <t>Philips</t>
        </is>
      </c>
      <c r="C26" s="37" t="inlineStr">
        <is>
          <t>Sonicare C3 Premium Plaque Control (pack de 4)</t>
        </is>
      </c>
      <c r="D26" s="37" t="inlineStr">
        <is>
          <t>Tête de rechange</t>
        </is>
      </c>
      <c r="E26" s="37" t="inlineStr">
        <is>
          <t>Tête sonique standard</t>
        </is>
      </c>
      <c r="F26" s="46" t="inlineStr">
        <is>
          <t>N/D</t>
        </is>
      </c>
      <c r="G26" s="46" t="inlineStr">
        <is>
          <t>N/D</t>
        </is>
      </c>
      <c r="H26" s="46" t="inlineStr">
        <is>
          <t>N/D</t>
        </is>
      </c>
      <c r="I26" s="46" t="inlineStr">
        <is>
          <t>N/D</t>
        </is>
      </c>
      <c r="J26" s="46" t="inlineStr">
        <is>
          <t>N/D</t>
        </is>
      </c>
      <c r="K26" s="46" t="inlineStr">
        <is>
          <t>N/D</t>
        </is>
      </c>
      <c r="L26" s="38" t="inlineStr">
        <is>
          <t>N/D</t>
        </is>
      </c>
      <c r="M26" s="46" t="inlineStr">
        <is>
          <t>N/D</t>
        </is>
      </c>
      <c r="N26" s="37" t="inlineStr">
        <is>
          <t>EAU (Noon, gamme Sonicare vérifiée)</t>
        </is>
      </c>
      <c r="O26" s="37" t="inlineStr">
        <is>
          <t>Noon UAE, pharmacies</t>
        </is>
      </c>
      <c r="P26" s="39" t="inlineStr">
        <is>
          <t>https://www.usa.philips.com/c-p/HX6810_50/sonicare-protectiveclean-4100-sonic-electric-toothbrush/partsandaccessories</t>
        </is>
      </c>
      <c r="Q26" s="39" t="inlineStr">
        <is>
          <t>https://www.ebay.com/itm/277611730525</t>
        </is>
      </c>
      <c r="R26" s="40" t="inlineStr">
        <is>
          <t>2026-09-03</t>
        </is>
      </c>
      <c r="S26" s="37" t="inlineStr">
        <is>
          <t>Tête à puce BrushSync. Benchmark du prix par tête sur le segment sonique premium.</t>
        </is>
      </c>
    </row>
    <row r="27">
      <c r="A27" s="41" t="inlineStr">
        <is>
          <t>USMILE_HEADS</t>
        </is>
      </c>
      <c r="B27" s="41" t="inlineStr">
        <is>
          <t>usmile</t>
        </is>
      </c>
      <c r="C27" s="41" t="inlineStr">
        <is>
          <t>Têtes de rechange P1 / Y1S / U3 / P4</t>
        </is>
      </c>
      <c r="D27" s="41" t="inlineStr">
        <is>
          <t>Tête de rechange</t>
        </is>
      </c>
      <c r="E27" s="41" t="inlineStr">
        <is>
          <t>Tête sonique avec brins témoins d'usure</t>
        </is>
      </c>
      <c r="F27" s="42" t="inlineStr">
        <is>
          <t>N/D</t>
        </is>
      </c>
      <c r="G27" s="42" t="inlineStr">
        <is>
          <t>N/D</t>
        </is>
      </c>
      <c r="H27" s="42" t="inlineStr">
        <is>
          <t>N/D</t>
        </is>
      </c>
      <c r="I27" s="42" t="inlineStr">
        <is>
          <t>N/D</t>
        </is>
      </c>
      <c r="J27" s="42" t="inlineStr">
        <is>
          <t>N/D</t>
        </is>
      </c>
      <c r="K27" s="42" t="inlineStr">
        <is>
          <t>N/D</t>
        </is>
      </c>
      <c r="L27" s="43" t="inlineStr">
        <is>
          <t>N/D</t>
        </is>
      </c>
      <c r="M27" s="42" t="inlineStr">
        <is>
          <t>N/D</t>
        </is>
      </c>
      <c r="N27" s="41" t="inlineStr">
        <is>
          <t>Non vérifié sur les marchés cibles</t>
        </is>
      </c>
      <c r="O27" s="41" t="inlineStr">
        <is>
          <t>Marketplaces</t>
        </is>
      </c>
      <c r="P27" s="44" t="inlineStr">
        <is>
          <t>https://www.amazon.com/usmile-Replacement-Toothbrush-Electric-Reminder/dp/B09D3SHP7K</t>
        </is>
      </c>
      <c r="Q27" s="44" t="inlineStr">
        <is>
          <t>https://usmile.us/products/usmile-whitening-brush-head-2-packs</t>
        </is>
      </c>
      <c r="R27" s="45" t="inlineStr">
        <is>
          <t>2026-09-03</t>
        </is>
      </c>
      <c r="S27" s="41" t="inlineStr">
        <is>
          <t>Brins témoins qui décolorent à l'usure, argument de renouvellement récurrent.</t>
        </is>
      </c>
    </row>
  </sheetData>
  <autoFilter ref="A1:S27"/>
  <hyperlinks>
    <hyperlink xmlns:r="http://schemas.openxmlformats.org/officeDocument/2006/relationships" ref="P2" r:id="rId1"/>
    <hyperlink xmlns:r="http://schemas.openxmlformats.org/officeDocument/2006/relationships" ref="Q2" r:id="rId2"/>
    <hyperlink xmlns:r="http://schemas.openxmlformats.org/officeDocument/2006/relationships" ref="P3" r:id="rId3"/>
    <hyperlink xmlns:r="http://schemas.openxmlformats.org/officeDocument/2006/relationships" ref="Q3" r:id="rId4"/>
    <hyperlink xmlns:r="http://schemas.openxmlformats.org/officeDocument/2006/relationships" ref="P4" r:id="rId5"/>
    <hyperlink xmlns:r="http://schemas.openxmlformats.org/officeDocument/2006/relationships" ref="Q4" r:id="rId6"/>
    <hyperlink xmlns:r="http://schemas.openxmlformats.org/officeDocument/2006/relationships" ref="P5" r:id="rId7"/>
    <hyperlink xmlns:r="http://schemas.openxmlformats.org/officeDocument/2006/relationships" ref="Q5" r:id="rId8"/>
    <hyperlink xmlns:r="http://schemas.openxmlformats.org/officeDocument/2006/relationships" ref="P6" r:id="rId9"/>
    <hyperlink xmlns:r="http://schemas.openxmlformats.org/officeDocument/2006/relationships" ref="Q6" r:id="rId10"/>
    <hyperlink xmlns:r="http://schemas.openxmlformats.org/officeDocument/2006/relationships" ref="P7" r:id="rId11"/>
    <hyperlink xmlns:r="http://schemas.openxmlformats.org/officeDocument/2006/relationships" ref="Q7" r:id="rId12"/>
    <hyperlink xmlns:r="http://schemas.openxmlformats.org/officeDocument/2006/relationships" ref="P8" r:id="rId13"/>
    <hyperlink xmlns:r="http://schemas.openxmlformats.org/officeDocument/2006/relationships" ref="Q8" r:id="rId14"/>
    <hyperlink xmlns:r="http://schemas.openxmlformats.org/officeDocument/2006/relationships" ref="P9" r:id="rId15"/>
    <hyperlink xmlns:r="http://schemas.openxmlformats.org/officeDocument/2006/relationships" ref="Q9" r:id="rId16"/>
    <hyperlink xmlns:r="http://schemas.openxmlformats.org/officeDocument/2006/relationships" ref="P10" r:id="rId17"/>
    <hyperlink xmlns:r="http://schemas.openxmlformats.org/officeDocument/2006/relationships" ref="Q10" r:id="rId18"/>
    <hyperlink xmlns:r="http://schemas.openxmlformats.org/officeDocument/2006/relationships" ref="P11" r:id="rId19"/>
    <hyperlink xmlns:r="http://schemas.openxmlformats.org/officeDocument/2006/relationships" ref="Q11" r:id="rId20"/>
    <hyperlink xmlns:r="http://schemas.openxmlformats.org/officeDocument/2006/relationships" ref="P12" r:id="rId21"/>
    <hyperlink xmlns:r="http://schemas.openxmlformats.org/officeDocument/2006/relationships" ref="Q12" r:id="rId22"/>
    <hyperlink xmlns:r="http://schemas.openxmlformats.org/officeDocument/2006/relationships" ref="P13" r:id="rId23"/>
    <hyperlink xmlns:r="http://schemas.openxmlformats.org/officeDocument/2006/relationships" ref="Q13" r:id="rId24"/>
    <hyperlink xmlns:r="http://schemas.openxmlformats.org/officeDocument/2006/relationships" ref="P14" r:id="rId25"/>
    <hyperlink xmlns:r="http://schemas.openxmlformats.org/officeDocument/2006/relationships" ref="Q14" r:id="rId26"/>
    <hyperlink xmlns:r="http://schemas.openxmlformats.org/officeDocument/2006/relationships" ref="P15" r:id="rId27"/>
    <hyperlink xmlns:r="http://schemas.openxmlformats.org/officeDocument/2006/relationships" ref="Q15" r:id="rId28"/>
    <hyperlink xmlns:r="http://schemas.openxmlformats.org/officeDocument/2006/relationships" ref="P16" r:id="rId29"/>
    <hyperlink xmlns:r="http://schemas.openxmlformats.org/officeDocument/2006/relationships" ref="Q16" r:id="rId30"/>
    <hyperlink xmlns:r="http://schemas.openxmlformats.org/officeDocument/2006/relationships" ref="P17" r:id="rId31"/>
    <hyperlink xmlns:r="http://schemas.openxmlformats.org/officeDocument/2006/relationships" ref="Q17" r:id="rId32"/>
    <hyperlink xmlns:r="http://schemas.openxmlformats.org/officeDocument/2006/relationships" ref="P18" r:id="rId33"/>
    <hyperlink xmlns:r="http://schemas.openxmlformats.org/officeDocument/2006/relationships" ref="Q18" r:id="rId34"/>
    <hyperlink xmlns:r="http://schemas.openxmlformats.org/officeDocument/2006/relationships" ref="P19" r:id="rId35"/>
    <hyperlink xmlns:r="http://schemas.openxmlformats.org/officeDocument/2006/relationships" ref="Q19" r:id="rId36"/>
    <hyperlink xmlns:r="http://schemas.openxmlformats.org/officeDocument/2006/relationships" ref="P20" r:id="rId37"/>
    <hyperlink xmlns:r="http://schemas.openxmlformats.org/officeDocument/2006/relationships" ref="Q20" r:id="rId38"/>
    <hyperlink xmlns:r="http://schemas.openxmlformats.org/officeDocument/2006/relationships" ref="P21" r:id="rId39"/>
    <hyperlink xmlns:r="http://schemas.openxmlformats.org/officeDocument/2006/relationships" ref="Q21" r:id="rId40"/>
    <hyperlink xmlns:r="http://schemas.openxmlformats.org/officeDocument/2006/relationships" ref="P22" r:id="rId41"/>
    <hyperlink xmlns:r="http://schemas.openxmlformats.org/officeDocument/2006/relationships" ref="Q22" r:id="rId42"/>
    <hyperlink xmlns:r="http://schemas.openxmlformats.org/officeDocument/2006/relationships" ref="P23" r:id="rId43"/>
    <hyperlink xmlns:r="http://schemas.openxmlformats.org/officeDocument/2006/relationships" ref="Q23" r:id="rId44"/>
    <hyperlink xmlns:r="http://schemas.openxmlformats.org/officeDocument/2006/relationships" ref="P24" r:id="rId45"/>
    <hyperlink xmlns:r="http://schemas.openxmlformats.org/officeDocument/2006/relationships" ref="Q24" r:id="rId46"/>
    <hyperlink xmlns:r="http://schemas.openxmlformats.org/officeDocument/2006/relationships" ref="P25" r:id="rId47"/>
    <hyperlink xmlns:r="http://schemas.openxmlformats.org/officeDocument/2006/relationships" ref="Q25" r:id="rId48"/>
    <hyperlink xmlns:r="http://schemas.openxmlformats.org/officeDocument/2006/relationships" ref="P26" r:id="rId49"/>
    <hyperlink xmlns:r="http://schemas.openxmlformats.org/officeDocument/2006/relationships" ref="Q26" r:id="rId50"/>
    <hyperlink xmlns:r="http://schemas.openxmlformats.org/officeDocument/2006/relationships" ref="P27" r:id="rId51"/>
    <hyperlink xmlns:r="http://schemas.openxmlformats.org/officeDocument/2006/relationships" ref="Q27" r:id="rId52"/>
  </hyperlink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2026-09-03T00:15:02Z</dcterms:created>
  <dcterms:modified xsi:type="dcterms:W3CDTF">2026-09-03T00:15:02Z</dcterms:modified>
</cp:coreProperties>
</file>